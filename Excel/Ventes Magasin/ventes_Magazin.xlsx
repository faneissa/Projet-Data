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t-Data\Excel\Ventes Magasin\"/>
    </mc:Choice>
  </mc:AlternateContent>
  <xr:revisionPtr revIDLastSave="0" documentId="13_ncr:1_{11172F6C-8CFE-4072-A0DD-19C4D2D600D3}" xr6:coauthVersionLast="47" xr6:coauthVersionMax="47" xr10:uidLastSave="{00000000-0000-0000-0000-000000000000}"/>
  <bookViews>
    <workbookView xWindow="-120" yWindow="480" windowWidth="24240" windowHeight="13140" xr2:uid="{9014B908-37CD-4EAD-9DEC-73672A54ECA5}"/>
  </bookViews>
  <sheets>
    <sheet name="VentesMagasins" sheetId="3" r:id="rId1"/>
    <sheet name="Clients" sheetId="2" r:id="rId2"/>
    <sheet name="Feuil1" sheetId="1" r:id="rId3"/>
  </sheets>
  <definedNames>
    <definedName name="Année">VentesMagasins!$M$2:$M$1001</definedName>
    <definedName name="CA">VentesMagasins!$R$2:$R$1001</definedName>
    <definedName name="CA_retour">VentesMagasins!$S$2:$S$1001</definedName>
    <definedName name="Categorie">VentesMagasins!$F$2:$F$1001</definedName>
    <definedName name="Categorie_nett">VentesMagasins!$O$2:$O$1001</definedName>
    <definedName name="Clée">VentesMagasins!$M$1:$M$1001</definedName>
    <definedName name="ClientID" localSheetId="1">Clients!$A$2:$A$301</definedName>
    <definedName name="ClientID">VentesMagasins!$B$2:$B$1001</definedName>
    <definedName name="ClientID1">Tbl_Clients[ClientID1]</definedName>
    <definedName name="DateVente">VentesMagasins!$C$2:$C$1001</definedName>
    <definedName name="DonnéesExternes_1" localSheetId="1" hidden="1">Clients!$A$1:$C$301</definedName>
    <definedName name="Magasin">VentesMagasins!$D$2:$D$1001</definedName>
    <definedName name="Mois">VentesMagasins!$N$2:$N$1001</definedName>
    <definedName name="Moyenne_client">VentesMagasins!$V$2:$V$1001</definedName>
    <definedName name="NoteClient">VentesMagasins!$L$2:$L$1001</definedName>
    <definedName name="NoteClient_nett1">VentesMagasins!$U$2:$U$1001</definedName>
    <definedName name="NoteClient_Nette">VentesMagasins!$T$2:$T$1001</definedName>
    <definedName name="OrderID">VentesMagasins!$A$2:$A$1001</definedName>
    <definedName name="PrixUnitaire">VentesMagasins!$H$2:$H$1001</definedName>
    <definedName name="Produit">VentesMagasins!$E$2:$E$1001</definedName>
    <definedName name="Quantité">VentesMagasins!$G$2:$G$1001</definedName>
    <definedName name="Region">VentesMagasins!$W$2:$W$1001</definedName>
    <definedName name="Région">Clients!$B$2:$B$301</definedName>
    <definedName name="Remise">VentesMagasins!$I$2:$I$1001</definedName>
    <definedName name="Remise_nett">VentesMagasins!$P$2:$P$1001</definedName>
    <definedName name="Retour">VentesMagasins!$K$2:$K$1001</definedName>
    <definedName name="Total">VentesMagasins!$J$2:$J$1001</definedName>
    <definedName name="Total_Nett">VentesMagasins!$Q$2:$Q$1001</definedName>
    <definedName name="Type_Client">VentesMagasins!$X$2:$X$1001</definedName>
    <definedName name="TypeClient">Clients!$C$2:$C$301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 a="1"/>
  <c r="N2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N33" i="3" a="1"/>
  <c r="N33" i="3" s="1"/>
  <c r="N34" i="3" a="1"/>
  <c r="N34" i="3" s="1"/>
  <c r="N35" i="3" a="1"/>
  <c r="N35" i="3" s="1"/>
  <c r="N36" i="3" a="1"/>
  <c r="N36" i="3" s="1"/>
  <c r="N37" i="3" a="1"/>
  <c r="N37" i="3" s="1"/>
  <c r="N38" i="3" a="1"/>
  <c r="N38" i="3" s="1"/>
  <c r="N39" i="3" a="1"/>
  <c r="N39" i="3" s="1"/>
  <c r="N40" i="3" a="1"/>
  <c r="N40" i="3" s="1"/>
  <c r="N41" i="3" a="1"/>
  <c r="N41" i="3" s="1"/>
  <c r="N42" i="3" a="1"/>
  <c r="N42" i="3" s="1"/>
  <c r="N43" i="3" a="1"/>
  <c r="N43" i="3" s="1"/>
  <c r="N44" i="3" a="1"/>
  <c r="N44" i="3" s="1"/>
  <c r="N45" i="3" a="1"/>
  <c r="N45" i="3" s="1"/>
  <c r="N46" i="3" a="1"/>
  <c r="N46" i="3" s="1"/>
  <c r="N47" i="3" a="1"/>
  <c r="N47" i="3" s="1"/>
  <c r="N48" i="3" a="1"/>
  <c r="N48" i="3" s="1"/>
  <c r="N49" i="3" a="1"/>
  <c r="N49" i="3" s="1"/>
  <c r="N50" i="3" a="1"/>
  <c r="N50" i="3" s="1"/>
  <c r="N51" i="3" a="1"/>
  <c r="N51" i="3" s="1"/>
  <c r="N52" i="3" a="1"/>
  <c r="N52" i="3" s="1"/>
  <c r="N53" i="3" a="1"/>
  <c r="N53" i="3" s="1"/>
  <c r="N54" i="3" a="1"/>
  <c r="N54" i="3" s="1"/>
  <c r="N55" i="3" a="1"/>
  <c r="N55" i="3" s="1"/>
  <c r="N56" i="3" a="1"/>
  <c r="N56" i="3" s="1"/>
  <c r="N57" i="3" a="1"/>
  <c r="N57" i="3" s="1"/>
  <c r="N58" i="3" a="1"/>
  <c r="N58" i="3" s="1"/>
  <c r="N59" i="3" a="1"/>
  <c r="N59" i="3" s="1"/>
  <c r="N60" i="3" a="1"/>
  <c r="N60" i="3" s="1"/>
  <c r="N61" i="3" a="1"/>
  <c r="N61" i="3" s="1"/>
  <c r="N62" i="3" a="1"/>
  <c r="N62" i="3" s="1"/>
  <c r="N63" i="3" a="1"/>
  <c r="N63" i="3" s="1"/>
  <c r="N64" i="3" a="1"/>
  <c r="N64" i="3" s="1"/>
  <c r="N65" i="3" a="1"/>
  <c r="N65" i="3" s="1"/>
  <c r="N66" i="3" a="1"/>
  <c r="N66" i="3" s="1"/>
  <c r="N67" i="3" a="1"/>
  <c r="N67" i="3" s="1"/>
  <c r="N68" i="3" a="1"/>
  <c r="N68" i="3" s="1"/>
  <c r="N69" i="3" a="1"/>
  <c r="N69" i="3" s="1"/>
  <c r="N70" i="3" a="1"/>
  <c r="N70" i="3" s="1"/>
  <c r="N71" i="3" a="1"/>
  <c r="N71" i="3" s="1"/>
  <c r="N72" i="3" a="1"/>
  <c r="N72" i="3" s="1"/>
  <c r="N73" i="3" a="1"/>
  <c r="N73" i="3" s="1"/>
  <c r="N74" i="3" a="1"/>
  <c r="N74" i="3" s="1"/>
  <c r="N75" i="3" a="1"/>
  <c r="N75" i="3" s="1"/>
  <c r="N76" i="3" a="1"/>
  <c r="N76" i="3" s="1"/>
  <c r="N77" i="3" a="1"/>
  <c r="N77" i="3" s="1"/>
  <c r="N78" i="3" a="1"/>
  <c r="N78" i="3" s="1"/>
  <c r="N79" i="3" a="1"/>
  <c r="N79" i="3" s="1"/>
  <c r="N80" i="3" a="1"/>
  <c r="N80" i="3" s="1"/>
  <c r="N81" i="3" a="1"/>
  <c r="N81" i="3" s="1"/>
  <c r="N82" i="3" a="1"/>
  <c r="N82" i="3" s="1"/>
  <c r="N83" i="3" a="1"/>
  <c r="N83" i="3" s="1"/>
  <c r="N84" i="3" a="1"/>
  <c r="N84" i="3" s="1"/>
  <c r="N85" i="3" a="1"/>
  <c r="N85" i="3" s="1"/>
  <c r="N86" i="3" a="1"/>
  <c r="N86" i="3" s="1"/>
  <c r="N87" i="3" a="1"/>
  <c r="N87" i="3" s="1"/>
  <c r="N88" i="3" a="1"/>
  <c r="N88" i="3" s="1"/>
  <c r="N89" i="3" a="1"/>
  <c r="N89" i="3" s="1"/>
  <c r="N90" i="3" a="1"/>
  <c r="N90" i="3" s="1"/>
  <c r="N91" i="3" a="1"/>
  <c r="N91" i="3" s="1"/>
  <c r="N92" i="3" a="1"/>
  <c r="N92" i="3" s="1"/>
  <c r="N93" i="3" a="1"/>
  <c r="N93" i="3" s="1"/>
  <c r="N94" i="3" a="1"/>
  <c r="N94" i="3" s="1"/>
  <c r="N95" i="3" a="1"/>
  <c r="N95" i="3" s="1"/>
  <c r="N96" i="3" a="1"/>
  <c r="N96" i="3" s="1"/>
  <c r="N97" i="3" a="1"/>
  <c r="N97" i="3" s="1"/>
  <c r="N98" i="3" a="1"/>
  <c r="N98" i="3" s="1"/>
  <c r="N99" i="3" a="1"/>
  <c r="N99" i="3" s="1"/>
  <c r="N100" i="3" a="1"/>
  <c r="N100" i="3" s="1"/>
  <c r="N101" i="3" a="1"/>
  <c r="N101" i="3" s="1"/>
  <c r="N102" i="3" a="1"/>
  <c r="N102" i="3" s="1"/>
  <c r="N103" i="3" a="1"/>
  <c r="N103" i="3" s="1"/>
  <c r="N104" i="3" a="1"/>
  <c r="N104" i="3" s="1"/>
  <c r="N105" i="3" a="1"/>
  <c r="N105" i="3" s="1"/>
  <c r="N106" i="3" a="1"/>
  <c r="N106" i="3" s="1"/>
  <c r="N107" i="3" a="1"/>
  <c r="N107" i="3" s="1"/>
  <c r="N108" i="3" a="1"/>
  <c r="N108" i="3" s="1"/>
  <c r="N109" i="3" a="1"/>
  <c r="N109" i="3" s="1"/>
  <c r="N110" i="3" a="1"/>
  <c r="N110" i="3" s="1"/>
  <c r="N111" i="3" a="1"/>
  <c r="N111" i="3" s="1"/>
  <c r="N112" i="3" a="1"/>
  <c r="N112" i="3" s="1"/>
  <c r="N113" i="3" a="1"/>
  <c r="N113" i="3" s="1"/>
  <c r="N114" i="3" a="1"/>
  <c r="N114" i="3" s="1"/>
  <c r="N115" i="3" a="1"/>
  <c r="N115" i="3" s="1"/>
  <c r="N116" i="3" a="1"/>
  <c r="N116" i="3" s="1"/>
  <c r="N117" i="3" a="1"/>
  <c r="N117" i="3" s="1"/>
  <c r="N118" i="3" a="1"/>
  <c r="N118" i="3" s="1"/>
  <c r="N119" i="3" a="1"/>
  <c r="N119" i="3" s="1"/>
  <c r="N120" i="3" a="1"/>
  <c r="N120" i="3" s="1"/>
  <c r="N121" i="3" a="1"/>
  <c r="N121" i="3" s="1"/>
  <c r="N122" i="3" a="1"/>
  <c r="N122" i="3" s="1"/>
  <c r="N123" i="3" a="1"/>
  <c r="N123" i="3" s="1"/>
  <c r="N124" i="3" a="1"/>
  <c r="N124" i="3" s="1"/>
  <c r="N125" i="3" a="1"/>
  <c r="N125" i="3" s="1"/>
  <c r="N126" i="3" a="1"/>
  <c r="N126" i="3" s="1"/>
  <c r="N127" i="3" a="1"/>
  <c r="N127" i="3" s="1"/>
  <c r="N128" i="3" a="1"/>
  <c r="N128" i="3" s="1"/>
  <c r="N129" i="3" a="1"/>
  <c r="N129" i="3" s="1"/>
  <c r="N130" i="3" a="1"/>
  <c r="N130" i="3" s="1"/>
  <c r="N131" i="3" a="1"/>
  <c r="N131" i="3" s="1"/>
  <c r="N132" i="3" a="1"/>
  <c r="N132" i="3" s="1"/>
  <c r="N133" i="3" a="1"/>
  <c r="N133" i="3" s="1"/>
  <c r="N134" i="3" a="1"/>
  <c r="N134" i="3" s="1"/>
  <c r="N135" i="3" a="1"/>
  <c r="N135" i="3" s="1"/>
  <c r="N136" i="3" a="1"/>
  <c r="N136" i="3" s="1"/>
  <c r="N137" i="3" a="1"/>
  <c r="N137" i="3" s="1"/>
  <c r="N138" i="3" a="1"/>
  <c r="N138" i="3" s="1"/>
  <c r="N139" i="3" a="1"/>
  <c r="N139" i="3" s="1"/>
  <c r="N140" i="3" a="1"/>
  <c r="N140" i="3" s="1"/>
  <c r="N141" i="3" a="1"/>
  <c r="N141" i="3" s="1"/>
  <c r="N142" i="3" a="1"/>
  <c r="N142" i="3" s="1"/>
  <c r="N143" i="3" a="1"/>
  <c r="N143" i="3" s="1"/>
  <c r="N144" i="3" a="1"/>
  <c r="N144" i="3" s="1"/>
  <c r="N145" i="3" a="1"/>
  <c r="N145" i="3" s="1"/>
  <c r="N146" i="3" a="1"/>
  <c r="N146" i="3" s="1"/>
  <c r="N147" i="3" a="1"/>
  <c r="N147" i="3" s="1"/>
  <c r="N148" i="3" a="1"/>
  <c r="N148" i="3" s="1"/>
  <c r="N149" i="3" a="1"/>
  <c r="N149" i="3" s="1"/>
  <c r="N150" i="3" a="1"/>
  <c r="N150" i="3" s="1"/>
  <c r="N151" i="3" a="1"/>
  <c r="N151" i="3" s="1"/>
  <c r="N152" i="3" a="1"/>
  <c r="N152" i="3" s="1"/>
  <c r="N153" i="3" a="1"/>
  <c r="N153" i="3" s="1"/>
  <c r="N154" i="3" a="1"/>
  <c r="N154" i="3" s="1"/>
  <c r="N155" i="3" a="1"/>
  <c r="N155" i="3" s="1"/>
  <c r="N156" i="3" a="1"/>
  <c r="N156" i="3" s="1"/>
  <c r="N157" i="3" a="1"/>
  <c r="N157" i="3" s="1"/>
  <c r="N158" i="3" a="1"/>
  <c r="N158" i="3" s="1"/>
  <c r="N159" i="3" a="1"/>
  <c r="N159" i="3" s="1"/>
  <c r="N160" i="3" a="1"/>
  <c r="N160" i="3" s="1"/>
  <c r="N161" i="3" a="1"/>
  <c r="N161" i="3" s="1"/>
  <c r="N162" i="3" a="1"/>
  <c r="N162" i="3" s="1"/>
  <c r="N163" i="3" a="1"/>
  <c r="N163" i="3" s="1"/>
  <c r="N164" i="3" a="1"/>
  <c r="N164" i="3" s="1"/>
  <c r="N165" i="3" a="1"/>
  <c r="N165" i="3" s="1"/>
  <c r="N166" i="3" a="1"/>
  <c r="N166" i="3" s="1"/>
  <c r="N167" i="3" a="1"/>
  <c r="N167" i="3" s="1"/>
  <c r="N168" i="3" a="1"/>
  <c r="N168" i="3" s="1"/>
  <c r="N169" i="3" a="1"/>
  <c r="N169" i="3" s="1"/>
  <c r="N170" i="3" a="1"/>
  <c r="N170" i="3" s="1"/>
  <c r="N171" i="3" a="1"/>
  <c r="N171" i="3" s="1"/>
  <c r="N172" i="3" a="1"/>
  <c r="N172" i="3" s="1"/>
  <c r="N173" i="3" a="1"/>
  <c r="N173" i="3" s="1"/>
  <c r="N174" i="3" a="1"/>
  <c r="N174" i="3" s="1"/>
  <c r="N175" i="3" a="1"/>
  <c r="N175" i="3" s="1"/>
  <c r="N176" i="3" a="1"/>
  <c r="N176" i="3" s="1"/>
  <c r="N177" i="3" a="1"/>
  <c r="N177" i="3" s="1"/>
  <c r="N178" i="3" a="1"/>
  <c r="N178" i="3" s="1"/>
  <c r="N179" i="3" a="1"/>
  <c r="N179" i="3" s="1"/>
  <c r="N180" i="3" a="1"/>
  <c r="N180" i="3" s="1"/>
  <c r="N181" i="3" a="1"/>
  <c r="N181" i="3" s="1"/>
  <c r="N182" i="3" a="1"/>
  <c r="N182" i="3" s="1"/>
  <c r="N183" i="3" a="1"/>
  <c r="N183" i="3" s="1"/>
  <c r="N184" i="3" a="1"/>
  <c r="N184" i="3" s="1"/>
  <c r="N185" i="3" a="1"/>
  <c r="N185" i="3" s="1"/>
  <c r="N186" i="3" a="1"/>
  <c r="N186" i="3" s="1"/>
  <c r="N187" i="3" a="1"/>
  <c r="N187" i="3" s="1"/>
  <c r="N188" i="3" a="1"/>
  <c r="N188" i="3" s="1"/>
  <c r="N189" i="3" a="1"/>
  <c r="N189" i="3" s="1"/>
  <c r="N190" i="3" a="1"/>
  <c r="N190" i="3" s="1"/>
  <c r="N191" i="3" a="1"/>
  <c r="N191" i="3" s="1"/>
  <c r="N192" i="3" a="1"/>
  <c r="N192" i="3" s="1"/>
  <c r="N193" i="3" a="1"/>
  <c r="N193" i="3" s="1"/>
  <c r="N194" i="3" a="1"/>
  <c r="N194" i="3" s="1"/>
  <c r="N195" i="3" a="1"/>
  <c r="N195" i="3" s="1"/>
  <c r="N196" i="3" a="1"/>
  <c r="N196" i="3" s="1"/>
  <c r="N197" i="3" a="1"/>
  <c r="N197" i="3" s="1"/>
  <c r="N198" i="3" a="1"/>
  <c r="N198" i="3" s="1"/>
  <c r="N199" i="3" a="1"/>
  <c r="N199" i="3" s="1"/>
  <c r="N200" i="3" a="1"/>
  <c r="N200" i="3" s="1"/>
  <c r="N201" i="3" a="1"/>
  <c r="N201" i="3" s="1"/>
  <c r="N202" i="3" a="1"/>
  <c r="N202" i="3" s="1"/>
  <c r="N203" i="3" a="1"/>
  <c r="N203" i="3" s="1"/>
  <c r="N204" i="3" a="1"/>
  <c r="N204" i="3" s="1"/>
  <c r="N205" i="3" a="1"/>
  <c r="N205" i="3" s="1"/>
  <c r="N206" i="3" a="1"/>
  <c r="N206" i="3" s="1"/>
  <c r="N207" i="3" a="1"/>
  <c r="N207" i="3" s="1"/>
  <c r="N208" i="3" a="1"/>
  <c r="N208" i="3" s="1"/>
  <c r="N209" i="3" a="1"/>
  <c r="N209" i="3" s="1"/>
  <c r="N210" i="3" a="1"/>
  <c r="N210" i="3" s="1"/>
  <c r="N211" i="3" a="1"/>
  <c r="N211" i="3" s="1"/>
  <c r="N212" i="3" a="1"/>
  <c r="N212" i="3" s="1"/>
  <c r="N213" i="3" a="1"/>
  <c r="N213" i="3" s="1"/>
  <c r="N214" i="3" a="1"/>
  <c r="N214" i="3" s="1"/>
  <c r="N215" i="3" a="1"/>
  <c r="N215" i="3" s="1"/>
  <c r="N216" i="3" a="1"/>
  <c r="N216" i="3" s="1"/>
  <c r="N217" i="3" a="1"/>
  <c r="N217" i="3" s="1"/>
  <c r="N218" i="3" a="1"/>
  <c r="N218" i="3" s="1"/>
  <c r="N219" i="3" a="1"/>
  <c r="N219" i="3" s="1"/>
  <c r="N220" i="3" a="1"/>
  <c r="N220" i="3" s="1"/>
  <c r="N221" i="3" a="1"/>
  <c r="N221" i="3" s="1"/>
  <c r="N222" i="3" a="1"/>
  <c r="N222" i="3" s="1"/>
  <c r="N223" i="3" a="1"/>
  <c r="N223" i="3" s="1"/>
  <c r="N224" i="3" a="1"/>
  <c r="N224" i="3" s="1"/>
  <c r="N225" i="3" a="1"/>
  <c r="N225" i="3" s="1"/>
  <c r="N226" i="3" a="1"/>
  <c r="N226" i="3" s="1"/>
  <c r="N227" i="3" a="1"/>
  <c r="N227" i="3" s="1"/>
  <c r="N228" i="3" a="1"/>
  <c r="N228" i="3" s="1"/>
  <c r="N229" i="3" a="1"/>
  <c r="N229" i="3" s="1"/>
  <c r="N230" i="3" a="1"/>
  <c r="N230" i="3" s="1"/>
  <c r="N231" i="3" a="1"/>
  <c r="N231" i="3" s="1"/>
  <c r="N232" i="3" a="1"/>
  <c r="N232" i="3" s="1"/>
  <c r="N233" i="3" a="1"/>
  <c r="N233" i="3" s="1"/>
  <c r="N234" i="3" a="1"/>
  <c r="N234" i="3" s="1"/>
  <c r="N235" i="3" a="1"/>
  <c r="N235" i="3" s="1"/>
  <c r="N236" i="3" a="1"/>
  <c r="N236" i="3" s="1"/>
  <c r="N237" i="3" a="1"/>
  <c r="N237" i="3" s="1"/>
  <c r="N238" i="3" a="1"/>
  <c r="N238" i="3" s="1"/>
  <c r="N239" i="3" a="1"/>
  <c r="N239" i="3" s="1"/>
  <c r="N240" i="3" a="1"/>
  <c r="N240" i="3" s="1"/>
  <c r="N241" i="3" a="1"/>
  <c r="N241" i="3" s="1"/>
  <c r="N242" i="3" a="1"/>
  <c r="N242" i="3" s="1"/>
  <c r="N243" i="3" a="1"/>
  <c r="N243" i="3" s="1"/>
  <c r="N244" i="3" a="1"/>
  <c r="N244" i="3" s="1"/>
  <c r="N245" i="3" a="1"/>
  <c r="N245" i="3" s="1"/>
  <c r="N246" i="3" a="1"/>
  <c r="N246" i="3" s="1"/>
  <c r="N247" i="3" a="1"/>
  <c r="N247" i="3" s="1"/>
  <c r="N248" i="3" a="1"/>
  <c r="N248" i="3" s="1"/>
  <c r="N249" i="3" a="1"/>
  <c r="N249" i="3" s="1"/>
  <c r="N250" i="3" a="1"/>
  <c r="N250" i="3" s="1"/>
  <c r="N251" i="3" a="1"/>
  <c r="N251" i="3" s="1"/>
  <c r="N252" i="3" a="1"/>
  <c r="N252" i="3" s="1"/>
  <c r="N253" i="3" a="1"/>
  <c r="N253" i="3" s="1"/>
  <c r="N254" i="3" a="1"/>
  <c r="N254" i="3" s="1"/>
  <c r="N255" i="3" a="1"/>
  <c r="N255" i="3" s="1"/>
  <c r="N256" i="3" a="1"/>
  <c r="N256" i="3" s="1"/>
  <c r="N257" i="3" a="1"/>
  <c r="N257" i="3" s="1"/>
  <c r="N258" i="3" a="1"/>
  <c r="N258" i="3" s="1"/>
  <c r="N259" i="3" a="1"/>
  <c r="N259" i="3" s="1"/>
  <c r="N260" i="3" a="1"/>
  <c r="N260" i="3" s="1"/>
  <c r="N261" i="3" a="1"/>
  <c r="N261" i="3" s="1"/>
  <c r="N262" i="3" a="1"/>
  <c r="N262" i="3" s="1"/>
  <c r="N263" i="3" a="1"/>
  <c r="N263" i="3" s="1"/>
  <c r="N264" i="3" a="1"/>
  <c r="N264" i="3" s="1"/>
  <c r="N265" i="3" a="1"/>
  <c r="N265" i="3" s="1"/>
  <c r="N266" i="3" a="1"/>
  <c r="N266" i="3" s="1"/>
  <c r="N267" i="3" a="1"/>
  <c r="N267" i="3" s="1"/>
  <c r="N268" i="3" a="1"/>
  <c r="N268" i="3" s="1"/>
  <c r="N269" i="3" a="1"/>
  <c r="N269" i="3" s="1"/>
  <c r="N270" i="3" a="1"/>
  <c r="N270" i="3" s="1"/>
  <c r="N271" i="3" a="1"/>
  <c r="N271" i="3" s="1"/>
  <c r="N272" i="3" a="1"/>
  <c r="N272" i="3" s="1"/>
  <c r="N273" i="3" a="1"/>
  <c r="N273" i="3" s="1"/>
  <c r="N274" i="3" a="1"/>
  <c r="N274" i="3" s="1"/>
  <c r="N275" i="3" a="1"/>
  <c r="N275" i="3" s="1"/>
  <c r="N276" i="3" a="1"/>
  <c r="N276" i="3" s="1"/>
  <c r="N277" i="3" a="1"/>
  <c r="N277" i="3" s="1"/>
  <c r="N278" i="3" a="1"/>
  <c r="N278" i="3" s="1"/>
  <c r="N279" i="3" a="1"/>
  <c r="N279" i="3" s="1"/>
  <c r="N280" i="3" a="1"/>
  <c r="N280" i="3" s="1"/>
  <c r="N281" i="3" a="1"/>
  <c r="N281" i="3" s="1"/>
  <c r="N282" i="3" a="1"/>
  <c r="N282" i="3" s="1"/>
  <c r="N283" i="3" a="1"/>
  <c r="N283" i="3" s="1"/>
  <c r="N284" i="3" a="1"/>
  <c r="N284" i="3" s="1"/>
  <c r="N285" i="3" a="1"/>
  <c r="N285" i="3" s="1"/>
  <c r="N286" i="3" a="1"/>
  <c r="N286" i="3" s="1"/>
  <c r="N287" i="3" a="1"/>
  <c r="N287" i="3" s="1"/>
  <c r="N288" i="3" a="1"/>
  <c r="N288" i="3" s="1"/>
  <c r="N289" i="3" a="1"/>
  <c r="N289" i="3" s="1"/>
  <c r="N290" i="3" a="1"/>
  <c r="N290" i="3" s="1"/>
  <c r="N291" i="3" a="1"/>
  <c r="N291" i="3" s="1"/>
  <c r="N292" i="3" a="1"/>
  <c r="N292" i="3" s="1"/>
  <c r="N293" i="3" a="1"/>
  <c r="N293" i="3" s="1"/>
  <c r="N294" i="3" a="1"/>
  <c r="N294" i="3" s="1"/>
  <c r="N295" i="3" a="1"/>
  <c r="N295" i="3" s="1"/>
  <c r="N296" i="3" a="1"/>
  <c r="N296" i="3" s="1"/>
  <c r="N297" i="3" a="1"/>
  <c r="N297" i="3" s="1"/>
  <c r="N298" i="3" a="1"/>
  <c r="N298" i="3" s="1"/>
  <c r="N299" i="3" a="1"/>
  <c r="N299" i="3" s="1"/>
  <c r="N300" i="3" a="1"/>
  <c r="N300" i="3" s="1"/>
  <c r="N301" i="3" a="1"/>
  <c r="N301" i="3" s="1"/>
  <c r="N302" i="3" a="1"/>
  <c r="N302" i="3" s="1"/>
  <c r="N303" i="3" a="1"/>
  <c r="N303" i="3" s="1"/>
  <c r="N304" i="3" a="1"/>
  <c r="N304" i="3" s="1"/>
  <c r="N305" i="3" a="1"/>
  <c r="N305" i="3" s="1"/>
  <c r="N306" i="3" a="1"/>
  <c r="N306" i="3" s="1"/>
  <c r="N307" i="3" a="1"/>
  <c r="N307" i="3" s="1"/>
  <c r="N308" i="3" a="1"/>
  <c r="N308" i="3" s="1"/>
  <c r="N309" i="3" a="1"/>
  <c r="N309" i="3" s="1"/>
  <c r="N310" i="3" a="1"/>
  <c r="N310" i="3" s="1"/>
  <c r="N311" i="3" a="1"/>
  <c r="N311" i="3" s="1"/>
  <c r="N312" i="3" a="1"/>
  <c r="N312" i="3" s="1"/>
  <c r="N313" i="3" a="1"/>
  <c r="N313" i="3" s="1"/>
  <c r="N314" i="3" a="1"/>
  <c r="N314" i="3" s="1"/>
  <c r="N315" i="3" a="1"/>
  <c r="N315" i="3" s="1"/>
  <c r="N316" i="3" a="1"/>
  <c r="N316" i="3" s="1"/>
  <c r="N317" i="3" a="1"/>
  <c r="N317" i="3" s="1"/>
  <c r="N318" i="3" a="1"/>
  <c r="N318" i="3" s="1"/>
  <c r="N319" i="3" a="1"/>
  <c r="N319" i="3" s="1"/>
  <c r="N320" i="3" a="1"/>
  <c r="N320" i="3" s="1"/>
  <c r="N321" i="3" a="1"/>
  <c r="N321" i="3" s="1"/>
  <c r="N322" i="3" a="1"/>
  <c r="N322" i="3" s="1"/>
  <c r="N323" i="3" a="1"/>
  <c r="N323" i="3" s="1"/>
  <c r="N324" i="3" a="1"/>
  <c r="N324" i="3" s="1"/>
  <c r="N325" i="3" a="1"/>
  <c r="N325" i="3" s="1"/>
  <c r="N326" i="3" a="1"/>
  <c r="N326" i="3" s="1"/>
  <c r="N327" i="3" a="1"/>
  <c r="N327" i="3" s="1"/>
  <c r="N328" i="3" a="1"/>
  <c r="N328" i="3" s="1"/>
  <c r="N329" i="3" a="1"/>
  <c r="N329" i="3" s="1"/>
  <c r="N330" i="3" a="1"/>
  <c r="N330" i="3" s="1"/>
  <c r="N331" i="3" a="1"/>
  <c r="N331" i="3" s="1"/>
  <c r="N332" i="3" a="1"/>
  <c r="N332" i="3" s="1"/>
  <c r="N333" i="3" a="1"/>
  <c r="N333" i="3" s="1"/>
  <c r="N334" i="3" a="1"/>
  <c r="N334" i="3" s="1"/>
  <c r="N335" i="3" a="1"/>
  <c r="N335" i="3" s="1"/>
  <c r="N336" i="3" a="1"/>
  <c r="N336" i="3" s="1"/>
  <c r="N337" i="3" a="1"/>
  <c r="N337" i="3" s="1"/>
  <c r="N338" i="3" a="1"/>
  <c r="N338" i="3" s="1"/>
  <c r="N339" i="3" a="1"/>
  <c r="N339" i="3" s="1"/>
  <c r="N340" i="3" a="1"/>
  <c r="N340" i="3" s="1"/>
  <c r="N341" i="3" a="1"/>
  <c r="N341" i="3" s="1"/>
  <c r="N342" i="3" a="1"/>
  <c r="N342" i="3" s="1"/>
  <c r="N343" i="3" a="1"/>
  <c r="N343" i="3" s="1"/>
  <c r="N344" i="3" a="1"/>
  <c r="N344" i="3" s="1"/>
  <c r="N345" i="3" a="1"/>
  <c r="N345" i="3" s="1"/>
  <c r="N346" i="3" a="1"/>
  <c r="N346" i="3" s="1"/>
  <c r="N347" i="3" a="1"/>
  <c r="N347" i="3" s="1"/>
  <c r="N348" i="3" a="1"/>
  <c r="N348" i="3" s="1"/>
  <c r="N349" i="3" a="1"/>
  <c r="N349" i="3" s="1"/>
  <c r="N350" i="3" a="1"/>
  <c r="N350" i="3" s="1"/>
  <c r="N351" i="3" a="1"/>
  <c r="N351" i="3" s="1"/>
  <c r="N352" i="3" a="1"/>
  <c r="N352" i="3" s="1"/>
  <c r="N353" i="3" a="1"/>
  <c r="N353" i="3" s="1"/>
  <c r="N354" i="3" a="1"/>
  <c r="N354" i="3" s="1"/>
  <c r="N355" i="3" a="1"/>
  <c r="N355" i="3" s="1"/>
  <c r="N356" i="3" a="1"/>
  <c r="N356" i="3" s="1"/>
  <c r="N357" i="3" a="1"/>
  <c r="N357" i="3" s="1"/>
  <c r="N358" i="3" a="1"/>
  <c r="N358" i="3" s="1"/>
  <c r="N359" i="3" a="1"/>
  <c r="N359" i="3" s="1"/>
  <c r="N360" i="3" a="1"/>
  <c r="N360" i="3" s="1"/>
  <c r="N361" i="3" a="1"/>
  <c r="N361" i="3" s="1"/>
  <c r="N362" i="3" a="1"/>
  <c r="N362" i="3" s="1"/>
  <c r="N363" i="3" a="1"/>
  <c r="N363" i="3" s="1"/>
  <c r="N364" i="3" a="1"/>
  <c r="N364" i="3" s="1"/>
  <c r="N365" i="3" a="1"/>
  <c r="N365" i="3" s="1"/>
  <c r="N366" i="3" a="1"/>
  <c r="N366" i="3" s="1"/>
  <c r="N367" i="3" a="1"/>
  <c r="N367" i="3" s="1"/>
  <c r="N368" i="3" a="1"/>
  <c r="N368" i="3" s="1"/>
  <c r="N369" i="3" a="1"/>
  <c r="N369" i="3" s="1"/>
  <c r="N370" i="3" a="1"/>
  <c r="N370" i="3" s="1"/>
  <c r="N371" i="3" a="1"/>
  <c r="N371" i="3" s="1"/>
  <c r="N372" i="3" a="1"/>
  <c r="N372" i="3" s="1"/>
  <c r="N373" i="3" a="1"/>
  <c r="N373" i="3" s="1"/>
  <c r="N374" i="3" a="1"/>
  <c r="N374" i="3" s="1"/>
  <c r="N375" i="3" a="1"/>
  <c r="N375" i="3" s="1"/>
  <c r="N376" i="3" a="1"/>
  <c r="N376" i="3" s="1"/>
  <c r="N377" i="3" a="1"/>
  <c r="N377" i="3" s="1"/>
  <c r="N378" i="3" a="1"/>
  <c r="N378" i="3" s="1"/>
  <c r="N379" i="3" a="1"/>
  <c r="N379" i="3" s="1"/>
  <c r="N380" i="3" a="1"/>
  <c r="N380" i="3" s="1"/>
  <c r="N381" i="3" a="1"/>
  <c r="N381" i="3" s="1"/>
  <c r="N382" i="3" a="1"/>
  <c r="N382" i="3" s="1"/>
  <c r="N383" i="3" a="1"/>
  <c r="N383" i="3" s="1"/>
  <c r="N384" i="3" a="1"/>
  <c r="N384" i="3" s="1"/>
  <c r="N385" i="3" a="1"/>
  <c r="N385" i="3" s="1"/>
  <c r="N386" i="3" a="1"/>
  <c r="N386" i="3" s="1"/>
  <c r="N387" i="3" a="1"/>
  <c r="N387" i="3" s="1"/>
  <c r="N388" i="3" a="1"/>
  <c r="N388" i="3" s="1"/>
  <c r="N389" i="3" a="1"/>
  <c r="N389" i="3" s="1"/>
  <c r="N390" i="3" a="1"/>
  <c r="N390" i="3" s="1"/>
  <c r="N391" i="3" a="1"/>
  <c r="N391" i="3" s="1"/>
  <c r="N392" i="3" a="1"/>
  <c r="N392" i="3" s="1"/>
  <c r="N393" i="3" a="1"/>
  <c r="N393" i="3" s="1"/>
  <c r="N394" i="3" a="1"/>
  <c r="N394" i="3" s="1"/>
  <c r="N395" i="3" a="1"/>
  <c r="N395" i="3" s="1"/>
  <c r="N396" i="3" a="1"/>
  <c r="N396" i="3" s="1"/>
  <c r="N397" i="3" a="1"/>
  <c r="N397" i="3" s="1"/>
  <c r="N398" i="3" a="1"/>
  <c r="N398" i="3" s="1"/>
  <c r="N399" i="3" a="1"/>
  <c r="N399" i="3" s="1"/>
  <c r="N400" i="3" a="1"/>
  <c r="N400" i="3" s="1"/>
  <c r="N401" i="3" a="1"/>
  <c r="N401" i="3" s="1"/>
  <c r="N402" i="3" a="1"/>
  <c r="N402" i="3" s="1"/>
  <c r="N403" i="3" a="1"/>
  <c r="N403" i="3" s="1"/>
  <c r="N404" i="3" a="1"/>
  <c r="N404" i="3" s="1"/>
  <c r="N405" i="3" a="1"/>
  <c r="N405" i="3" s="1"/>
  <c r="N406" i="3" a="1"/>
  <c r="N406" i="3" s="1"/>
  <c r="N407" i="3" a="1"/>
  <c r="N407" i="3" s="1"/>
  <c r="N408" i="3" a="1"/>
  <c r="N408" i="3" s="1"/>
  <c r="N409" i="3" a="1"/>
  <c r="N409" i="3" s="1"/>
  <c r="N410" i="3" a="1"/>
  <c r="N410" i="3" s="1"/>
  <c r="N411" i="3" a="1"/>
  <c r="N411" i="3" s="1"/>
  <c r="N412" i="3" a="1"/>
  <c r="N412" i="3" s="1"/>
  <c r="N413" i="3" a="1"/>
  <c r="N413" i="3" s="1"/>
  <c r="N414" i="3" a="1"/>
  <c r="N414" i="3" s="1"/>
  <c r="N415" i="3" a="1"/>
  <c r="N415" i="3" s="1"/>
  <c r="N416" i="3" a="1"/>
  <c r="N416" i="3" s="1"/>
  <c r="N417" i="3" a="1"/>
  <c r="N417" i="3" s="1"/>
  <c r="N418" i="3" a="1"/>
  <c r="N418" i="3" s="1"/>
  <c r="N419" i="3" a="1"/>
  <c r="N419" i="3" s="1"/>
  <c r="N420" i="3" a="1"/>
  <c r="N420" i="3" s="1"/>
  <c r="N421" i="3" a="1"/>
  <c r="N421" i="3" s="1"/>
  <c r="N422" i="3" a="1"/>
  <c r="N422" i="3" s="1"/>
  <c r="N423" i="3" a="1"/>
  <c r="N423" i="3" s="1"/>
  <c r="N424" i="3" a="1"/>
  <c r="N424" i="3" s="1"/>
  <c r="N425" i="3" a="1"/>
  <c r="N425" i="3" s="1"/>
  <c r="N426" i="3" a="1"/>
  <c r="N426" i="3" s="1"/>
  <c r="N427" i="3" a="1"/>
  <c r="N427" i="3" s="1"/>
  <c r="N428" i="3" a="1"/>
  <c r="N428" i="3" s="1"/>
  <c r="N429" i="3" a="1"/>
  <c r="N429" i="3" s="1"/>
  <c r="N430" i="3" a="1"/>
  <c r="N430" i="3" s="1"/>
  <c r="N431" i="3" a="1"/>
  <c r="N431" i="3" s="1"/>
  <c r="N432" i="3" a="1"/>
  <c r="N432" i="3" s="1"/>
  <c r="N433" i="3" a="1"/>
  <c r="N433" i="3" s="1"/>
  <c r="N434" i="3" a="1"/>
  <c r="N434" i="3" s="1"/>
  <c r="N435" i="3" a="1"/>
  <c r="N435" i="3" s="1"/>
  <c r="N436" i="3" a="1"/>
  <c r="N436" i="3" s="1"/>
  <c r="N437" i="3" a="1"/>
  <c r="N437" i="3" s="1"/>
  <c r="N438" i="3" a="1"/>
  <c r="N438" i="3" s="1"/>
  <c r="N439" i="3" a="1"/>
  <c r="N439" i="3" s="1"/>
  <c r="N440" i="3" a="1"/>
  <c r="N440" i="3" s="1"/>
  <c r="N441" i="3" a="1"/>
  <c r="N441" i="3" s="1"/>
  <c r="N442" i="3" a="1"/>
  <c r="N442" i="3" s="1"/>
  <c r="N443" i="3" a="1"/>
  <c r="N443" i="3" s="1"/>
  <c r="N444" i="3" a="1"/>
  <c r="N444" i="3" s="1"/>
  <c r="N445" i="3" a="1"/>
  <c r="N445" i="3" s="1"/>
  <c r="N446" i="3" a="1"/>
  <c r="N446" i="3" s="1"/>
  <c r="N447" i="3" a="1"/>
  <c r="N447" i="3" s="1"/>
  <c r="N448" i="3" a="1"/>
  <c r="N448" i="3" s="1"/>
  <c r="N449" i="3" a="1"/>
  <c r="N449" i="3" s="1"/>
  <c r="N450" i="3" a="1"/>
  <c r="N450" i="3" s="1"/>
  <c r="N451" i="3" a="1"/>
  <c r="N451" i="3" s="1"/>
  <c r="N452" i="3" a="1"/>
  <c r="N452" i="3" s="1"/>
  <c r="N453" i="3" a="1"/>
  <c r="N453" i="3" s="1"/>
  <c r="N454" i="3" a="1"/>
  <c r="N454" i="3" s="1"/>
  <c r="N455" i="3" a="1"/>
  <c r="N455" i="3" s="1"/>
  <c r="N456" i="3" a="1"/>
  <c r="N456" i="3" s="1"/>
  <c r="N457" i="3" a="1"/>
  <c r="N457" i="3" s="1"/>
  <c r="N458" i="3" a="1"/>
  <c r="N458" i="3" s="1"/>
  <c r="N459" i="3" a="1"/>
  <c r="N459" i="3" s="1"/>
  <c r="N460" i="3" a="1"/>
  <c r="N460" i="3" s="1"/>
  <c r="N461" i="3" a="1"/>
  <c r="N461" i="3" s="1"/>
  <c r="N462" i="3" a="1"/>
  <c r="N462" i="3" s="1"/>
  <c r="N463" i="3" a="1"/>
  <c r="N463" i="3" s="1"/>
  <c r="N464" i="3" a="1"/>
  <c r="N464" i="3" s="1"/>
  <c r="N465" i="3" a="1"/>
  <c r="N465" i="3" s="1"/>
  <c r="N466" i="3" a="1"/>
  <c r="N466" i="3" s="1"/>
  <c r="N467" i="3" a="1"/>
  <c r="N467" i="3" s="1"/>
  <c r="N468" i="3" a="1"/>
  <c r="N468" i="3" s="1"/>
  <c r="N469" i="3" a="1"/>
  <c r="N469" i="3" s="1"/>
  <c r="N470" i="3" a="1"/>
  <c r="N470" i="3" s="1"/>
  <c r="N471" i="3" a="1"/>
  <c r="N471" i="3" s="1"/>
  <c r="N472" i="3" a="1"/>
  <c r="N472" i="3" s="1"/>
  <c r="N473" i="3" a="1"/>
  <c r="N473" i="3" s="1"/>
  <c r="N474" i="3" a="1"/>
  <c r="N474" i="3" s="1"/>
  <c r="N475" i="3" a="1"/>
  <c r="N475" i="3" s="1"/>
  <c r="N476" i="3" a="1"/>
  <c r="N476" i="3" s="1"/>
  <c r="N477" i="3" a="1"/>
  <c r="N477" i="3" s="1"/>
  <c r="N478" i="3" a="1"/>
  <c r="N478" i="3" s="1"/>
  <c r="N479" i="3" a="1"/>
  <c r="N479" i="3" s="1"/>
  <c r="N480" i="3" a="1"/>
  <c r="N480" i="3" s="1"/>
  <c r="N481" i="3" a="1"/>
  <c r="N481" i="3" s="1"/>
  <c r="N482" i="3" a="1"/>
  <c r="N482" i="3" s="1"/>
  <c r="N483" i="3" a="1"/>
  <c r="N483" i="3" s="1"/>
  <c r="N484" i="3" a="1"/>
  <c r="N484" i="3" s="1"/>
  <c r="N485" i="3" a="1"/>
  <c r="N485" i="3" s="1"/>
  <c r="N486" i="3" a="1"/>
  <c r="N486" i="3" s="1"/>
  <c r="N487" i="3" a="1"/>
  <c r="N487" i="3" s="1"/>
  <c r="N488" i="3" a="1"/>
  <c r="N488" i="3" s="1"/>
  <c r="N489" i="3" a="1"/>
  <c r="N489" i="3" s="1"/>
  <c r="N490" i="3" a="1"/>
  <c r="N490" i="3" s="1"/>
  <c r="N491" i="3" a="1"/>
  <c r="N491" i="3" s="1"/>
  <c r="N492" i="3" a="1"/>
  <c r="N492" i="3" s="1"/>
  <c r="N493" i="3" a="1"/>
  <c r="N493" i="3" s="1"/>
  <c r="N494" i="3" a="1"/>
  <c r="N494" i="3" s="1"/>
  <c r="N495" i="3" a="1"/>
  <c r="N495" i="3" s="1"/>
  <c r="N496" i="3" a="1"/>
  <c r="N496" i="3" s="1"/>
  <c r="N497" i="3" a="1"/>
  <c r="N497" i="3" s="1"/>
  <c r="N498" i="3" a="1"/>
  <c r="N498" i="3" s="1"/>
  <c r="N499" i="3" a="1"/>
  <c r="N499" i="3" s="1"/>
  <c r="N500" i="3" a="1"/>
  <c r="N500" i="3" s="1"/>
  <c r="N501" i="3" a="1"/>
  <c r="N501" i="3" s="1"/>
  <c r="N502" i="3" a="1"/>
  <c r="N502" i="3" s="1"/>
  <c r="N503" i="3" a="1"/>
  <c r="N503" i="3" s="1"/>
  <c r="N504" i="3" a="1"/>
  <c r="N504" i="3" s="1"/>
  <c r="N505" i="3" a="1"/>
  <c r="N505" i="3" s="1"/>
  <c r="N506" i="3" a="1"/>
  <c r="N506" i="3" s="1"/>
  <c r="N507" i="3" a="1"/>
  <c r="N507" i="3" s="1"/>
  <c r="N508" i="3" a="1"/>
  <c r="N508" i="3" s="1"/>
  <c r="N509" i="3" a="1"/>
  <c r="N509" i="3" s="1"/>
  <c r="N510" i="3" a="1"/>
  <c r="N510" i="3" s="1"/>
  <c r="N511" i="3" a="1"/>
  <c r="N511" i="3" s="1"/>
  <c r="N512" i="3" a="1"/>
  <c r="N512" i="3" s="1"/>
  <c r="N513" i="3" a="1"/>
  <c r="N513" i="3" s="1"/>
  <c r="N514" i="3" a="1"/>
  <c r="N514" i="3" s="1"/>
  <c r="N515" i="3" a="1"/>
  <c r="N515" i="3" s="1"/>
  <c r="N516" i="3" a="1"/>
  <c r="N516" i="3" s="1"/>
  <c r="N517" i="3" a="1"/>
  <c r="N517" i="3" s="1"/>
  <c r="N518" i="3" a="1"/>
  <c r="N518" i="3" s="1"/>
  <c r="N519" i="3" a="1"/>
  <c r="N519" i="3" s="1"/>
  <c r="N520" i="3" a="1"/>
  <c r="N520" i="3" s="1"/>
  <c r="N521" i="3" a="1"/>
  <c r="N521" i="3" s="1"/>
  <c r="N522" i="3" a="1"/>
  <c r="N522" i="3" s="1"/>
  <c r="N523" i="3" a="1"/>
  <c r="N523" i="3" s="1"/>
  <c r="N524" i="3" a="1"/>
  <c r="N524" i="3" s="1"/>
  <c r="N525" i="3" a="1"/>
  <c r="N525" i="3" s="1"/>
  <c r="N526" i="3" a="1"/>
  <c r="N526" i="3" s="1"/>
  <c r="N527" i="3" a="1"/>
  <c r="N527" i="3" s="1"/>
  <c r="N528" i="3" a="1"/>
  <c r="N528" i="3" s="1"/>
  <c r="N529" i="3" a="1"/>
  <c r="N529" i="3" s="1"/>
  <c r="N530" i="3" a="1"/>
  <c r="N530" i="3" s="1"/>
  <c r="N531" i="3" a="1"/>
  <c r="N531" i="3" s="1"/>
  <c r="N532" i="3" a="1"/>
  <c r="N532" i="3" s="1"/>
  <c r="N533" i="3" a="1"/>
  <c r="N533" i="3" s="1"/>
  <c r="N534" i="3" a="1"/>
  <c r="N534" i="3" s="1"/>
  <c r="N535" i="3" a="1"/>
  <c r="N535" i="3" s="1"/>
  <c r="N536" i="3" a="1"/>
  <c r="N536" i="3" s="1"/>
  <c r="N537" i="3" a="1"/>
  <c r="N537" i="3" s="1"/>
  <c r="N538" i="3" a="1"/>
  <c r="N538" i="3" s="1"/>
  <c r="N539" i="3" a="1"/>
  <c r="N539" i="3" s="1"/>
  <c r="N540" i="3" a="1"/>
  <c r="N540" i="3" s="1"/>
  <c r="N541" i="3" a="1"/>
  <c r="N541" i="3" s="1"/>
  <c r="N542" i="3" a="1"/>
  <c r="N542" i="3" s="1"/>
  <c r="N543" i="3" a="1"/>
  <c r="N543" i="3" s="1"/>
  <c r="N544" i="3" a="1"/>
  <c r="N544" i="3" s="1"/>
  <c r="N545" i="3" a="1"/>
  <c r="N545" i="3" s="1"/>
  <c r="N546" i="3" a="1"/>
  <c r="N546" i="3" s="1"/>
  <c r="N547" i="3" a="1"/>
  <c r="N547" i="3" s="1"/>
  <c r="N548" i="3" a="1"/>
  <c r="N548" i="3" s="1"/>
  <c r="N549" i="3" a="1"/>
  <c r="N549" i="3" s="1"/>
  <c r="N550" i="3" a="1"/>
  <c r="N550" i="3" s="1"/>
  <c r="N551" i="3" a="1"/>
  <c r="N551" i="3" s="1"/>
  <c r="N552" i="3" a="1"/>
  <c r="N552" i="3" s="1"/>
  <c r="N553" i="3" a="1"/>
  <c r="N553" i="3" s="1"/>
  <c r="N554" i="3" a="1"/>
  <c r="N554" i="3" s="1"/>
  <c r="N555" i="3" a="1"/>
  <c r="N555" i="3" s="1"/>
  <c r="N556" i="3" a="1"/>
  <c r="N556" i="3" s="1"/>
  <c r="N557" i="3" a="1"/>
  <c r="N557" i="3" s="1"/>
  <c r="N558" i="3" a="1"/>
  <c r="N558" i="3" s="1"/>
  <c r="N559" i="3" a="1"/>
  <c r="N559" i="3" s="1"/>
  <c r="N560" i="3" a="1"/>
  <c r="N560" i="3" s="1"/>
  <c r="N561" i="3" a="1"/>
  <c r="N561" i="3" s="1"/>
  <c r="N562" i="3" a="1"/>
  <c r="N562" i="3" s="1"/>
  <c r="N563" i="3" a="1"/>
  <c r="N563" i="3" s="1"/>
  <c r="N564" i="3" a="1"/>
  <c r="N564" i="3" s="1"/>
  <c r="N565" i="3" a="1"/>
  <c r="N565" i="3" s="1"/>
  <c r="N566" i="3" a="1"/>
  <c r="N566" i="3" s="1"/>
  <c r="N567" i="3" a="1"/>
  <c r="N567" i="3" s="1"/>
  <c r="N568" i="3" a="1"/>
  <c r="N568" i="3" s="1"/>
  <c r="N569" i="3" a="1"/>
  <c r="N569" i="3" s="1"/>
  <c r="N570" i="3" a="1"/>
  <c r="N570" i="3" s="1"/>
  <c r="N571" i="3" a="1"/>
  <c r="N571" i="3" s="1"/>
  <c r="N572" i="3" a="1"/>
  <c r="N572" i="3" s="1"/>
  <c r="N573" i="3" a="1"/>
  <c r="N573" i="3" s="1"/>
  <c r="N574" i="3" a="1"/>
  <c r="N574" i="3" s="1"/>
  <c r="N575" i="3" a="1"/>
  <c r="N575" i="3" s="1"/>
  <c r="N576" i="3" a="1"/>
  <c r="N576" i="3" s="1"/>
  <c r="N577" i="3" a="1"/>
  <c r="N577" i="3" s="1"/>
  <c r="N578" i="3" a="1"/>
  <c r="N578" i="3" s="1"/>
  <c r="N579" i="3" a="1"/>
  <c r="N579" i="3" s="1"/>
  <c r="N580" i="3" a="1"/>
  <c r="N580" i="3" s="1"/>
  <c r="N581" i="3" a="1"/>
  <c r="N581" i="3" s="1"/>
  <c r="N582" i="3" a="1"/>
  <c r="N582" i="3" s="1"/>
  <c r="N583" i="3" a="1"/>
  <c r="N583" i="3" s="1"/>
  <c r="N584" i="3" a="1"/>
  <c r="N584" i="3" s="1"/>
  <c r="N585" i="3" a="1"/>
  <c r="N585" i="3" s="1"/>
  <c r="N586" i="3" a="1"/>
  <c r="N586" i="3" s="1"/>
  <c r="N587" i="3" a="1"/>
  <c r="N587" i="3" s="1"/>
  <c r="N588" i="3" a="1"/>
  <c r="N588" i="3" s="1"/>
  <c r="N589" i="3" a="1"/>
  <c r="N589" i="3" s="1"/>
  <c r="N590" i="3" a="1"/>
  <c r="N590" i="3" s="1"/>
  <c r="N591" i="3" a="1"/>
  <c r="N591" i="3" s="1"/>
  <c r="N592" i="3" a="1"/>
  <c r="N592" i="3" s="1"/>
  <c r="N593" i="3" a="1"/>
  <c r="N593" i="3" s="1"/>
  <c r="N594" i="3" a="1"/>
  <c r="N594" i="3" s="1"/>
  <c r="N595" i="3" a="1"/>
  <c r="N595" i="3" s="1"/>
  <c r="N596" i="3" a="1"/>
  <c r="N596" i="3" s="1"/>
  <c r="N597" i="3" a="1"/>
  <c r="N597" i="3" s="1"/>
  <c r="N598" i="3" a="1"/>
  <c r="N598" i="3" s="1"/>
  <c r="N599" i="3" a="1"/>
  <c r="N599" i="3" s="1"/>
  <c r="N600" i="3" a="1"/>
  <c r="N600" i="3" s="1"/>
  <c r="N601" i="3" a="1"/>
  <c r="N601" i="3" s="1"/>
  <c r="N602" i="3" a="1"/>
  <c r="N602" i="3" s="1"/>
  <c r="N603" i="3" a="1"/>
  <c r="N603" i="3" s="1"/>
  <c r="N604" i="3" a="1"/>
  <c r="N604" i="3" s="1"/>
  <c r="N605" i="3" a="1"/>
  <c r="N605" i="3" s="1"/>
  <c r="N606" i="3" a="1"/>
  <c r="N606" i="3" s="1"/>
  <c r="N607" i="3" a="1"/>
  <c r="N607" i="3" s="1"/>
  <c r="N608" i="3" a="1"/>
  <c r="N608" i="3" s="1"/>
  <c r="N609" i="3" a="1"/>
  <c r="N609" i="3" s="1"/>
  <c r="N610" i="3" a="1"/>
  <c r="N610" i="3" s="1"/>
  <c r="N611" i="3" a="1"/>
  <c r="N611" i="3" s="1"/>
  <c r="N612" i="3" a="1"/>
  <c r="N612" i="3" s="1"/>
  <c r="N613" i="3" a="1"/>
  <c r="N613" i="3" s="1"/>
  <c r="N614" i="3" a="1"/>
  <c r="N614" i="3" s="1"/>
  <c r="N615" i="3" a="1"/>
  <c r="N615" i="3" s="1"/>
  <c r="N616" i="3" a="1"/>
  <c r="N616" i="3" s="1"/>
  <c r="N617" i="3" a="1"/>
  <c r="N617" i="3" s="1"/>
  <c r="N618" i="3" a="1"/>
  <c r="N618" i="3" s="1"/>
  <c r="N619" i="3" a="1"/>
  <c r="N619" i="3" s="1"/>
  <c r="N620" i="3" a="1"/>
  <c r="N620" i="3" s="1"/>
  <c r="N621" i="3" a="1"/>
  <c r="N621" i="3" s="1"/>
  <c r="N622" i="3" a="1"/>
  <c r="N622" i="3" s="1"/>
  <c r="N623" i="3" a="1"/>
  <c r="N623" i="3" s="1"/>
  <c r="N624" i="3" a="1"/>
  <c r="N624" i="3" s="1"/>
  <c r="N625" i="3" a="1"/>
  <c r="N625" i="3" s="1"/>
  <c r="N626" i="3" a="1"/>
  <c r="N626" i="3" s="1"/>
  <c r="N627" i="3" a="1"/>
  <c r="N627" i="3" s="1"/>
  <c r="N628" i="3" a="1"/>
  <c r="N628" i="3" s="1"/>
  <c r="N629" i="3" a="1"/>
  <c r="N629" i="3" s="1"/>
  <c r="N630" i="3" a="1"/>
  <c r="N630" i="3" s="1"/>
  <c r="N631" i="3" a="1"/>
  <c r="N631" i="3" s="1"/>
  <c r="N632" i="3" a="1"/>
  <c r="N632" i="3" s="1"/>
  <c r="N633" i="3" a="1"/>
  <c r="N633" i="3" s="1"/>
  <c r="N634" i="3" a="1"/>
  <c r="N634" i="3" s="1"/>
  <c r="N635" i="3" a="1"/>
  <c r="N635" i="3" s="1"/>
  <c r="N636" i="3" a="1"/>
  <c r="N636" i="3" s="1"/>
  <c r="N637" i="3" a="1"/>
  <c r="N637" i="3" s="1"/>
  <c r="N638" i="3" a="1"/>
  <c r="N638" i="3" s="1"/>
  <c r="N639" i="3" a="1"/>
  <c r="N639" i="3" s="1"/>
  <c r="N640" i="3" a="1"/>
  <c r="N640" i="3" s="1"/>
  <c r="N641" i="3" a="1"/>
  <c r="N641" i="3" s="1"/>
  <c r="N642" i="3" a="1"/>
  <c r="N642" i="3" s="1"/>
  <c r="N643" i="3" a="1"/>
  <c r="N643" i="3" s="1"/>
  <c r="N644" i="3" a="1"/>
  <c r="N644" i="3" s="1"/>
  <c r="N645" i="3" a="1"/>
  <c r="N645" i="3" s="1"/>
  <c r="N646" i="3" a="1"/>
  <c r="N646" i="3" s="1"/>
  <c r="N647" i="3" a="1"/>
  <c r="N647" i="3" s="1"/>
  <c r="N648" i="3" a="1"/>
  <c r="N648" i="3" s="1"/>
  <c r="N649" i="3" a="1"/>
  <c r="N649" i="3" s="1"/>
  <c r="N650" i="3" a="1"/>
  <c r="N650" i="3" s="1"/>
  <c r="N651" i="3" a="1"/>
  <c r="N651" i="3" s="1"/>
  <c r="N652" i="3" a="1"/>
  <c r="N652" i="3" s="1"/>
  <c r="N653" i="3" a="1"/>
  <c r="N653" i="3" s="1"/>
  <c r="N654" i="3" a="1"/>
  <c r="N654" i="3" s="1"/>
  <c r="N655" i="3" a="1"/>
  <c r="N655" i="3" s="1"/>
  <c r="N656" i="3" a="1"/>
  <c r="N656" i="3" s="1"/>
  <c r="N657" i="3" a="1"/>
  <c r="N657" i="3" s="1"/>
  <c r="N658" i="3" a="1"/>
  <c r="N658" i="3" s="1"/>
  <c r="N659" i="3" a="1"/>
  <c r="N659" i="3" s="1"/>
  <c r="N660" i="3" a="1"/>
  <c r="N660" i="3" s="1"/>
  <c r="N661" i="3" a="1"/>
  <c r="N661" i="3" s="1"/>
  <c r="N662" i="3" a="1"/>
  <c r="N662" i="3" s="1"/>
  <c r="N663" i="3" a="1"/>
  <c r="N663" i="3" s="1"/>
  <c r="N664" i="3" a="1"/>
  <c r="N664" i="3" s="1"/>
  <c r="N665" i="3" a="1"/>
  <c r="N665" i="3" s="1"/>
  <c r="N666" i="3" a="1"/>
  <c r="N666" i="3" s="1"/>
  <c r="N667" i="3" a="1"/>
  <c r="N667" i="3" s="1"/>
  <c r="N668" i="3" a="1"/>
  <c r="N668" i="3" s="1"/>
  <c r="N669" i="3" a="1"/>
  <c r="N669" i="3" s="1"/>
  <c r="N670" i="3" a="1"/>
  <c r="N670" i="3" s="1"/>
  <c r="N671" i="3" a="1"/>
  <c r="N671" i="3" s="1"/>
  <c r="N672" i="3" a="1"/>
  <c r="N672" i="3" s="1"/>
  <c r="N673" i="3" a="1"/>
  <c r="N673" i="3" s="1"/>
  <c r="N674" i="3" a="1"/>
  <c r="N674" i="3" s="1"/>
  <c r="N675" i="3" a="1"/>
  <c r="N675" i="3" s="1"/>
  <c r="N676" i="3" a="1"/>
  <c r="N676" i="3" s="1"/>
  <c r="N677" i="3" a="1"/>
  <c r="N677" i="3" s="1"/>
  <c r="N678" i="3" a="1"/>
  <c r="N678" i="3" s="1"/>
  <c r="N679" i="3" a="1"/>
  <c r="N679" i="3" s="1"/>
  <c r="N680" i="3" a="1"/>
  <c r="N680" i="3" s="1"/>
  <c r="N681" i="3" a="1"/>
  <c r="N681" i="3" s="1"/>
  <c r="N682" i="3" a="1"/>
  <c r="N682" i="3" s="1"/>
  <c r="N683" i="3" a="1"/>
  <c r="N683" i="3" s="1"/>
  <c r="N684" i="3" a="1"/>
  <c r="N684" i="3" s="1"/>
  <c r="N685" i="3" a="1"/>
  <c r="N685" i="3" s="1"/>
  <c r="N686" i="3" a="1"/>
  <c r="N686" i="3" s="1"/>
  <c r="N687" i="3" a="1"/>
  <c r="N687" i="3" s="1"/>
  <c r="N688" i="3" a="1"/>
  <c r="N688" i="3" s="1"/>
  <c r="N689" i="3" a="1"/>
  <c r="N689" i="3" s="1"/>
  <c r="N690" i="3" a="1"/>
  <c r="N690" i="3" s="1"/>
  <c r="N691" i="3" a="1"/>
  <c r="N691" i="3" s="1"/>
  <c r="N692" i="3" a="1"/>
  <c r="N692" i="3" s="1"/>
  <c r="N693" i="3" a="1"/>
  <c r="N693" i="3" s="1"/>
  <c r="N694" i="3" a="1"/>
  <c r="N694" i="3" s="1"/>
  <c r="N695" i="3" a="1"/>
  <c r="N695" i="3" s="1"/>
  <c r="N696" i="3" a="1"/>
  <c r="N696" i="3" s="1"/>
  <c r="N697" i="3" a="1"/>
  <c r="N697" i="3" s="1"/>
  <c r="N698" i="3" a="1"/>
  <c r="N698" i="3" s="1"/>
  <c r="N699" i="3" a="1"/>
  <c r="N699" i="3" s="1"/>
  <c r="N700" i="3" a="1"/>
  <c r="N700" i="3" s="1"/>
  <c r="N701" i="3" a="1"/>
  <c r="N701" i="3" s="1"/>
  <c r="N702" i="3" a="1"/>
  <c r="N702" i="3" s="1"/>
  <c r="N703" i="3" a="1"/>
  <c r="N703" i="3" s="1"/>
  <c r="N704" i="3" a="1"/>
  <c r="N704" i="3" s="1"/>
  <c r="N705" i="3" a="1"/>
  <c r="N705" i="3" s="1"/>
  <c r="N706" i="3" a="1"/>
  <c r="N706" i="3" s="1"/>
  <c r="N707" i="3" a="1"/>
  <c r="N707" i="3" s="1"/>
  <c r="N708" i="3" a="1"/>
  <c r="N708" i="3" s="1"/>
  <c r="N709" i="3" a="1"/>
  <c r="N709" i="3" s="1"/>
  <c r="N710" i="3" a="1"/>
  <c r="N710" i="3" s="1"/>
  <c r="N711" i="3" a="1"/>
  <c r="N711" i="3" s="1"/>
  <c r="N712" i="3" a="1"/>
  <c r="N712" i="3" s="1"/>
  <c r="N713" i="3" a="1"/>
  <c r="N713" i="3" s="1"/>
  <c r="N714" i="3" a="1"/>
  <c r="N714" i="3" s="1"/>
  <c r="N715" i="3" a="1"/>
  <c r="N715" i="3" s="1"/>
  <c r="N716" i="3" a="1"/>
  <c r="N716" i="3" s="1"/>
  <c r="N717" i="3" a="1"/>
  <c r="N717" i="3" s="1"/>
  <c r="N718" i="3" a="1"/>
  <c r="N718" i="3" s="1"/>
  <c r="N719" i="3" a="1"/>
  <c r="N719" i="3" s="1"/>
  <c r="N720" i="3" a="1"/>
  <c r="N720" i="3" s="1"/>
  <c r="N721" i="3" a="1"/>
  <c r="N721" i="3" s="1"/>
  <c r="N722" i="3" a="1"/>
  <c r="N722" i="3" s="1"/>
  <c r="N723" i="3" a="1"/>
  <c r="N723" i="3" s="1"/>
  <c r="N724" i="3" a="1"/>
  <c r="N724" i="3" s="1"/>
  <c r="N725" i="3" a="1"/>
  <c r="N725" i="3" s="1"/>
  <c r="N726" i="3" a="1"/>
  <c r="N726" i="3" s="1"/>
  <c r="N727" i="3" a="1"/>
  <c r="N727" i="3" s="1"/>
  <c r="N728" i="3" a="1"/>
  <c r="N728" i="3" s="1"/>
  <c r="N729" i="3" a="1"/>
  <c r="N729" i="3" s="1"/>
  <c r="N730" i="3" a="1"/>
  <c r="N730" i="3" s="1"/>
  <c r="N731" i="3" a="1"/>
  <c r="N731" i="3" s="1"/>
  <c r="N732" i="3" a="1"/>
  <c r="N732" i="3" s="1"/>
  <c r="N733" i="3" a="1"/>
  <c r="N733" i="3" s="1"/>
  <c r="N734" i="3" a="1"/>
  <c r="N734" i="3" s="1"/>
  <c r="N735" i="3" a="1"/>
  <c r="N735" i="3" s="1"/>
  <c r="N736" i="3" a="1"/>
  <c r="N736" i="3" s="1"/>
  <c r="N737" i="3" a="1"/>
  <c r="N737" i="3" s="1"/>
  <c r="N738" i="3" a="1"/>
  <c r="N738" i="3" s="1"/>
  <c r="N739" i="3" a="1"/>
  <c r="N739" i="3" s="1"/>
  <c r="N740" i="3" a="1"/>
  <c r="N740" i="3" s="1"/>
  <c r="N741" i="3" a="1"/>
  <c r="N741" i="3" s="1"/>
  <c r="N742" i="3" a="1"/>
  <c r="N742" i="3" s="1"/>
  <c r="N743" i="3" a="1"/>
  <c r="N743" i="3" s="1"/>
  <c r="N744" i="3" a="1"/>
  <c r="N744" i="3" s="1"/>
  <c r="N745" i="3" a="1"/>
  <c r="N745" i="3" s="1"/>
  <c r="N746" i="3" a="1"/>
  <c r="N746" i="3" s="1"/>
  <c r="N747" i="3" a="1"/>
  <c r="N747" i="3" s="1"/>
  <c r="N748" i="3" a="1"/>
  <c r="N748" i="3" s="1"/>
  <c r="N749" i="3" a="1"/>
  <c r="N749" i="3" s="1"/>
  <c r="N750" i="3" a="1"/>
  <c r="N750" i="3" s="1"/>
  <c r="N751" i="3" a="1"/>
  <c r="N751" i="3" s="1"/>
  <c r="N752" i="3" a="1"/>
  <c r="N752" i="3" s="1"/>
  <c r="N753" i="3" a="1"/>
  <c r="N753" i="3" s="1"/>
  <c r="N754" i="3" a="1"/>
  <c r="N754" i="3" s="1"/>
  <c r="N755" i="3" a="1"/>
  <c r="N755" i="3" s="1"/>
  <c r="N756" i="3" a="1"/>
  <c r="N756" i="3" s="1"/>
  <c r="N757" i="3" a="1"/>
  <c r="N757" i="3" s="1"/>
  <c r="N758" i="3" a="1"/>
  <c r="N758" i="3" s="1"/>
  <c r="N759" i="3" a="1"/>
  <c r="N759" i="3" s="1"/>
  <c r="N760" i="3" a="1"/>
  <c r="N760" i="3" s="1"/>
  <c r="N761" i="3" a="1"/>
  <c r="N761" i="3" s="1"/>
  <c r="N762" i="3" a="1"/>
  <c r="N762" i="3" s="1"/>
  <c r="N763" i="3" a="1"/>
  <c r="N763" i="3" s="1"/>
  <c r="N764" i="3" a="1"/>
  <c r="N764" i="3" s="1"/>
  <c r="N765" i="3" a="1"/>
  <c r="N765" i="3" s="1"/>
  <c r="N766" i="3" a="1"/>
  <c r="N766" i="3" s="1"/>
  <c r="N767" i="3" a="1"/>
  <c r="N767" i="3" s="1"/>
  <c r="N768" i="3" a="1"/>
  <c r="N768" i="3" s="1"/>
  <c r="N769" i="3" a="1"/>
  <c r="N769" i="3" s="1"/>
  <c r="N770" i="3" a="1"/>
  <c r="N770" i="3" s="1"/>
  <c r="N771" i="3" a="1"/>
  <c r="N771" i="3" s="1"/>
  <c r="N772" i="3" a="1"/>
  <c r="N772" i="3" s="1"/>
  <c r="N773" i="3" a="1"/>
  <c r="N773" i="3" s="1"/>
  <c r="N774" i="3" a="1"/>
  <c r="N774" i="3" s="1"/>
  <c r="N775" i="3" a="1"/>
  <c r="N775" i="3" s="1"/>
  <c r="N776" i="3" a="1"/>
  <c r="N776" i="3" s="1"/>
  <c r="N777" i="3" a="1"/>
  <c r="N777" i="3" s="1"/>
  <c r="N778" i="3" a="1"/>
  <c r="N778" i="3" s="1"/>
  <c r="N779" i="3" a="1"/>
  <c r="N779" i="3" s="1"/>
  <c r="N780" i="3" a="1"/>
  <c r="N780" i="3" s="1"/>
  <c r="N781" i="3" a="1"/>
  <c r="N781" i="3" s="1"/>
  <c r="N782" i="3" a="1"/>
  <c r="N782" i="3" s="1"/>
  <c r="N783" i="3" a="1"/>
  <c r="N783" i="3" s="1"/>
  <c r="N784" i="3" a="1"/>
  <c r="N784" i="3" s="1"/>
  <c r="N785" i="3" a="1"/>
  <c r="N785" i="3" s="1"/>
  <c r="N786" i="3" a="1"/>
  <c r="N786" i="3" s="1"/>
  <c r="N787" i="3" a="1"/>
  <c r="N787" i="3" s="1"/>
  <c r="N788" i="3" a="1"/>
  <c r="N788" i="3" s="1"/>
  <c r="N789" i="3" a="1"/>
  <c r="N789" i="3" s="1"/>
  <c r="N790" i="3" a="1"/>
  <c r="N790" i="3" s="1"/>
  <c r="N791" i="3" a="1"/>
  <c r="N791" i="3" s="1"/>
  <c r="N792" i="3" a="1"/>
  <c r="N792" i="3" s="1"/>
  <c r="N793" i="3" a="1"/>
  <c r="N793" i="3" s="1"/>
  <c r="N794" i="3" a="1"/>
  <c r="N794" i="3" s="1"/>
  <c r="N795" i="3" a="1"/>
  <c r="N795" i="3" s="1"/>
  <c r="N796" i="3" a="1"/>
  <c r="N796" i="3" s="1"/>
  <c r="N797" i="3" a="1"/>
  <c r="N797" i="3" s="1"/>
  <c r="N798" i="3" a="1"/>
  <c r="N798" i="3" s="1"/>
  <c r="N799" i="3" a="1"/>
  <c r="N799" i="3" s="1"/>
  <c r="N800" i="3" a="1"/>
  <c r="N800" i="3" s="1"/>
  <c r="N801" i="3" a="1"/>
  <c r="N801" i="3" s="1"/>
  <c r="N802" i="3" a="1"/>
  <c r="N802" i="3" s="1"/>
  <c r="N803" i="3" a="1"/>
  <c r="N803" i="3" s="1"/>
  <c r="N804" i="3" a="1"/>
  <c r="N804" i="3" s="1"/>
  <c r="N805" i="3" a="1"/>
  <c r="N805" i="3" s="1"/>
  <c r="N806" i="3" a="1"/>
  <c r="N806" i="3" s="1"/>
  <c r="N807" i="3" a="1"/>
  <c r="N807" i="3" s="1"/>
  <c r="N808" i="3" a="1"/>
  <c r="N808" i="3" s="1"/>
  <c r="N809" i="3" a="1"/>
  <c r="N809" i="3" s="1"/>
  <c r="N810" i="3" a="1"/>
  <c r="N810" i="3" s="1"/>
  <c r="N811" i="3" a="1"/>
  <c r="N811" i="3" s="1"/>
  <c r="N812" i="3" a="1"/>
  <c r="N812" i="3" s="1"/>
  <c r="N813" i="3" a="1"/>
  <c r="N813" i="3" s="1"/>
  <c r="N814" i="3" a="1"/>
  <c r="N814" i="3" s="1"/>
  <c r="N815" i="3" a="1"/>
  <c r="N815" i="3" s="1"/>
  <c r="N816" i="3" a="1"/>
  <c r="N816" i="3" s="1"/>
  <c r="N817" i="3" a="1"/>
  <c r="N817" i="3" s="1"/>
  <c r="N818" i="3" a="1"/>
  <c r="N818" i="3" s="1"/>
  <c r="N819" i="3" a="1"/>
  <c r="N819" i="3" s="1"/>
  <c r="N820" i="3" a="1"/>
  <c r="N820" i="3" s="1"/>
  <c r="N821" i="3" a="1"/>
  <c r="N821" i="3" s="1"/>
  <c r="N822" i="3" a="1"/>
  <c r="N822" i="3" s="1"/>
  <c r="N823" i="3" a="1"/>
  <c r="N823" i="3" s="1"/>
  <c r="N824" i="3" a="1"/>
  <c r="N824" i="3" s="1"/>
  <c r="N825" i="3" a="1"/>
  <c r="N825" i="3" s="1"/>
  <c r="N826" i="3" a="1"/>
  <c r="N826" i="3" s="1"/>
  <c r="N827" i="3" a="1"/>
  <c r="N827" i="3" s="1"/>
  <c r="N828" i="3" a="1"/>
  <c r="N828" i="3" s="1"/>
  <c r="N829" i="3" a="1"/>
  <c r="N829" i="3" s="1"/>
  <c r="N830" i="3" a="1"/>
  <c r="N830" i="3" s="1"/>
  <c r="N831" i="3" a="1"/>
  <c r="N831" i="3" s="1"/>
  <c r="N832" i="3" a="1"/>
  <c r="N832" i="3" s="1"/>
  <c r="N833" i="3" a="1"/>
  <c r="N833" i="3" s="1"/>
  <c r="N834" i="3" a="1"/>
  <c r="N834" i="3" s="1"/>
  <c r="N835" i="3" a="1"/>
  <c r="N835" i="3" s="1"/>
  <c r="N836" i="3" a="1"/>
  <c r="N836" i="3" s="1"/>
  <c r="N837" i="3" a="1"/>
  <c r="N837" i="3" s="1"/>
  <c r="N838" i="3" a="1"/>
  <c r="N838" i="3" s="1"/>
  <c r="N839" i="3" a="1"/>
  <c r="N839" i="3" s="1"/>
  <c r="N840" i="3" a="1"/>
  <c r="N840" i="3" s="1"/>
  <c r="N841" i="3" a="1"/>
  <c r="N841" i="3" s="1"/>
  <c r="N842" i="3" a="1"/>
  <c r="N842" i="3" s="1"/>
  <c r="N843" i="3" a="1"/>
  <c r="N843" i="3" s="1"/>
  <c r="N844" i="3" a="1"/>
  <c r="N844" i="3" s="1"/>
  <c r="N845" i="3" a="1"/>
  <c r="N845" i="3" s="1"/>
  <c r="N846" i="3" a="1"/>
  <c r="N846" i="3" s="1"/>
  <c r="N847" i="3" a="1"/>
  <c r="N847" i="3" s="1"/>
  <c r="N848" i="3" a="1"/>
  <c r="N848" i="3" s="1"/>
  <c r="N849" i="3" a="1"/>
  <c r="N849" i="3" s="1"/>
  <c r="N850" i="3" a="1"/>
  <c r="N850" i="3" s="1"/>
  <c r="N851" i="3" a="1"/>
  <c r="N851" i="3" s="1"/>
  <c r="N852" i="3" a="1"/>
  <c r="N852" i="3" s="1"/>
  <c r="N853" i="3" a="1"/>
  <c r="N853" i="3" s="1"/>
  <c r="N854" i="3" a="1"/>
  <c r="N854" i="3" s="1"/>
  <c r="N855" i="3" a="1"/>
  <c r="N855" i="3" s="1"/>
  <c r="N856" i="3" a="1"/>
  <c r="N856" i="3" s="1"/>
  <c r="N857" i="3" a="1"/>
  <c r="N857" i="3" s="1"/>
  <c r="N858" i="3" a="1"/>
  <c r="N858" i="3" s="1"/>
  <c r="N859" i="3" a="1"/>
  <c r="N859" i="3" s="1"/>
  <c r="N860" i="3" a="1"/>
  <c r="N860" i="3" s="1"/>
  <c r="N861" i="3" a="1"/>
  <c r="N861" i="3" s="1"/>
  <c r="N862" i="3" a="1"/>
  <c r="N862" i="3" s="1"/>
  <c r="N863" i="3" a="1"/>
  <c r="N863" i="3" s="1"/>
  <c r="N864" i="3" a="1"/>
  <c r="N864" i="3" s="1"/>
  <c r="N865" i="3" a="1"/>
  <c r="N865" i="3" s="1"/>
  <c r="N866" i="3" a="1"/>
  <c r="N866" i="3" s="1"/>
  <c r="N867" i="3" a="1"/>
  <c r="N867" i="3" s="1"/>
  <c r="N868" i="3" a="1"/>
  <c r="N868" i="3" s="1"/>
  <c r="N869" i="3" a="1"/>
  <c r="N869" i="3" s="1"/>
  <c r="N870" i="3" a="1"/>
  <c r="N870" i="3" s="1"/>
  <c r="N871" i="3" a="1"/>
  <c r="N871" i="3" s="1"/>
  <c r="N872" i="3" a="1"/>
  <c r="N872" i="3" s="1"/>
  <c r="N873" i="3" a="1"/>
  <c r="N873" i="3" s="1"/>
  <c r="N874" i="3" a="1"/>
  <c r="N874" i="3" s="1"/>
  <c r="N875" i="3" a="1"/>
  <c r="N875" i="3" s="1"/>
  <c r="N876" i="3" a="1"/>
  <c r="N876" i="3" s="1"/>
  <c r="N877" i="3" a="1"/>
  <c r="N877" i="3" s="1"/>
  <c r="N878" i="3" a="1"/>
  <c r="N878" i="3" s="1"/>
  <c r="N879" i="3" a="1"/>
  <c r="N879" i="3" s="1"/>
  <c r="N880" i="3" a="1"/>
  <c r="N880" i="3" s="1"/>
  <c r="N881" i="3" a="1"/>
  <c r="N881" i="3" s="1"/>
  <c r="N882" i="3" a="1"/>
  <c r="N882" i="3" s="1"/>
  <c r="N883" i="3" a="1"/>
  <c r="N883" i="3" s="1"/>
  <c r="N884" i="3" a="1"/>
  <c r="N884" i="3" s="1"/>
  <c r="N885" i="3" a="1"/>
  <c r="N885" i="3" s="1"/>
  <c r="N886" i="3" a="1"/>
  <c r="N886" i="3" s="1"/>
  <c r="N887" i="3" a="1"/>
  <c r="N887" i="3" s="1"/>
  <c r="N888" i="3" a="1"/>
  <c r="N888" i="3" s="1"/>
  <c r="N889" i="3" a="1"/>
  <c r="N889" i="3" s="1"/>
  <c r="N890" i="3" a="1"/>
  <c r="N890" i="3" s="1"/>
  <c r="N891" i="3" a="1"/>
  <c r="N891" i="3" s="1"/>
  <c r="N892" i="3" a="1"/>
  <c r="N892" i="3" s="1"/>
  <c r="N893" i="3" a="1"/>
  <c r="N893" i="3" s="1"/>
  <c r="N894" i="3" a="1"/>
  <c r="N894" i="3" s="1"/>
  <c r="N895" i="3" a="1"/>
  <c r="N895" i="3" s="1"/>
  <c r="N896" i="3" a="1"/>
  <c r="N896" i="3" s="1"/>
  <c r="N897" i="3" a="1"/>
  <c r="N897" i="3" s="1"/>
  <c r="N898" i="3" a="1"/>
  <c r="N898" i="3" s="1"/>
  <c r="N899" i="3" a="1"/>
  <c r="N899" i="3" s="1"/>
  <c r="N900" i="3" a="1"/>
  <c r="N900" i="3" s="1"/>
  <c r="N901" i="3" a="1"/>
  <c r="N901" i="3" s="1"/>
  <c r="N902" i="3" a="1"/>
  <c r="N902" i="3" s="1"/>
  <c r="N903" i="3" a="1"/>
  <c r="N903" i="3" s="1"/>
  <c r="N904" i="3" a="1"/>
  <c r="N904" i="3" s="1"/>
  <c r="N905" i="3" a="1"/>
  <c r="N905" i="3" s="1"/>
  <c r="N906" i="3" a="1"/>
  <c r="N906" i="3" s="1"/>
  <c r="N907" i="3" a="1"/>
  <c r="N907" i="3" s="1"/>
  <c r="N908" i="3" a="1"/>
  <c r="N908" i="3" s="1"/>
  <c r="N909" i="3" a="1"/>
  <c r="N909" i="3" s="1"/>
  <c r="N910" i="3" a="1"/>
  <c r="N910" i="3" s="1"/>
  <c r="N911" i="3" a="1"/>
  <c r="N911" i="3" s="1"/>
  <c r="N912" i="3" a="1"/>
  <c r="N912" i="3" s="1"/>
  <c r="N913" i="3" a="1"/>
  <c r="N913" i="3" s="1"/>
  <c r="N914" i="3" a="1"/>
  <c r="N914" i="3" s="1"/>
  <c r="N915" i="3" a="1"/>
  <c r="N915" i="3" s="1"/>
  <c r="N916" i="3" a="1"/>
  <c r="N916" i="3" s="1"/>
  <c r="N917" i="3" a="1"/>
  <c r="N917" i="3" s="1"/>
  <c r="N918" i="3" a="1"/>
  <c r="N918" i="3" s="1"/>
  <c r="N919" i="3" a="1"/>
  <c r="N919" i="3" s="1"/>
  <c r="N920" i="3" a="1"/>
  <c r="N920" i="3" s="1"/>
  <c r="N921" i="3" a="1"/>
  <c r="N921" i="3" s="1"/>
  <c r="N922" i="3" a="1"/>
  <c r="N922" i="3" s="1"/>
  <c r="N923" i="3" a="1"/>
  <c r="N923" i="3" s="1"/>
  <c r="N924" i="3" a="1"/>
  <c r="N924" i="3" s="1"/>
  <c r="N925" i="3" a="1"/>
  <c r="N925" i="3" s="1"/>
  <c r="N926" i="3" a="1"/>
  <c r="N926" i="3" s="1"/>
  <c r="N927" i="3" a="1"/>
  <c r="N927" i="3" s="1"/>
  <c r="N928" i="3" a="1"/>
  <c r="N928" i="3" s="1"/>
  <c r="N929" i="3" a="1"/>
  <c r="N929" i="3" s="1"/>
  <c r="N930" i="3" a="1"/>
  <c r="N930" i="3" s="1"/>
  <c r="N931" i="3" a="1"/>
  <c r="N931" i="3" s="1"/>
  <c r="N932" i="3" a="1"/>
  <c r="N932" i="3" s="1"/>
  <c r="N933" i="3" a="1"/>
  <c r="N933" i="3" s="1"/>
  <c r="N934" i="3" a="1"/>
  <c r="N934" i="3" s="1"/>
  <c r="N935" i="3" a="1"/>
  <c r="N935" i="3" s="1"/>
  <c r="N936" i="3" a="1"/>
  <c r="N936" i="3" s="1"/>
  <c r="N937" i="3" a="1"/>
  <c r="N937" i="3" s="1"/>
  <c r="N938" i="3" a="1"/>
  <c r="N938" i="3" s="1"/>
  <c r="N939" i="3" a="1"/>
  <c r="N939" i="3" s="1"/>
  <c r="N940" i="3" a="1"/>
  <c r="N940" i="3" s="1"/>
  <c r="N941" i="3" a="1"/>
  <c r="N941" i="3" s="1"/>
  <c r="N942" i="3" a="1"/>
  <c r="N942" i="3" s="1"/>
  <c r="N943" i="3" a="1"/>
  <c r="N943" i="3" s="1"/>
  <c r="N944" i="3" a="1"/>
  <c r="N944" i="3" s="1"/>
  <c r="N945" i="3" a="1"/>
  <c r="N945" i="3" s="1"/>
  <c r="N946" i="3" a="1"/>
  <c r="N946" i="3" s="1"/>
  <c r="N947" i="3" a="1"/>
  <c r="N947" i="3" s="1"/>
  <c r="N948" i="3" a="1"/>
  <c r="N948" i="3" s="1"/>
  <c r="N949" i="3" a="1"/>
  <c r="N949" i="3" s="1"/>
  <c r="N950" i="3" a="1"/>
  <c r="N950" i="3" s="1"/>
  <c r="N951" i="3" a="1"/>
  <c r="N951" i="3" s="1"/>
  <c r="N952" i="3" a="1"/>
  <c r="N952" i="3" s="1"/>
  <c r="N953" i="3" a="1"/>
  <c r="N953" i="3" s="1"/>
  <c r="N954" i="3" a="1"/>
  <c r="N954" i="3" s="1"/>
  <c r="N955" i="3" a="1"/>
  <c r="N955" i="3" s="1"/>
  <c r="N956" i="3" a="1"/>
  <c r="N956" i="3" s="1"/>
  <c r="N957" i="3" a="1"/>
  <c r="N957" i="3" s="1"/>
  <c r="N958" i="3" a="1"/>
  <c r="N958" i="3" s="1"/>
  <c r="N959" i="3" a="1"/>
  <c r="N959" i="3" s="1"/>
  <c r="N960" i="3" a="1"/>
  <c r="N960" i="3" s="1"/>
  <c r="N961" i="3" a="1"/>
  <c r="N961" i="3" s="1"/>
  <c r="N962" i="3" a="1"/>
  <c r="N962" i="3" s="1"/>
  <c r="N963" i="3" a="1"/>
  <c r="N963" i="3" s="1"/>
  <c r="N964" i="3" a="1"/>
  <c r="N964" i="3" s="1"/>
  <c r="N965" i="3" a="1"/>
  <c r="N965" i="3" s="1"/>
  <c r="N966" i="3" a="1"/>
  <c r="N966" i="3" s="1"/>
  <c r="N967" i="3" a="1"/>
  <c r="N967" i="3" s="1"/>
  <c r="N968" i="3" a="1"/>
  <c r="N968" i="3" s="1"/>
  <c r="N969" i="3" a="1"/>
  <c r="N969" i="3" s="1"/>
  <c r="N970" i="3" a="1"/>
  <c r="N970" i="3" s="1"/>
  <c r="N971" i="3" a="1"/>
  <c r="N971" i="3" s="1"/>
  <c r="N972" i="3" a="1"/>
  <c r="N972" i="3" s="1"/>
  <c r="N973" i="3" a="1"/>
  <c r="N973" i="3" s="1"/>
  <c r="N974" i="3" a="1"/>
  <c r="N974" i="3" s="1"/>
  <c r="N975" i="3" a="1"/>
  <c r="N975" i="3" s="1"/>
  <c r="N976" i="3" a="1"/>
  <c r="N976" i="3" s="1"/>
  <c r="N977" i="3" a="1"/>
  <c r="N977" i="3" s="1"/>
  <c r="N978" i="3" a="1"/>
  <c r="N978" i="3" s="1"/>
  <c r="N979" i="3" a="1"/>
  <c r="N979" i="3" s="1"/>
  <c r="N980" i="3" a="1"/>
  <c r="N980" i="3" s="1"/>
  <c r="N981" i="3" a="1"/>
  <c r="N981" i="3" s="1"/>
  <c r="N982" i="3" a="1"/>
  <c r="N982" i="3" s="1"/>
  <c r="N983" i="3" a="1"/>
  <c r="N983" i="3" s="1"/>
  <c r="N984" i="3" a="1"/>
  <c r="N984" i="3" s="1"/>
  <c r="N985" i="3" a="1"/>
  <c r="N985" i="3" s="1"/>
  <c r="N986" i="3" a="1"/>
  <c r="N986" i="3" s="1"/>
  <c r="N987" i="3" a="1"/>
  <c r="N987" i="3" s="1"/>
  <c r="N988" i="3" a="1"/>
  <c r="N988" i="3" s="1"/>
  <c r="N989" i="3" a="1"/>
  <c r="N989" i="3" s="1"/>
  <c r="N990" i="3" a="1"/>
  <c r="N990" i="3" s="1"/>
  <c r="N991" i="3" a="1"/>
  <c r="N991" i="3" s="1"/>
  <c r="N992" i="3" a="1"/>
  <c r="N992" i="3" s="1"/>
  <c r="N993" i="3" a="1"/>
  <c r="N993" i="3" s="1"/>
  <c r="N994" i="3" a="1"/>
  <c r="N994" i="3" s="1"/>
  <c r="N995" i="3" a="1"/>
  <c r="N995" i="3" s="1"/>
  <c r="N996" i="3" a="1"/>
  <c r="N996" i="3" s="1"/>
  <c r="N997" i="3" a="1"/>
  <c r="N997" i="3" s="1"/>
  <c r="N998" i="3" a="1"/>
  <c r="N998" i="3" s="1"/>
  <c r="N999" i="3" a="1"/>
  <c r="N999" i="3" s="1"/>
  <c r="N1000" i="3" a="1"/>
  <c r="N1000" i="3" s="1"/>
  <c r="N1001" i="3" a="1"/>
  <c r="N1001" i="3" s="1"/>
  <c r="Y2" i="3" a="1"/>
  <c r="Y2" i="3" s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2" i="3"/>
  <c r="T3" i="3"/>
  <c r="U3" i="3" s="1"/>
  <c r="V3" i="3" s="1"/>
  <c r="T4" i="3"/>
  <c r="U4" i="3" s="1"/>
  <c r="V4" i="3" s="1"/>
  <c r="T5" i="3"/>
  <c r="U5" i="3" s="1"/>
  <c r="V5" i="3" s="1"/>
  <c r="T6" i="3"/>
  <c r="U6" i="3" s="1"/>
  <c r="V6" i="3" s="1"/>
  <c r="T7" i="3"/>
  <c r="U7" i="3" s="1"/>
  <c r="V7" i="3" s="1"/>
  <c r="T8" i="3"/>
  <c r="U8" i="3" s="1"/>
  <c r="V8" i="3" s="1"/>
  <c r="T9" i="3"/>
  <c r="U9" i="3" s="1"/>
  <c r="V9" i="3" s="1"/>
  <c r="T10" i="3"/>
  <c r="T11" i="3"/>
  <c r="U11" i="3" s="1"/>
  <c r="V11" i="3" s="1"/>
  <c r="T12" i="3"/>
  <c r="U12" i="3" s="1"/>
  <c r="V12" i="3" s="1"/>
  <c r="T13" i="3"/>
  <c r="U13" i="3" s="1"/>
  <c r="V13" i="3" s="1"/>
  <c r="T14" i="3"/>
  <c r="U14" i="3" s="1"/>
  <c r="V14" i="3" s="1"/>
  <c r="T15" i="3"/>
  <c r="T16" i="3"/>
  <c r="U16" i="3" s="1"/>
  <c r="V16" i="3" s="1"/>
  <c r="T17" i="3"/>
  <c r="U17" i="3" s="1"/>
  <c r="V17" i="3" s="1"/>
  <c r="T18" i="3"/>
  <c r="U18" i="3" s="1"/>
  <c r="V18" i="3" s="1"/>
  <c r="T19" i="3"/>
  <c r="U19" i="3" s="1"/>
  <c r="V19" i="3" s="1"/>
  <c r="T20" i="3"/>
  <c r="U20" i="3" s="1"/>
  <c r="V20" i="3" s="1"/>
  <c r="T21" i="3"/>
  <c r="U21" i="3" s="1"/>
  <c r="V21" i="3" s="1"/>
  <c r="T22" i="3"/>
  <c r="U22" i="3" s="1"/>
  <c r="V22" i="3" s="1"/>
  <c r="T23" i="3"/>
  <c r="U23" i="3" s="1"/>
  <c r="V23" i="3" s="1"/>
  <c r="T24" i="3"/>
  <c r="U24" i="3" s="1"/>
  <c r="V24" i="3" s="1"/>
  <c r="T25" i="3"/>
  <c r="U25" i="3" s="1"/>
  <c r="V25" i="3" s="1"/>
  <c r="T26" i="3"/>
  <c r="U26" i="3" s="1"/>
  <c r="V26" i="3" s="1"/>
  <c r="T27" i="3"/>
  <c r="U27" i="3" s="1"/>
  <c r="V27" i="3" s="1"/>
  <c r="T28" i="3"/>
  <c r="T29" i="3"/>
  <c r="U29" i="3" s="1"/>
  <c r="V29" i="3" s="1"/>
  <c r="T30" i="3"/>
  <c r="U30" i="3" s="1"/>
  <c r="V30" i="3" s="1"/>
  <c r="T31" i="3"/>
  <c r="U31" i="3" s="1"/>
  <c r="V31" i="3" s="1"/>
  <c r="T32" i="3"/>
  <c r="U32" i="3" s="1"/>
  <c r="V32" i="3" s="1"/>
  <c r="T33" i="3"/>
  <c r="T34" i="3"/>
  <c r="T35" i="3"/>
  <c r="U35" i="3" s="1"/>
  <c r="V35" i="3" s="1"/>
  <c r="T36" i="3"/>
  <c r="U36" i="3" s="1"/>
  <c r="V36" i="3" s="1"/>
  <c r="T37" i="3"/>
  <c r="U37" i="3" s="1"/>
  <c r="V37" i="3" s="1"/>
  <c r="T38" i="3"/>
  <c r="T39" i="3"/>
  <c r="U39" i="3" s="1"/>
  <c r="V39" i="3" s="1"/>
  <c r="T40" i="3"/>
  <c r="U40" i="3" s="1"/>
  <c r="V40" i="3" s="1"/>
  <c r="T41" i="3"/>
  <c r="U41" i="3" s="1"/>
  <c r="V41" i="3" s="1"/>
  <c r="T42" i="3"/>
  <c r="U42" i="3" s="1"/>
  <c r="V42" i="3" s="1"/>
  <c r="T43" i="3"/>
  <c r="U43" i="3" s="1"/>
  <c r="V43" i="3" s="1"/>
  <c r="T44" i="3"/>
  <c r="T45" i="3"/>
  <c r="T46" i="3"/>
  <c r="T47" i="3"/>
  <c r="U47" i="3" s="1"/>
  <c r="V47" i="3" s="1"/>
  <c r="T48" i="3"/>
  <c r="U48" i="3" s="1"/>
  <c r="V48" i="3" s="1"/>
  <c r="T49" i="3"/>
  <c r="T50" i="3"/>
  <c r="U50" i="3" s="1"/>
  <c r="V50" i="3" s="1"/>
  <c r="T51" i="3"/>
  <c r="U51" i="3" s="1"/>
  <c r="V51" i="3" s="1"/>
  <c r="T52" i="3"/>
  <c r="U52" i="3" s="1"/>
  <c r="V52" i="3" s="1"/>
  <c r="T53" i="3"/>
  <c r="U53" i="3" s="1"/>
  <c r="V53" i="3" s="1"/>
  <c r="T54" i="3"/>
  <c r="U54" i="3" s="1"/>
  <c r="V54" i="3" s="1"/>
  <c r="T55" i="3"/>
  <c r="U55" i="3" s="1"/>
  <c r="V55" i="3" s="1"/>
  <c r="T56" i="3"/>
  <c r="U56" i="3" s="1"/>
  <c r="V56" i="3" s="1"/>
  <c r="T57" i="3"/>
  <c r="U57" i="3" s="1"/>
  <c r="V57" i="3" s="1"/>
  <c r="T58" i="3"/>
  <c r="U58" i="3" s="1"/>
  <c r="V58" i="3" s="1"/>
  <c r="T59" i="3"/>
  <c r="U59" i="3" s="1"/>
  <c r="V59" i="3" s="1"/>
  <c r="T60" i="3"/>
  <c r="U60" i="3" s="1"/>
  <c r="V60" i="3" s="1"/>
  <c r="T61" i="3"/>
  <c r="U61" i="3" s="1"/>
  <c r="V61" i="3" s="1"/>
  <c r="T62" i="3"/>
  <c r="U62" i="3" s="1"/>
  <c r="V62" i="3" s="1"/>
  <c r="T63" i="3"/>
  <c r="U63" i="3" s="1"/>
  <c r="V63" i="3" s="1"/>
  <c r="T64" i="3"/>
  <c r="U64" i="3" s="1"/>
  <c r="V64" i="3" s="1"/>
  <c r="T65" i="3"/>
  <c r="U65" i="3" s="1"/>
  <c r="V65" i="3" s="1"/>
  <c r="T66" i="3"/>
  <c r="U66" i="3" s="1"/>
  <c r="V66" i="3" s="1"/>
  <c r="T67" i="3"/>
  <c r="U67" i="3" s="1"/>
  <c r="V67" i="3" s="1"/>
  <c r="T68" i="3"/>
  <c r="U68" i="3" s="1"/>
  <c r="V68" i="3" s="1"/>
  <c r="T69" i="3"/>
  <c r="U69" i="3" s="1"/>
  <c r="V69" i="3" s="1"/>
  <c r="T70" i="3"/>
  <c r="U70" i="3" s="1"/>
  <c r="V70" i="3" s="1"/>
  <c r="T71" i="3"/>
  <c r="U71" i="3" s="1"/>
  <c r="V71" i="3" s="1"/>
  <c r="T72" i="3"/>
  <c r="U72" i="3" s="1"/>
  <c r="V72" i="3" s="1"/>
  <c r="T73" i="3"/>
  <c r="U73" i="3" s="1"/>
  <c r="V73" i="3" s="1"/>
  <c r="T74" i="3"/>
  <c r="U74" i="3" s="1"/>
  <c r="V74" i="3" s="1"/>
  <c r="T75" i="3"/>
  <c r="T76" i="3"/>
  <c r="U76" i="3" s="1"/>
  <c r="V76" i="3" s="1"/>
  <c r="T77" i="3"/>
  <c r="U77" i="3" s="1"/>
  <c r="V77" i="3" s="1"/>
  <c r="T78" i="3"/>
  <c r="U78" i="3" s="1"/>
  <c r="V78" i="3" s="1"/>
  <c r="T79" i="3"/>
  <c r="U79" i="3" s="1"/>
  <c r="V79" i="3" s="1"/>
  <c r="T80" i="3"/>
  <c r="T81" i="3"/>
  <c r="U81" i="3" s="1"/>
  <c r="V81" i="3" s="1"/>
  <c r="T82" i="3"/>
  <c r="U82" i="3" s="1"/>
  <c r="V82" i="3" s="1"/>
  <c r="T83" i="3"/>
  <c r="U83" i="3" s="1"/>
  <c r="V83" i="3" s="1"/>
  <c r="T84" i="3"/>
  <c r="U84" i="3" s="1"/>
  <c r="V84" i="3" s="1"/>
  <c r="T85" i="3"/>
  <c r="T86" i="3"/>
  <c r="T87" i="3"/>
  <c r="U87" i="3" s="1"/>
  <c r="V87" i="3" s="1"/>
  <c r="T88" i="3"/>
  <c r="U88" i="3" s="1"/>
  <c r="V88" i="3" s="1"/>
  <c r="T89" i="3"/>
  <c r="U89" i="3" s="1"/>
  <c r="V89" i="3" s="1"/>
  <c r="T90" i="3"/>
  <c r="U90" i="3" s="1"/>
  <c r="V90" i="3" s="1"/>
  <c r="T91" i="3"/>
  <c r="U91" i="3" s="1"/>
  <c r="V91" i="3" s="1"/>
  <c r="T92" i="3"/>
  <c r="U92" i="3" s="1"/>
  <c r="V92" i="3" s="1"/>
  <c r="T93" i="3"/>
  <c r="T94" i="3"/>
  <c r="U94" i="3" s="1"/>
  <c r="V94" i="3" s="1"/>
  <c r="T95" i="3"/>
  <c r="U95" i="3" s="1"/>
  <c r="V95" i="3" s="1"/>
  <c r="T96" i="3"/>
  <c r="U96" i="3" s="1"/>
  <c r="V96" i="3" s="1"/>
  <c r="T97" i="3"/>
  <c r="U97" i="3" s="1"/>
  <c r="V97" i="3" s="1"/>
  <c r="T98" i="3"/>
  <c r="U98" i="3" s="1"/>
  <c r="V98" i="3" s="1"/>
  <c r="T99" i="3"/>
  <c r="U99" i="3" s="1"/>
  <c r="V99" i="3" s="1"/>
  <c r="T100" i="3"/>
  <c r="U100" i="3" s="1"/>
  <c r="V100" i="3" s="1"/>
  <c r="T101" i="3"/>
  <c r="T102" i="3"/>
  <c r="U102" i="3" s="1"/>
  <c r="V102" i="3" s="1"/>
  <c r="T103" i="3"/>
  <c r="T104" i="3"/>
  <c r="U104" i="3" s="1"/>
  <c r="V104" i="3" s="1"/>
  <c r="T105" i="3"/>
  <c r="U105" i="3" s="1"/>
  <c r="V105" i="3" s="1"/>
  <c r="T106" i="3"/>
  <c r="T107" i="3"/>
  <c r="T108" i="3"/>
  <c r="U108" i="3" s="1"/>
  <c r="V108" i="3" s="1"/>
  <c r="T109" i="3"/>
  <c r="U109" i="3" s="1"/>
  <c r="V109" i="3" s="1"/>
  <c r="T110" i="3"/>
  <c r="U110" i="3" s="1"/>
  <c r="V110" i="3" s="1"/>
  <c r="T111" i="3"/>
  <c r="U111" i="3" s="1"/>
  <c r="V111" i="3" s="1"/>
  <c r="T112" i="3"/>
  <c r="U112" i="3" s="1"/>
  <c r="V112" i="3" s="1"/>
  <c r="T113" i="3"/>
  <c r="T114" i="3"/>
  <c r="U114" i="3" s="1"/>
  <c r="V114" i="3" s="1"/>
  <c r="T115" i="3"/>
  <c r="U115" i="3" s="1"/>
  <c r="V115" i="3" s="1"/>
  <c r="T116" i="3"/>
  <c r="U116" i="3" s="1"/>
  <c r="V116" i="3" s="1"/>
  <c r="T117" i="3"/>
  <c r="U117" i="3" s="1"/>
  <c r="V117" i="3" s="1"/>
  <c r="T118" i="3"/>
  <c r="U118" i="3" s="1"/>
  <c r="V118" i="3" s="1"/>
  <c r="T119" i="3"/>
  <c r="U119" i="3" s="1"/>
  <c r="V119" i="3" s="1"/>
  <c r="T120" i="3"/>
  <c r="T121" i="3"/>
  <c r="U121" i="3" s="1"/>
  <c r="V121" i="3" s="1"/>
  <c r="T122" i="3"/>
  <c r="U122" i="3" s="1"/>
  <c r="V122" i="3" s="1"/>
  <c r="T123" i="3"/>
  <c r="U123" i="3" s="1"/>
  <c r="V123" i="3" s="1"/>
  <c r="T124" i="3"/>
  <c r="U124" i="3" s="1"/>
  <c r="V124" i="3" s="1"/>
  <c r="T125" i="3"/>
  <c r="U125" i="3" s="1"/>
  <c r="V125" i="3" s="1"/>
  <c r="T126" i="3"/>
  <c r="U126" i="3" s="1"/>
  <c r="V126" i="3" s="1"/>
  <c r="T127" i="3"/>
  <c r="U127" i="3" s="1"/>
  <c r="V127" i="3" s="1"/>
  <c r="T128" i="3"/>
  <c r="U128" i="3" s="1"/>
  <c r="V128" i="3" s="1"/>
  <c r="T129" i="3"/>
  <c r="U129" i="3" s="1"/>
  <c r="V129" i="3" s="1"/>
  <c r="T130" i="3"/>
  <c r="U130" i="3" s="1"/>
  <c r="V130" i="3" s="1"/>
  <c r="T131" i="3"/>
  <c r="U131" i="3" s="1"/>
  <c r="V131" i="3" s="1"/>
  <c r="T132" i="3"/>
  <c r="U132" i="3" s="1"/>
  <c r="V132" i="3" s="1"/>
  <c r="T133" i="3"/>
  <c r="U133" i="3" s="1"/>
  <c r="V133" i="3" s="1"/>
  <c r="T134" i="3"/>
  <c r="T135" i="3"/>
  <c r="U135" i="3" s="1"/>
  <c r="V135" i="3" s="1"/>
  <c r="T136" i="3"/>
  <c r="U136" i="3" s="1"/>
  <c r="V136" i="3" s="1"/>
  <c r="T137" i="3"/>
  <c r="T138" i="3"/>
  <c r="U138" i="3" s="1"/>
  <c r="V138" i="3" s="1"/>
  <c r="T139" i="3"/>
  <c r="U139" i="3" s="1"/>
  <c r="V139" i="3" s="1"/>
  <c r="T140" i="3"/>
  <c r="T141" i="3"/>
  <c r="U141" i="3" s="1"/>
  <c r="V141" i="3" s="1"/>
  <c r="T142" i="3"/>
  <c r="U142" i="3" s="1"/>
  <c r="V142" i="3" s="1"/>
  <c r="T143" i="3"/>
  <c r="U143" i="3" s="1"/>
  <c r="V143" i="3" s="1"/>
  <c r="T144" i="3"/>
  <c r="T145" i="3"/>
  <c r="U145" i="3" s="1"/>
  <c r="V145" i="3" s="1"/>
  <c r="T146" i="3"/>
  <c r="U146" i="3" s="1"/>
  <c r="V146" i="3" s="1"/>
  <c r="T147" i="3"/>
  <c r="U147" i="3" s="1"/>
  <c r="V147" i="3" s="1"/>
  <c r="T148" i="3"/>
  <c r="U148" i="3" s="1"/>
  <c r="V148" i="3" s="1"/>
  <c r="T149" i="3"/>
  <c r="U149" i="3" s="1"/>
  <c r="V149" i="3" s="1"/>
  <c r="T150" i="3"/>
  <c r="U150" i="3" s="1"/>
  <c r="V150" i="3" s="1"/>
  <c r="T151" i="3"/>
  <c r="U151" i="3" s="1"/>
  <c r="V151" i="3" s="1"/>
  <c r="T152" i="3"/>
  <c r="U152" i="3" s="1"/>
  <c r="V152" i="3" s="1"/>
  <c r="T153" i="3"/>
  <c r="U153" i="3" s="1"/>
  <c r="V153" i="3" s="1"/>
  <c r="T154" i="3"/>
  <c r="U154" i="3" s="1"/>
  <c r="V154" i="3" s="1"/>
  <c r="T155" i="3"/>
  <c r="U155" i="3" s="1"/>
  <c r="V155" i="3" s="1"/>
  <c r="T156" i="3"/>
  <c r="U156" i="3" s="1"/>
  <c r="V156" i="3" s="1"/>
  <c r="T157" i="3"/>
  <c r="T158" i="3"/>
  <c r="T159" i="3"/>
  <c r="T160" i="3"/>
  <c r="U160" i="3" s="1"/>
  <c r="V160" i="3" s="1"/>
  <c r="T161" i="3"/>
  <c r="U161" i="3" s="1"/>
  <c r="V161" i="3" s="1"/>
  <c r="T162" i="3"/>
  <c r="U162" i="3" s="1"/>
  <c r="V162" i="3" s="1"/>
  <c r="T163" i="3"/>
  <c r="U163" i="3" s="1"/>
  <c r="V163" i="3" s="1"/>
  <c r="T164" i="3"/>
  <c r="U164" i="3" s="1"/>
  <c r="V164" i="3" s="1"/>
  <c r="T165" i="3"/>
  <c r="U165" i="3" s="1"/>
  <c r="V165" i="3" s="1"/>
  <c r="T166" i="3"/>
  <c r="U166" i="3" s="1"/>
  <c r="V166" i="3" s="1"/>
  <c r="T167" i="3"/>
  <c r="U167" i="3" s="1"/>
  <c r="V167" i="3" s="1"/>
  <c r="T168" i="3"/>
  <c r="U168" i="3" s="1"/>
  <c r="V168" i="3" s="1"/>
  <c r="T169" i="3"/>
  <c r="T170" i="3"/>
  <c r="U170" i="3" s="1"/>
  <c r="V170" i="3" s="1"/>
  <c r="T171" i="3"/>
  <c r="U171" i="3" s="1"/>
  <c r="V171" i="3" s="1"/>
  <c r="T172" i="3"/>
  <c r="U172" i="3" s="1"/>
  <c r="V172" i="3" s="1"/>
  <c r="T173" i="3"/>
  <c r="U173" i="3" s="1"/>
  <c r="V173" i="3" s="1"/>
  <c r="T174" i="3"/>
  <c r="T175" i="3"/>
  <c r="U175" i="3" s="1"/>
  <c r="V175" i="3" s="1"/>
  <c r="T176" i="3"/>
  <c r="T177" i="3"/>
  <c r="U177" i="3" s="1"/>
  <c r="V177" i="3" s="1"/>
  <c r="T178" i="3"/>
  <c r="U178" i="3" s="1"/>
  <c r="V178" i="3" s="1"/>
  <c r="T179" i="3"/>
  <c r="T180" i="3"/>
  <c r="U180" i="3" s="1"/>
  <c r="V180" i="3" s="1"/>
  <c r="T181" i="3"/>
  <c r="U181" i="3" s="1"/>
  <c r="V181" i="3" s="1"/>
  <c r="T182" i="3"/>
  <c r="U182" i="3" s="1"/>
  <c r="V182" i="3" s="1"/>
  <c r="T183" i="3"/>
  <c r="U183" i="3" s="1"/>
  <c r="V183" i="3" s="1"/>
  <c r="T184" i="3"/>
  <c r="T185" i="3"/>
  <c r="U185" i="3" s="1"/>
  <c r="V185" i="3" s="1"/>
  <c r="T186" i="3"/>
  <c r="U186" i="3" s="1"/>
  <c r="V186" i="3" s="1"/>
  <c r="T187" i="3"/>
  <c r="T188" i="3"/>
  <c r="U188" i="3" s="1"/>
  <c r="V188" i="3" s="1"/>
  <c r="T189" i="3"/>
  <c r="U189" i="3" s="1"/>
  <c r="V189" i="3" s="1"/>
  <c r="T190" i="3"/>
  <c r="U190" i="3" s="1"/>
  <c r="V190" i="3" s="1"/>
  <c r="T191" i="3"/>
  <c r="U191" i="3" s="1"/>
  <c r="V191" i="3" s="1"/>
  <c r="T192" i="3"/>
  <c r="U192" i="3" s="1"/>
  <c r="V192" i="3" s="1"/>
  <c r="T193" i="3"/>
  <c r="U193" i="3" s="1"/>
  <c r="V193" i="3" s="1"/>
  <c r="T194" i="3"/>
  <c r="U194" i="3" s="1"/>
  <c r="V194" i="3" s="1"/>
  <c r="T195" i="3"/>
  <c r="U195" i="3" s="1"/>
  <c r="V195" i="3" s="1"/>
  <c r="T196" i="3"/>
  <c r="T197" i="3"/>
  <c r="T198" i="3"/>
  <c r="U198" i="3" s="1"/>
  <c r="V198" i="3" s="1"/>
  <c r="T199" i="3"/>
  <c r="U199" i="3" s="1"/>
  <c r="V199" i="3" s="1"/>
  <c r="T200" i="3"/>
  <c r="U200" i="3" s="1"/>
  <c r="V200" i="3" s="1"/>
  <c r="T201" i="3"/>
  <c r="U201" i="3" s="1"/>
  <c r="V201" i="3" s="1"/>
  <c r="T202" i="3"/>
  <c r="T203" i="3"/>
  <c r="U203" i="3" s="1"/>
  <c r="V203" i="3" s="1"/>
  <c r="T204" i="3"/>
  <c r="U204" i="3" s="1"/>
  <c r="V204" i="3" s="1"/>
  <c r="T205" i="3"/>
  <c r="U205" i="3" s="1"/>
  <c r="V205" i="3" s="1"/>
  <c r="T206" i="3"/>
  <c r="U206" i="3" s="1"/>
  <c r="V206" i="3" s="1"/>
  <c r="T207" i="3"/>
  <c r="U207" i="3" s="1"/>
  <c r="V207" i="3" s="1"/>
  <c r="T208" i="3"/>
  <c r="U208" i="3" s="1"/>
  <c r="V208" i="3" s="1"/>
  <c r="T209" i="3"/>
  <c r="U209" i="3" s="1"/>
  <c r="V209" i="3" s="1"/>
  <c r="T210" i="3"/>
  <c r="U210" i="3" s="1"/>
  <c r="V210" i="3" s="1"/>
  <c r="T211" i="3"/>
  <c r="U211" i="3" s="1"/>
  <c r="V211" i="3" s="1"/>
  <c r="T212" i="3"/>
  <c r="U212" i="3" s="1"/>
  <c r="V212" i="3" s="1"/>
  <c r="T213" i="3"/>
  <c r="U213" i="3" s="1"/>
  <c r="V213" i="3" s="1"/>
  <c r="T214" i="3"/>
  <c r="U214" i="3" s="1"/>
  <c r="V214" i="3" s="1"/>
  <c r="T215" i="3"/>
  <c r="T216" i="3"/>
  <c r="U216" i="3" s="1"/>
  <c r="V216" i="3" s="1"/>
  <c r="T217" i="3"/>
  <c r="U217" i="3" s="1"/>
  <c r="V217" i="3" s="1"/>
  <c r="T218" i="3"/>
  <c r="U218" i="3" s="1"/>
  <c r="V218" i="3" s="1"/>
  <c r="T219" i="3"/>
  <c r="T220" i="3"/>
  <c r="U220" i="3" s="1"/>
  <c r="V220" i="3" s="1"/>
  <c r="T221" i="3"/>
  <c r="U221" i="3" s="1"/>
  <c r="V221" i="3" s="1"/>
  <c r="T222" i="3"/>
  <c r="U222" i="3" s="1"/>
  <c r="V222" i="3" s="1"/>
  <c r="T223" i="3"/>
  <c r="U223" i="3" s="1"/>
  <c r="V223" i="3" s="1"/>
  <c r="T224" i="3"/>
  <c r="U224" i="3" s="1"/>
  <c r="V224" i="3" s="1"/>
  <c r="T225" i="3"/>
  <c r="U225" i="3" s="1"/>
  <c r="V225" i="3" s="1"/>
  <c r="T226" i="3"/>
  <c r="U226" i="3" s="1"/>
  <c r="V226" i="3" s="1"/>
  <c r="T227" i="3"/>
  <c r="U227" i="3" s="1"/>
  <c r="V227" i="3" s="1"/>
  <c r="T228" i="3"/>
  <c r="T229" i="3"/>
  <c r="T230" i="3"/>
  <c r="U230" i="3" s="1"/>
  <c r="V230" i="3" s="1"/>
  <c r="T231" i="3"/>
  <c r="T232" i="3"/>
  <c r="U232" i="3" s="1"/>
  <c r="V232" i="3" s="1"/>
  <c r="T233" i="3"/>
  <c r="U233" i="3" s="1"/>
  <c r="V233" i="3" s="1"/>
  <c r="T234" i="3"/>
  <c r="U234" i="3" s="1"/>
  <c r="V234" i="3" s="1"/>
  <c r="T235" i="3"/>
  <c r="T236" i="3"/>
  <c r="U236" i="3" s="1"/>
  <c r="V236" i="3" s="1"/>
  <c r="T237" i="3"/>
  <c r="U237" i="3" s="1"/>
  <c r="V237" i="3" s="1"/>
  <c r="T238" i="3"/>
  <c r="T239" i="3"/>
  <c r="U239" i="3" s="1"/>
  <c r="V239" i="3" s="1"/>
  <c r="T240" i="3"/>
  <c r="T241" i="3"/>
  <c r="T242" i="3"/>
  <c r="U242" i="3" s="1"/>
  <c r="V242" i="3" s="1"/>
  <c r="T243" i="3"/>
  <c r="U243" i="3" s="1"/>
  <c r="V243" i="3" s="1"/>
  <c r="T244" i="3"/>
  <c r="U244" i="3" s="1"/>
  <c r="V244" i="3" s="1"/>
  <c r="T245" i="3"/>
  <c r="U245" i="3" s="1"/>
  <c r="V245" i="3" s="1"/>
  <c r="T246" i="3"/>
  <c r="U246" i="3" s="1"/>
  <c r="V246" i="3" s="1"/>
  <c r="T247" i="3"/>
  <c r="U247" i="3" s="1"/>
  <c r="V247" i="3" s="1"/>
  <c r="T248" i="3"/>
  <c r="T249" i="3"/>
  <c r="U249" i="3" s="1"/>
  <c r="V249" i="3" s="1"/>
  <c r="T250" i="3"/>
  <c r="T251" i="3"/>
  <c r="U251" i="3" s="1"/>
  <c r="V251" i="3" s="1"/>
  <c r="T252" i="3"/>
  <c r="U252" i="3" s="1"/>
  <c r="V252" i="3" s="1"/>
  <c r="T253" i="3"/>
  <c r="T254" i="3"/>
  <c r="U254" i="3" s="1"/>
  <c r="V254" i="3" s="1"/>
  <c r="T255" i="3"/>
  <c r="U255" i="3" s="1"/>
  <c r="V255" i="3" s="1"/>
  <c r="T256" i="3"/>
  <c r="T257" i="3"/>
  <c r="T258" i="3"/>
  <c r="U258" i="3" s="1"/>
  <c r="V258" i="3" s="1"/>
  <c r="T259" i="3"/>
  <c r="U259" i="3" s="1"/>
  <c r="V259" i="3" s="1"/>
  <c r="T260" i="3"/>
  <c r="U260" i="3" s="1"/>
  <c r="V260" i="3" s="1"/>
  <c r="T261" i="3"/>
  <c r="U261" i="3" s="1"/>
  <c r="V261" i="3" s="1"/>
  <c r="T262" i="3"/>
  <c r="U262" i="3" s="1"/>
  <c r="V262" i="3" s="1"/>
  <c r="T263" i="3"/>
  <c r="U263" i="3" s="1"/>
  <c r="V263" i="3" s="1"/>
  <c r="T264" i="3"/>
  <c r="U264" i="3" s="1"/>
  <c r="V264" i="3" s="1"/>
  <c r="T265" i="3"/>
  <c r="U265" i="3" s="1"/>
  <c r="V265" i="3" s="1"/>
  <c r="T266" i="3"/>
  <c r="T267" i="3"/>
  <c r="U267" i="3" s="1"/>
  <c r="V267" i="3" s="1"/>
  <c r="T268" i="3"/>
  <c r="U268" i="3" s="1"/>
  <c r="V268" i="3" s="1"/>
  <c r="T269" i="3"/>
  <c r="U269" i="3" s="1"/>
  <c r="V269" i="3" s="1"/>
  <c r="T270" i="3"/>
  <c r="U270" i="3" s="1"/>
  <c r="V270" i="3" s="1"/>
  <c r="T271" i="3"/>
  <c r="U271" i="3" s="1"/>
  <c r="V271" i="3" s="1"/>
  <c r="T272" i="3"/>
  <c r="U272" i="3" s="1"/>
  <c r="V272" i="3" s="1"/>
  <c r="T273" i="3"/>
  <c r="U273" i="3" s="1"/>
  <c r="V273" i="3" s="1"/>
  <c r="T274" i="3"/>
  <c r="U274" i="3" s="1"/>
  <c r="V274" i="3" s="1"/>
  <c r="T275" i="3"/>
  <c r="U275" i="3" s="1"/>
  <c r="V275" i="3" s="1"/>
  <c r="T276" i="3"/>
  <c r="U276" i="3" s="1"/>
  <c r="V276" i="3" s="1"/>
  <c r="T277" i="3"/>
  <c r="U277" i="3" s="1"/>
  <c r="V277" i="3" s="1"/>
  <c r="T278" i="3"/>
  <c r="U278" i="3" s="1"/>
  <c r="V278" i="3" s="1"/>
  <c r="T279" i="3"/>
  <c r="U279" i="3" s="1"/>
  <c r="V279" i="3" s="1"/>
  <c r="T280" i="3"/>
  <c r="U280" i="3" s="1"/>
  <c r="V280" i="3" s="1"/>
  <c r="T281" i="3"/>
  <c r="U281" i="3" s="1"/>
  <c r="V281" i="3" s="1"/>
  <c r="T282" i="3"/>
  <c r="U282" i="3" s="1"/>
  <c r="V282" i="3" s="1"/>
  <c r="T283" i="3"/>
  <c r="U283" i="3" s="1"/>
  <c r="V283" i="3" s="1"/>
  <c r="T284" i="3"/>
  <c r="U284" i="3" s="1"/>
  <c r="V284" i="3" s="1"/>
  <c r="T285" i="3"/>
  <c r="U285" i="3" s="1"/>
  <c r="V285" i="3" s="1"/>
  <c r="T286" i="3"/>
  <c r="U286" i="3" s="1"/>
  <c r="V286" i="3" s="1"/>
  <c r="T287" i="3"/>
  <c r="U287" i="3" s="1"/>
  <c r="V287" i="3" s="1"/>
  <c r="T288" i="3"/>
  <c r="U288" i="3" s="1"/>
  <c r="V288" i="3" s="1"/>
  <c r="T289" i="3"/>
  <c r="U289" i="3" s="1"/>
  <c r="V289" i="3" s="1"/>
  <c r="T290" i="3"/>
  <c r="U290" i="3" s="1"/>
  <c r="V290" i="3" s="1"/>
  <c r="T291" i="3"/>
  <c r="U291" i="3" s="1"/>
  <c r="V291" i="3" s="1"/>
  <c r="T292" i="3"/>
  <c r="U292" i="3" s="1"/>
  <c r="V292" i="3" s="1"/>
  <c r="T293" i="3"/>
  <c r="U293" i="3" s="1"/>
  <c r="V293" i="3" s="1"/>
  <c r="T294" i="3"/>
  <c r="U294" i="3" s="1"/>
  <c r="V294" i="3" s="1"/>
  <c r="T295" i="3"/>
  <c r="U295" i="3" s="1"/>
  <c r="V295" i="3" s="1"/>
  <c r="T296" i="3"/>
  <c r="U296" i="3" s="1"/>
  <c r="V296" i="3" s="1"/>
  <c r="T297" i="3"/>
  <c r="U297" i="3" s="1"/>
  <c r="V297" i="3" s="1"/>
  <c r="T298" i="3"/>
  <c r="U298" i="3" s="1"/>
  <c r="V298" i="3" s="1"/>
  <c r="T299" i="3"/>
  <c r="U299" i="3" s="1"/>
  <c r="V299" i="3" s="1"/>
  <c r="T300" i="3"/>
  <c r="T301" i="3"/>
  <c r="U301" i="3" s="1"/>
  <c r="V301" i="3" s="1"/>
  <c r="T302" i="3"/>
  <c r="U302" i="3" s="1"/>
  <c r="V302" i="3" s="1"/>
  <c r="T303" i="3"/>
  <c r="U303" i="3" s="1"/>
  <c r="V303" i="3" s="1"/>
  <c r="T304" i="3"/>
  <c r="U304" i="3" s="1"/>
  <c r="V304" i="3" s="1"/>
  <c r="T305" i="3"/>
  <c r="U305" i="3" s="1"/>
  <c r="V305" i="3" s="1"/>
  <c r="T306" i="3"/>
  <c r="U306" i="3" s="1"/>
  <c r="V306" i="3" s="1"/>
  <c r="T307" i="3"/>
  <c r="U307" i="3" s="1"/>
  <c r="V307" i="3" s="1"/>
  <c r="T308" i="3"/>
  <c r="U308" i="3" s="1"/>
  <c r="V308" i="3" s="1"/>
  <c r="T309" i="3"/>
  <c r="U309" i="3" s="1"/>
  <c r="V309" i="3" s="1"/>
  <c r="T310" i="3"/>
  <c r="U310" i="3" s="1"/>
  <c r="V310" i="3" s="1"/>
  <c r="T311" i="3"/>
  <c r="U311" i="3" s="1"/>
  <c r="V311" i="3" s="1"/>
  <c r="T312" i="3"/>
  <c r="U312" i="3" s="1"/>
  <c r="V312" i="3" s="1"/>
  <c r="T313" i="3"/>
  <c r="U313" i="3" s="1"/>
  <c r="V313" i="3" s="1"/>
  <c r="T314" i="3"/>
  <c r="U314" i="3" s="1"/>
  <c r="V314" i="3" s="1"/>
  <c r="T315" i="3"/>
  <c r="T316" i="3"/>
  <c r="T317" i="3"/>
  <c r="T318" i="3"/>
  <c r="T319" i="3"/>
  <c r="U319" i="3" s="1"/>
  <c r="V319" i="3" s="1"/>
  <c r="T320" i="3"/>
  <c r="U320" i="3" s="1"/>
  <c r="V320" i="3" s="1"/>
  <c r="T321" i="3"/>
  <c r="T322" i="3"/>
  <c r="U322" i="3" s="1"/>
  <c r="V322" i="3" s="1"/>
  <c r="T323" i="3"/>
  <c r="T324" i="3"/>
  <c r="U324" i="3" s="1"/>
  <c r="V324" i="3" s="1"/>
  <c r="T325" i="3"/>
  <c r="U325" i="3" s="1"/>
  <c r="V325" i="3" s="1"/>
  <c r="T326" i="3"/>
  <c r="U326" i="3" s="1"/>
  <c r="V326" i="3" s="1"/>
  <c r="T327" i="3"/>
  <c r="T328" i="3"/>
  <c r="U328" i="3" s="1"/>
  <c r="V328" i="3" s="1"/>
  <c r="T329" i="3"/>
  <c r="U329" i="3" s="1"/>
  <c r="V329" i="3" s="1"/>
  <c r="T330" i="3"/>
  <c r="U330" i="3" s="1"/>
  <c r="V330" i="3" s="1"/>
  <c r="T331" i="3"/>
  <c r="U331" i="3" s="1"/>
  <c r="V331" i="3" s="1"/>
  <c r="T332" i="3"/>
  <c r="U332" i="3" s="1"/>
  <c r="V332" i="3" s="1"/>
  <c r="T333" i="3"/>
  <c r="U333" i="3" s="1"/>
  <c r="V333" i="3" s="1"/>
  <c r="T334" i="3"/>
  <c r="T335" i="3"/>
  <c r="T336" i="3"/>
  <c r="U336" i="3" s="1"/>
  <c r="V336" i="3" s="1"/>
  <c r="T337" i="3"/>
  <c r="U337" i="3" s="1"/>
  <c r="V337" i="3" s="1"/>
  <c r="T338" i="3"/>
  <c r="U338" i="3" s="1"/>
  <c r="V338" i="3" s="1"/>
  <c r="T339" i="3"/>
  <c r="T340" i="3"/>
  <c r="U340" i="3" s="1"/>
  <c r="V340" i="3" s="1"/>
  <c r="T341" i="3"/>
  <c r="U341" i="3" s="1"/>
  <c r="V341" i="3" s="1"/>
  <c r="T342" i="3"/>
  <c r="T343" i="3"/>
  <c r="U343" i="3" s="1"/>
  <c r="V343" i="3" s="1"/>
  <c r="T344" i="3"/>
  <c r="U344" i="3" s="1"/>
  <c r="V344" i="3" s="1"/>
  <c r="T345" i="3"/>
  <c r="U345" i="3" s="1"/>
  <c r="V345" i="3" s="1"/>
  <c r="T346" i="3"/>
  <c r="U346" i="3" s="1"/>
  <c r="V346" i="3" s="1"/>
  <c r="T347" i="3"/>
  <c r="U347" i="3" s="1"/>
  <c r="V347" i="3" s="1"/>
  <c r="T348" i="3"/>
  <c r="U348" i="3" s="1"/>
  <c r="V348" i="3" s="1"/>
  <c r="T349" i="3"/>
  <c r="U349" i="3" s="1"/>
  <c r="V349" i="3" s="1"/>
  <c r="T350" i="3"/>
  <c r="U350" i="3" s="1"/>
  <c r="V350" i="3" s="1"/>
  <c r="T351" i="3"/>
  <c r="U351" i="3" s="1"/>
  <c r="V351" i="3" s="1"/>
  <c r="T352" i="3"/>
  <c r="U352" i="3" s="1"/>
  <c r="V352" i="3" s="1"/>
  <c r="T353" i="3"/>
  <c r="U353" i="3" s="1"/>
  <c r="V353" i="3" s="1"/>
  <c r="T354" i="3"/>
  <c r="U354" i="3" s="1"/>
  <c r="V354" i="3" s="1"/>
  <c r="T355" i="3"/>
  <c r="U355" i="3" s="1"/>
  <c r="V355" i="3" s="1"/>
  <c r="T356" i="3"/>
  <c r="T357" i="3"/>
  <c r="U357" i="3" s="1"/>
  <c r="V357" i="3" s="1"/>
  <c r="T358" i="3"/>
  <c r="T359" i="3"/>
  <c r="U359" i="3" s="1"/>
  <c r="V359" i="3" s="1"/>
  <c r="T360" i="3"/>
  <c r="U360" i="3" s="1"/>
  <c r="V360" i="3" s="1"/>
  <c r="T361" i="3"/>
  <c r="U361" i="3" s="1"/>
  <c r="V361" i="3" s="1"/>
  <c r="T362" i="3"/>
  <c r="U362" i="3" s="1"/>
  <c r="V362" i="3" s="1"/>
  <c r="T363" i="3"/>
  <c r="U363" i="3" s="1"/>
  <c r="V363" i="3" s="1"/>
  <c r="T364" i="3"/>
  <c r="U364" i="3" s="1"/>
  <c r="V364" i="3" s="1"/>
  <c r="T365" i="3"/>
  <c r="U365" i="3" s="1"/>
  <c r="V365" i="3" s="1"/>
  <c r="T366" i="3"/>
  <c r="T367" i="3"/>
  <c r="U367" i="3" s="1"/>
  <c r="V367" i="3" s="1"/>
  <c r="T368" i="3"/>
  <c r="U368" i="3" s="1"/>
  <c r="V368" i="3" s="1"/>
  <c r="T369" i="3"/>
  <c r="U369" i="3" s="1"/>
  <c r="V369" i="3" s="1"/>
  <c r="T370" i="3"/>
  <c r="U370" i="3" s="1"/>
  <c r="V370" i="3" s="1"/>
  <c r="T371" i="3"/>
  <c r="U371" i="3" s="1"/>
  <c r="V371" i="3" s="1"/>
  <c r="T372" i="3"/>
  <c r="U372" i="3" s="1"/>
  <c r="V372" i="3" s="1"/>
  <c r="T373" i="3"/>
  <c r="U373" i="3" s="1"/>
  <c r="V373" i="3" s="1"/>
  <c r="T374" i="3"/>
  <c r="U374" i="3" s="1"/>
  <c r="V374" i="3" s="1"/>
  <c r="T375" i="3"/>
  <c r="U375" i="3" s="1"/>
  <c r="V375" i="3" s="1"/>
  <c r="T376" i="3"/>
  <c r="U376" i="3" s="1"/>
  <c r="V376" i="3" s="1"/>
  <c r="T377" i="3"/>
  <c r="U377" i="3" s="1"/>
  <c r="V377" i="3" s="1"/>
  <c r="T378" i="3"/>
  <c r="U378" i="3" s="1"/>
  <c r="V378" i="3" s="1"/>
  <c r="T379" i="3"/>
  <c r="U379" i="3" s="1"/>
  <c r="V379" i="3" s="1"/>
  <c r="T380" i="3"/>
  <c r="U380" i="3" s="1"/>
  <c r="V380" i="3" s="1"/>
  <c r="T381" i="3"/>
  <c r="T382" i="3"/>
  <c r="U382" i="3" s="1"/>
  <c r="V382" i="3" s="1"/>
  <c r="T383" i="3"/>
  <c r="U383" i="3" s="1"/>
  <c r="V383" i="3" s="1"/>
  <c r="T384" i="3"/>
  <c r="T385" i="3"/>
  <c r="U385" i="3" s="1"/>
  <c r="V385" i="3" s="1"/>
  <c r="T386" i="3"/>
  <c r="T387" i="3"/>
  <c r="U387" i="3" s="1"/>
  <c r="V387" i="3" s="1"/>
  <c r="T388" i="3"/>
  <c r="T389" i="3"/>
  <c r="U389" i="3" s="1"/>
  <c r="V389" i="3" s="1"/>
  <c r="T390" i="3"/>
  <c r="U390" i="3" s="1"/>
  <c r="V390" i="3" s="1"/>
  <c r="T391" i="3"/>
  <c r="U391" i="3" s="1"/>
  <c r="V391" i="3" s="1"/>
  <c r="T392" i="3"/>
  <c r="T393" i="3"/>
  <c r="U393" i="3" s="1"/>
  <c r="V393" i="3" s="1"/>
  <c r="T394" i="3"/>
  <c r="U394" i="3" s="1"/>
  <c r="V394" i="3" s="1"/>
  <c r="T395" i="3"/>
  <c r="U395" i="3" s="1"/>
  <c r="V395" i="3" s="1"/>
  <c r="T396" i="3"/>
  <c r="U396" i="3" s="1"/>
  <c r="V396" i="3" s="1"/>
  <c r="T397" i="3"/>
  <c r="U397" i="3" s="1"/>
  <c r="V397" i="3" s="1"/>
  <c r="T398" i="3"/>
  <c r="U398" i="3" s="1"/>
  <c r="V398" i="3" s="1"/>
  <c r="T399" i="3"/>
  <c r="U399" i="3" s="1"/>
  <c r="V399" i="3" s="1"/>
  <c r="T400" i="3"/>
  <c r="U400" i="3" s="1"/>
  <c r="V400" i="3" s="1"/>
  <c r="T401" i="3"/>
  <c r="U401" i="3" s="1"/>
  <c r="V401" i="3" s="1"/>
  <c r="T402" i="3"/>
  <c r="U402" i="3" s="1"/>
  <c r="V402" i="3" s="1"/>
  <c r="T403" i="3"/>
  <c r="U403" i="3" s="1"/>
  <c r="V403" i="3" s="1"/>
  <c r="T404" i="3"/>
  <c r="U404" i="3" s="1"/>
  <c r="V404" i="3" s="1"/>
  <c r="T405" i="3"/>
  <c r="U405" i="3" s="1"/>
  <c r="V405" i="3" s="1"/>
  <c r="T406" i="3"/>
  <c r="U406" i="3" s="1"/>
  <c r="V406" i="3" s="1"/>
  <c r="T407" i="3"/>
  <c r="U407" i="3" s="1"/>
  <c r="V407" i="3" s="1"/>
  <c r="T408" i="3"/>
  <c r="U408" i="3" s="1"/>
  <c r="V408" i="3" s="1"/>
  <c r="T409" i="3"/>
  <c r="U409" i="3" s="1"/>
  <c r="V409" i="3" s="1"/>
  <c r="T410" i="3"/>
  <c r="U410" i="3" s="1"/>
  <c r="V410" i="3" s="1"/>
  <c r="T411" i="3"/>
  <c r="T412" i="3"/>
  <c r="U412" i="3" s="1"/>
  <c r="V412" i="3" s="1"/>
  <c r="T413" i="3"/>
  <c r="U413" i="3" s="1"/>
  <c r="V413" i="3" s="1"/>
  <c r="T414" i="3"/>
  <c r="U414" i="3" s="1"/>
  <c r="V414" i="3" s="1"/>
  <c r="T415" i="3"/>
  <c r="U415" i="3" s="1"/>
  <c r="V415" i="3" s="1"/>
  <c r="T416" i="3"/>
  <c r="T417" i="3"/>
  <c r="T418" i="3"/>
  <c r="U418" i="3" s="1"/>
  <c r="V418" i="3" s="1"/>
  <c r="T419" i="3"/>
  <c r="T420" i="3"/>
  <c r="U420" i="3" s="1"/>
  <c r="V420" i="3" s="1"/>
  <c r="T421" i="3"/>
  <c r="U421" i="3" s="1"/>
  <c r="V421" i="3" s="1"/>
  <c r="T422" i="3"/>
  <c r="T423" i="3"/>
  <c r="U423" i="3" s="1"/>
  <c r="V423" i="3" s="1"/>
  <c r="T424" i="3"/>
  <c r="T425" i="3"/>
  <c r="U425" i="3" s="1"/>
  <c r="V425" i="3" s="1"/>
  <c r="T426" i="3"/>
  <c r="U426" i="3" s="1"/>
  <c r="V426" i="3" s="1"/>
  <c r="T427" i="3"/>
  <c r="U427" i="3" s="1"/>
  <c r="V427" i="3" s="1"/>
  <c r="T428" i="3"/>
  <c r="U428" i="3" s="1"/>
  <c r="V428" i="3" s="1"/>
  <c r="T429" i="3"/>
  <c r="U429" i="3" s="1"/>
  <c r="V429" i="3" s="1"/>
  <c r="T430" i="3"/>
  <c r="U430" i="3" s="1"/>
  <c r="V430" i="3" s="1"/>
  <c r="T431" i="3"/>
  <c r="U431" i="3" s="1"/>
  <c r="V431" i="3" s="1"/>
  <c r="T432" i="3"/>
  <c r="U432" i="3" s="1"/>
  <c r="V432" i="3" s="1"/>
  <c r="T433" i="3"/>
  <c r="U433" i="3" s="1"/>
  <c r="V433" i="3" s="1"/>
  <c r="T434" i="3"/>
  <c r="T435" i="3"/>
  <c r="U435" i="3" s="1"/>
  <c r="V435" i="3" s="1"/>
  <c r="T436" i="3"/>
  <c r="U436" i="3" s="1"/>
  <c r="V436" i="3" s="1"/>
  <c r="T437" i="3"/>
  <c r="T438" i="3"/>
  <c r="T439" i="3"/>
  <c r="U439" i="3" s="1"/>
  <c r="V439" i="3" s="1"/>
  <c r="T440" i="3"/>
  <c r="T441" i="3"/>
  <c r="U441" i="3" s="1"/>
  <c r="V441" i="3" s="1"/>
  <c r="T442" i="3"/>
  <c r="T443" i="3"/>
  <c r="U443" i="3" s="1"/>
  <c r="V443" i="3" s="1"/>
  <c r="T444" i="3"/>
  <c r="U444" i="3" s="1"/>
  <c r="V444" i="3" s="1"/>
  <c r="T445" i="3"/>
  <c r="U445" i="3" s="1"/>
  <c r="V445" i="3" s="1"/>
  <c r="T446" i="3"/>
  <c r="U446" i="3" s="1"/>
  <c r="V446" i="3" s="1"/>
  <c r="T447" i="3"/>
  <c r="U447" i="3" s="1"/>
  <c r="V447" i="3" s="1"/>
  <c r="T448" i="3"/>
  <c r="U448" i="3" s="1"/>
  <c r="V448" i="3" s="1"/>
  <c r="T449" i="3"/>
  <c r="U449" i="3" s="1"/>
  <c r="V449" i="3" s="1"/>
  <c r="T450" i="3"/>
  <c r="T451" i="3"/>
  <c r="T452" i="3"/>
  <c r="U452" i="3" s="1"/>
  <c r="V452" i="3" s="1"/>
  <c r="T453" i="3"/>
  <c r="U453" i="3" s="1"/>
  <c r="V453" i="3" s="1"/>
  <c r="T454" i="3"/>
  <c r="U454" i="3" s="1"/>
  <c r="V454" i="3" s="1"/>
  <c r="T455" i="3"/>
  <c r="U455" i="3" s="1"/>
  <c r="V455" i="3" s="1"/>
  <c r="T456" i="3"/>
  <c r="U456" i="3" s="1"/>
  <c r="V456" i="3" s="1"/>
  <c r="T457" i="3"/>
  <c r="U457" i="3" s="1"/>
  <c r="V457" i="3" s="1"/>
  <c r="T458" i="3"/>
  <c r="U458" i="3" s="1"/>
  <c r="V458" i="3" s="1"/>
  <c r="T459" i="3"/>
  <c r="T460" i="3"/>
  <c r="U460" i="3" s="1"/>
  <c r="V460" i="3" s="1"/>
  <c r="T461" i="3"/>
  <c r="U461" i="3" s="1"/>
  <c r="V461" i="3" s="1"/>
  <c r="T462" i="3"/>
  <c r="U462" i="3" s="1"/>
  <c r="V462" i="3" s="1"/>
  <c r="T463" i="3"/>
  <c r="U463" i="3" s="1"/>
  <c r="V463" i="3" s="1"/>
  <c r="T464" i="3"/>
  <c r="U464" i="3" s="1"/>
  <c r="V464" i="3" s="1"/>
  <c r="T465" i="3"/>
  <c r="U465" i="3" s="1"/>
  <c r="V465" i="3" s="1"/>
  <c r="T466" i="3"/>
  <c r="U466" i="3" s="1"/>
  <c r="V466" i="3" s="1"/>
  <c r="T467" i="3"/>
  <c r="U467" i="3" s="1"/>
  <c r="V467" i="3" s="1"/>
  <c r="T468" i="3"/>
  <c r="U468" i="3" s="1"/>
  <c r="V468" i="3" s="1"/>
  <c r="T469" i="3"/>
  <c r="U469" i="3" s="1"/>
  <c r="V469" i="3" s="1"/>
  <c r="T470" i="3"/>
  <c r="U470" i="3" s="1"/>
  <c r="V470" i="3" s="1"/>
  <c r="T471" i="3"/>
  <c r="U471" i="3" s="1"/>
  <c r="V471" i="3" s="1"/>
  <c r="T472" i="3"/>
  <c r="U472" i="3" s="1"/>
  <c r="V472" i="3" s="1"/>
  <c r="T473" i="3"/>
  <c r="T474" i="3"/>
  <c r="U474" i="3" s="1"/>
  <c r="V474" i="3" s="1"/>
  <c r="T475" i="3"/>
  <c r="U475" i="3" s="1"/>
  <c r="V475" i="3" s="1"/>
  <c r="T476" i="3"/>
  <c r="U476" i="3" s="1"/>
  <c r="V476" i="3" s="1"/>
  <c r="T477" i="3"/>
  <c r="U477" i="3" s="1"/>
  <c r="V477" i="3" s="1"/>
  <c r="T478" i="3"/>
  <c r="T479" i="3"/>
  <c r="U479" i="3" s="1"/>
  <c r="V479" i="3" s="1"/>
  <c r="T480" i="3"/>
  <c r="U480" i="3" s="1"/>
  <c r="V480" i="3" s="1"/>
  <c r="T481" i="3"/>
  <c r="U481" i="3" s="1"/>
  <c r="V481" i="3" s="1"/>
  <c r="T482" i="3"/>
  <c r="U482" i="3" s="1"/>
  <c r="V482" i="3" s="1"/>
  <c r="T483" i="3"/>
  <c r="U483" i="3" s="1"/>
  <c r="V483" i="3" s="1"/>
  <c r="T484" i="3"/>
  <c r="U484" i="3" s="1"/>
  <c r="V484" i="3" s="1"/>
  <c r="T485" i="3"/>
  <c r="U485" i="3" s="1"/>
  <c r="V485" i="3" s="1"/>
  <c r="T486" i="3"/>
  <c r="U486" i="3" s="1"/>
  <c r="V486" i="3" s="1"/>
  <c r="T487" i="3"/>
  <c r="U487" i="3" s="1"/>
  <c r="V487" i="3" s="1"/>
  <c r="T488" i="3"/>
  <c r="U488" i="3" s="1"/>
  <c r="V488" i="3" s="1"/>
  <c r="T489" i="3"/>
  <c r="U489" i="3" s="1"/>
  <c r="V489" i="3" s="1"/>
  <c r="T490" i="3"/>
  <c r="U490" i="3" s="1"/>
  <c r="V490" i="3" s="1"/>
  <c r="T491" i="3"/>
  <c r="U491" i="3" s="1"/>
  <c r="V491" i="3" s="1"/>
  <c r="T492" i="3"/>
  <c r="U492" i="3" s="1"/>
  <c r="V492" i="3" s="1"/>
  <c r="T493" i="3"/>
  <c r="U493" i="3" s="1"/>
  <c r="V493" i="3" s="1"/>
  <c r="T494" i="3"/>
  <c r="T495" i="3"/>
  <c r="U495" i="3" s="1"/>
  <c r="V495" i="3" s="1"/>
  <c r="T496" i="3"/>
  <c r="T497" i="3"/>
  <c r="T498" i="3"/>
  <c r="U498" i="3" s="1"/>
  <c r="V498" i="3" s="1"/>
  <c r="T499" i="3"/>
  <c r="U499" i="3" s="1"/>
  <c r="V499" i="3" s="1"/>
  <c r="T500" i="3"/>
  <c r="U500" i="3" s="1"/>
  <c r="V500" i="3" s="1"/>
  <c r="T501" i="3"/>
  <c r="U501" i="3" s="1"/>
  <c r="V501" i="3" s="1"/>
  <c r="T502" i="3"/>
  <c r="U502" i="3" s="1"/>
  <c r="V502" i="3" s="1"/>
  <c r="T503" i="3"/>
  <c r="U503" i="3" s="1"/>
  <c r="V503" i="3" s="1"/>
  <c r="T504" i="3"/>
  <c r="T505" i="3"/>
  <c r="U505" i="3" s="1"/>
  <c r="V505" i="3" s="1"/>
  <c r="T506" i="3"/>
  <c r="U506" i="3" s="1"/>
  <c r="V506" i="3" s="1"/>
  <c r="T507" i="3"/>
  <c r="T508" i="3"/>
  <c r="U508" i="3" s="1"/>
  <c r="V508" i="3" s="1"/>
  <c r="T509" i="3"/>
  <c r="U509" i="3" s="1"/>
  <c r="V509" i="3" s="1"/>
  <c r="T510" i="3"/>
  <c r="U510" i="3" s="1"/>
  <c r="V510" i="3" s="1"/>
  <c r="T511" i="3"/>
  <c r="U511" i="3" s="1"/>
  <c r="V511" i="3" s="1"/>
  <c r="T512" i="3"/>
  <c r="U512" i="3" s="1"/>
  <c r="V512" i="3" s="1"/>
  <c r="T513" i="3"/>
  <c r="U513" i="3" s="1"/>
  <c r="V513" i="3" s="1"/>
  <c r="T514" i="3"/>
  <c r="U514" i="3" s="1"/>
  <c r="V514" i="3" s="1"/>
  <c r="T515" i="3"/>
  <c r="T516" i="3"/>
  <c r="T517" i="3"/>
  <c r="T518" i="3"/>
  <c r="U518" i="3" s="1"/>
  <c r="V518" i="3" s="1"/>
  <c r="T519" i="3"/>
  <c r="U519" i="3" s="1"/>
  <c r="V519" i="3" s="1"/>
  <c r="T520" i="3"/>
  <c r="U520" i="3" s="1"/>
  <c r="V520" i="3" s="1"/>
  <c r="T521" i="3"/>
  <c r="U521" i="3" s="1"/>
  <c r="V521" i="3" s="1"/>
  <c r="T522" i="3"/>
  <c r="U522" i="3" s="1"/>
  <c r="V522" i="3" s="1"/>
  <c r="T523" i="3"/>
  <c r="U523" i="3" s="1"/>
  <c r="V523" i="3" s="1"/>
  <c r="T524" i="3"/>
  <c r="U524" i="3" s="1"/>
  <c r="V524" i="3" s="1"/>
  <c r="T525" i="3"/>
  <c r="U525" i="3" s="1"/>
  <c r="V525" i="3" s="1"/>
  <c r="T526" i="3"/>
  <c r="U526" i="3" s="1"/>
  <c r="V526" i="3" s="1"/>
  <c r="T527" i="3"/>
  <c r="T528" i="3"/>
  <c r="U528" i="3" s="1"/>
  <c r="V528" i="3" s="1"/>
  <c r="T529" i="3"/>
  <c r="U529" i="3" s="1"/>
  <c r="V529" i="3" s="1"/>
  <c r="T530" i="3"/>
  <c r="U530" i="3" s="1"/>
  <c r="V530" i="3" s="1"/>
  <c r="T531" i="3"/>
  <c r="T532" i="3"/>
  <c r="U532" i="3" s="1"/>
  <c r="V532" i="3" s="1"/>
  <c r="T533" i="3"/>
  <c r="U533" i="3" s="1"/>
  <c r="V533" i="3" s="1"/>
  <c r="T534" i="3"/>
  <c r="U534" i="3" s="1"/>
  <c r="V534" i="3" s="1"/>
  <c r="T535" i="3"/>
  <c r="U535" i="3" s="1"/>
  <c r="V535" i="3" s="1"/>
  <c r="T536" i="3"/>
  <c r="T537" i="3"/>
  <c r="U537" i="3" s="1"/>
  <c r="V537" i="3" s="1"/>
  <c r="T538" i="3"/>
  <c r="U538" i="3" s="1"/>
  <c r="V538" i="3" s="1"/>
  <c r="T539" i="3"/>
  <c r="T540" i="3"/>
  <c r="T541" i="3"/>
  <c r="U541" i="3" s="1"/>
  <c r="V541" i="3" s="1"/>
  <c r="T542" i="3"/>
  <c r="U542" i="3" s="1"/>
  <c r="V542" i="3" s="1"/>
  <c r="T543" i="3"/>
  <c r="U543" i="3" s="1"/>
  <c r="V543" i="3" s="1"/>
  <c r="T544" i="3"/>
  <c r="U544" i="3" s="1"/>
  <c r="V544" i="3" s="1"/>
  <c r="T545" i="3"/>
  <c r="U545" i="3" s="1"/>
  <c r="V545" i="3" s="1"/>
  <c r="T546" i="3"/>
  <c r="U546" i="3" s="1"/>
  <c r="V546" i="3" s="1"/>
  <c r="T547" i="3"/>
  <c r="U547" i="3" s="1"/>
  <c r="V547" i="3" s="1"/>
  <c r="T548" i="3"/>
  <c r="T549" i="3"/>
  <c r="U549" i="3" s="1"/>
  <c r="V549" i="3" s="1"/>
  <c r="T550" i="3"/>
  <c r="U550" i="3" s="1"/>
  <c r="V550" i="3" s="1"/>
  <c r="T551" i="3"/>
  <c r="U551" i="3" s="1"/>
  <c r="V551" i="3" s="1"/>
  <c r="T552" i="3"/>
  <c r="U552" i="3" s="1"/>
  <c r="V552" i="3" s="1"/>
  <c r="T553" i="3"/>
  <c r="U553" i="3" s="1"/>
  <c r="V553" i="3" s="1"/>
  <c r="T554" i="3"/>
  <c r="U554" i="3" s="1"/>
  <c r="V554" i="3" s="1"/>
  <c r="T555" i="3"/>
  <c r="U555" i="3" s="1"/>
  <c r="V555" i="3" s="1"/>
  <c r="T556" i="3"/>
  <c r="U556" i="3" s="1"/>
  <c r="V556" i="3" s="1"/>
  <c r="T557" i="3"/>
  <c r="U557" i="3" s="1"/>
  <c r="V557" i="3" s="1"/>
  <c r="T558" i="3"/>
  <c r="U558" i="3" s="1"/>
  <c r="V558" i="3" s="1"/>
  <c r="T559" i="3"/>
  <c r="U559" i="3" s="1"/>
  <c r="V559" i="3" s="1"/>
  <c r="T560" i="3"/>
  <c r="T561" i="3"/>
  <c r="U561" i="3" s="1"/>
  <c r="V561" i="3" s="1"/>
  <c r="T562" i="3"/>
  <c r="T563" i="3"/>
  <c r="U563" i="3" s="1"/>
  <c r="V563" i="3" s="1"/>
  <c r="T564" i="3"/>
  <c r="U564" i="3" s="1"/>
  <c r="V564" i="3" s="1"/>
  <c r="T565" i="3"/>
  <c r="U565" i="3" s="1"/>
  <c r="V565" i="3" s="1"/>
  <c r="T566" i="3"/>
  <c r="T567" i="3"/>
  <c r="T568" i="3"/>
  <c r="U568" i="3" s="1"/>
  <c r="V568" i="3" s="1"/>
  <c r="T569" i="3"/>
  <c r="T570" i="3"/>
  <c r="U570" i="3" s="1"/>
  <c r="V570" i="3" s="1"/>
  <c r="T571" i="3"/>
  <c r="U571" i="3" s="1"/>
  <c r="V571" i="3" s="1"/>
  <c r="T572" i="3"/>
  <c r="T573" i="3"/>
  <c r="U573" i="3" s="1"/>
  <c r="V573" i="3" s="1"/>
  <c r="T574" i="3"/>
  <c r="U574" i="3" s="1"/>
  <c r="V574" i="3" s="1"/>
  <c r="T575" i="3"/>
  <c r="T576" i="3"/>
  <c r="U576" i="3" s="1"/>
  <c r="V576" i="3" s="1"/>
  <c r="T577" i="3"/>
  <c r="U577" i="3" s="1"/>
  <c r="V577" i="3" s="1"/>
  <c r="T578" i="3"/>
  <c r="U578" i="3" s="1"/>
  <c r="V578" i="3" s="1"/>
  <c r="T579" i="3"/>
  <c r="T580" i="3"/>
  <c r="U580" i="3" s="1"/>
  <c r="V580" i="3" s="1"/>
  <c r="T581" i="3"/>
  <c r="T582" i="3"/>
  <c r="U582" i="3" s="1"/>
  <c r="V582" i="3" s="1"/>
  <c r="T583" i="3"/>
  <c r="U583" i="3" s="1"/>
  <c r="V583" i="3" s="1"/>
  <c r="T584" i="3"/>
  <c r="U584" i="3" s="1"/>
  <c r="V584" i="3" s="1"/>
  <c r="T585" i="3"/>
  <c r="U585" i="3" s="1"/>
  <c r="V585" i="3" s="1"/>
  <c r="T586" i="3"/>
  <c r="T587" i="3"/>
  <c r="U587" i="3" s="1"/>
  <c r="V587" i="3" s="1"/>
  <c r="T588" i="3"/>
  <c r="T589" i="3"/>
  <c r="U589" i="3" s="1"/>
  <c r="V589" i="3" s="1"/>
  <c r="T590" i="3"/>
  <c r="U590" i="3" s="1"/>
  <c r="V590" i="3" s="1"/>
  <c r="T591" i="3"/>
  <c r="U591" i="3" s="1"/>
  <c r="V591" i="3" s="1"/>
  <c r="T592" i="3"/>
  <c r="U592" i="3" s="1"/>
  <c r="V592" i="3" s="1"/>
  <c r="T593" i="3"/>
  <c r="U593" i="3" s="1"/>
  <c r="V593" i="3" s="1"/>
  <c r="T594" i="3"/>
  <c r="U594" i="3" s="1"/>
  <c r="V594" i="3" s="1"/>
  <c r="T595" i="3"/>
  <c r="U595" i="3" s="1"/>
  <c r="V595" i="3" s="1"/>
  <c r="T596" i="3"/>
  <c r="U596" i="3" s="1"/>
  <c r="V596" i="3" s="1"/>
  <c r="T597" i="3"/>
  <c r="U597" i="3" s="1"/>
  <c r="V597" i="3" s="1"/>
  <c r="T598" i="3"/>
  <c r="T599" i="3"/>
  <c r="U599" i="3" s="1"/>
  <c r="V599" i="3" s="1"/>
  <c r="T600" i="3"/>
  <c r="U600" i="3" s="1"/>
  <c r="V600" i="3" s="1"/>
  <c r="T601" i="3"/>
  <c r="U601" i="3" s="1"/>
  <c r="V601" i="3" s="1"/>
  <c r="T602" i="3"/>
  <c r="U602" i="3" s="1"/>
  <c r="V602" i="3" s="1"/>
  <c r="T603" i="3"/>
  <c r="U603" i="3" s="1"/>
  <c r="V603" i="3" s="1"/>
  <c r="T604" i="3"/>
  <c r="U604" i="3" s="1"/>
  <c r="V604" i="3" s="1"/>
  <c r="T605" i="3"/>
  <c r="U605" i="3" s="1"/>
  <c r="V605" i="3" s="1"/>
  <c r="T606" i="3"/>
  <c r="T607" i="3"/>
  <c r="U607" i="3" s="1"/>
  <c r="V607" i="3" s="1"/>
  <c r="T608" i="3"/>
  <c r="U608" i="3" s="1"/>
  <c r="V608" i="3" s="1"/>
  <c r="T609" i="3"/>
  <c r="U609" i="3" s="1"/>
  <c r="V609" i="3" s="1"/>
  <c r="T610" i="3"/>
  <c r="U610" i="3" s="1"/>
  <c r="V610" i="3" s="1"/>
  <c r="T611" i="3"/>
  <c r="U611" i="3" s="1"/>
  <c r="V611" i="3" s="1"/>
  <c r="T612" i="3"/>
  <c r="U612" i="3" s="1"/>
  <c r="V612" i="3" s="1"/>
  <c r="T613" i="3"/>
  <c r="U613" i="3" s="1"/>
  <c r="V613" i="3" s="1"/>
  <c r="T614" i="3"/>
  <c r="U614" i="3" s="1"/>
  <c r="V614" i="3" s="1"/>
  <c r="T615" i="3"/>
  <c r="U615" i="3" s="1"/>
  <c r="V615" i="3" s="1"/>
  <c r="T616" i="3"/>
  <c r="U616" i="3" s="1"/>
  <c r="V616" i="3" s="1"/>
  <c r="T617" i="3"/>
  <c r="U617" i="3" s="1"/>
  <c r="V617" i="3" s="1"/>
  <c r="T618" i="3"/>
  <c r="T619" i="3"/>
  <c r="T620" i="3"/>
  <c r="U620" i="3" s="1"/>
  <c r="V620" i="3" s="1"/>
  <c r="T621" i="3"/>
  <c r="U621" i="3" s="1"/>
  <c r="V621" i="3" s="1"/>
  <c r="T622" i="3"/>
  <c r="U622" i="3" s="1"/>
  <c r="V622" i="3" s="1"/>
  <c r="T623" i="3"/>
  <c r="U623" i="3" s="1"/>
  <c r="V623" i="3" s="1"/>
  <c r="T624" i="3"/>
  <c r="U624" i="3" s="1"/>
  <c r="V624" i="3" s="1"/>
  <c r="T625" i="3"/>
  <c r="U625" i="3" s="1"/>
  <c r="V625" i="3" s="1"/>
  <c r="T626" i="3"/>
  <c r="U626" i="3" s="1"/>
  <c r="V626" i="3" s="1"/>
  <c r="T627" i="3"/>
  <c r="U627" i="3" s="1"/>
  <c r="V627" i="3" s="1"/>
  <c r="T628" i="3"/>
  <c r="U628" i="3" s="1"/>
  <c r="V628" i="3" s="1"/>
  <c r="T629" i="3"/>
  <c r="U629" i="3" s="1"/>
  <c r="V629" i="3" s="1"/>
  <c r="T630" i="3"/>
  <c r="U630" i="3" s="1"/>
  <c r="V630" i="3" s="1"/>
  <c r="T631" i="3"/>
  <c r="U631" i="3" s="1"/>
  <c r="V631" i="3" s="1"/>
  <c r="T632" i="3"/>
  <c r="T633" i="3"/>
  <c r="U633" i="3" s="1"/>
  <c r="V633" i="3" s="1"/>
  <c r="T634" i="3"/>
  <c r="U634" i="3" s="1"/>
  <c r="V634" i="3" s="1"/>
  <c r="T635" i="3"/>
  <c r="U635" i="3" s="1"/>
  <c r="V635" i="3" s="1"/>
  <c r="T636" i="3"/>
  <c r="T637" i="3"/>
  <c r="T638" i="3"/>
  <c r="U638" i="3" s="1"/>
  <c r="V638" i="3" s="1"/>
  <c r="T639" i="3"/>
  <c r="U639" i="3" s="1"/>
  <c r="V639" i="3" s="1"/>
  <c r="T640" i="3"/>
  <c r="U640" i="3" s="1"/>
  <c r="V640" i="3" s="1"/>
  <c r="T641" i="3"/>
  <c r="U641" i="3" s="1"/>
  <c r="V641" i="3" s="1"/>
  <c r="T642" i="3"/>
  <c r="U642" i="3" s="1"/>
  <c r="V642" i="3" s="1"/>
  <c r="T643" i="3"/>
  <c r="U643" i="3" s="1"/>
  <c r="V643" i="3" s="1"/>
  <c r="T644" i="3"/>
  <c r="T645" i="3"/>
  <c r="U645" i="3" s="1"/>
  <c r="V645" i="3" s="1"/>
  <c r="T646" i="3"/>
  <c r="U646" i="3" s="1"/>
  <c r="V646" i="3" s="1"/>
  <c r="T647" i="3"/>
  <c r="U647" i="3" s="1"/>
  <c r="V647" i="3" s="1"/>
  <c r="T648" i="3"/>
  <c r="U648" i="3" s="1"/>
  <c r="V648" i="3" s="1"/>
  <c r="T649" i="3"/>
  <c r="U649" i="3" s="1"/>
  <c r="V649" i="3" s="1"/>
  <c r="T650" i="3"/>
  <c r="U650" i="3" s="1"/>
  <c r="V650" i="3" s="1"/>
  <c r="T651" i="3"/>
  <c r="T652" i="3"/>
  <c r="U652" i="3" s="1"/>
  <c r="V652" i="3" s="1"/>
  <c r="T653" i="3"/>
  <c r="U653" i="3" s="1"/>
  <c r="V653" i="3" s="1"/>
  <c r="T654" i="3"/>
  <c r="T655" i="3"/>
  <c r="U655" i="3" s="1"/>
  <c r="V655" i="3" s="1"/>
  <c r="T656" i="3"/>
  <c r="U656" i="3" s="1"/>
  <c r="V656" i="3" s="1"/>
  <c r="T657" i="3"/>
  <c r="U657" i="3" s="1"/>
  <c r="V657" i="3" s="1"/>
  <c r="T658" i="3"/>
  <c r="U658" i="3" s="1"/>
  <c r="V658" i="3" s="1"/>
  <c r="T659" i="3"/>
  <c r="U659" i="3" s="1"/>
  <c r="V659" i="3" s="1"/>
  <c r="T660" i="3"/>
  <c r="U660" i="3" s="1"/>
  <c r="V660" i="3" s="1"/>
  <c r="T661" i="3"/>
  <c r="U661" i="3" s="1"/>
  <c r="V661" i="3" s="1"/>
  <c r="T662" i="3"/>
  <c r="U662" i="3" s="1"/>
  <c r="V662" i="3" s="1"/>
  <c r="T663" i="3"/>
  <c r="T664" i="3"/>
  <c r="U664" i="3" s="1"/>
  <c r="V664" i="3" s="1"/>
  <c r="T665" i="3"/>
  <c r="U665" i="3" s="1"/>
  <c r="V665" i="3" s="1"/>
  <c r="T666" i="3"/>
  <c r="T667" i="3"/>
  <c r="U667" i="3" s="1"/>
  <c r="V667" i="3" s="1"/>
  <c r="T668" i="3"/>
  <c r="U668" i="3" s="1"/>
  <c r="V668" i="3" s="1"/>
  <c r="T669" i="3"/>
  <c r="U669" i="3" s="1"/>
  <c r="V669" i="3" s="1"/>
  <c r="T670" i="3"/>
  <c r="U670" i="3" s="1"/>
  <c r="V670" i="3" s="1"/>
  <c r="T671" i="3"/>
  <c r="U671" i="3" s="1"/>
  <c r="V671" i="3" s="1"/>
  <c r="T672" i="3"/>
  <c r="U672" i="3" s="1"/>
  <c r="V672" i="3" s="1"/>
  <c r="T673" i="3"/>
  <c r="U673" i="3" s="1"/>
  <c r="V673" i="3" s="1"/>
  <c r="T674" i="3"/>
  <c r="U674" i="3" s="1"/>
  <c r="V674" i="3" s="1"/>
  <c r="T675" i="3"/>
  <c r="U675" i="3" s="1"/>
  <c r="V675" i="3" s="1"/>
  <c r="T676" i="3"/>
  <c r="T677" i="3"/>
  <c r="U677" i="3" s="1"/>
  <c r="V677" i="3" s="1"/>
  <c r="T678" i="3"/>
  <c r="U678" i="3" s="1"/>
  <c r="V678" i="3" s="1"/>
  <c r="T679" i="3"/>
  <c r="U679" i="3" s="1"/>
  <c r="V679" i="3" s="1"/>
  <c r="T680" i="3"/>
  <c r="U680" i="3" s="1"/>
  <c r="V680" i="3" s="1"/>
  <c r="T681" i="3"/>
  <c r="U681" i="3" s="1"/>
  <c r="V681" i="3" s="1"/>
  <c r="T682" i="3"/>
  <c r="U682" i="3" s="1"/>
  <c r="V682" i="3" s="1"/>
  <c r="T683" i="3"/>
  <c r="U683" i="3" s="1"/>
  <c r="V683" i="3" s="1"/>
  <c r="T684" i="3"/>
  <c r="U684" i="3" s="1"/>
  <c r="V684" i="3" s="1"/>
  <c r="T685" i="3"/>
  <c r="U685" i="3" s="1"/>
  <c r="V685" i="3" s="1"/>
  <c r="T686" i="3"/>
  <c r="U686" i="3" s="1"/>
  <c r="V686" i="3" s="1"/>
  <c r="T687" i="3"/>
  <c r="U687" i="3" s="1"/>
  <c r="V687" i="3" s="1"/>
  <c r="T688" i="3"/>
  <c r="T689" i="3"/>
  <c r="U689" i="3" s="1"/>
  <c r="V689" i="3" s="1"/>
  <c r="T690" i="3"/>
  <c r="U690" i="3" s="1"/>
  <c r="V690" i="3" s="1"/>
  <c r="T691" i="3"/>
  <c r="U691" i="3" s="1"/>
  <c r="V691" i="3" s="1"/>
  <c r="T692" i="3"/>
  <c r="T693" i="3"/>
  <c r="U693" i="3" s="1"/>
  <c r="V693" i="3" s="1"/>
  <c r="T694" i="3"/>
  <c r="U694" i="3" s="1"/>
  <c r="V694" i="3" s="1"/>
  <c r="T695" i="3"/>
  <c r="U695" i="3" s="1"/>
  <c r="V695" i="3" s="1"/>
  <c r="T696" i="3"/>
  <c r="U696" i="3" s="1"/>
  <c r="V696" i="3" s="1"/>
  <c r="T697" i="3"/>
  <c r="T698" i="3"/>
  <c r="T699" i="3"/>
  <c r="U699" i="3" s="1"/>
  <c r="V699" i="3" s="1"/>
  <c r="T700" i="3"/>
  <c r="U700" i="3" s="1"/>
  <c r="V700" i="3" s="1"/>
  <c r="T701" i="3"/>
  <c r="U701" i="3" s="1"/>
  <c r="V701" i="3" s="1"/>
  <c r="T702" i="3"/>
  <c r="U702" i="3" s="1"/>
  <c r="V702" i="3" s="1"/>
  <c r="T703" i="3"/>
  <c r="U703" i="3" s="1"/>
  <c r="V703" i="3" s="1"/>
  <c r="T704" i="3"/>
  <c r="U704" i="3" s="1"/>
  <c r="V704" i="3" s="1"/>
  <c r="T705" i="3"/>
  <c r="T706" i="3"/>
  <c r="U706" i="3" s="1"/>
  <c r="V706" i="3" s="1"/>
  <c r="T707" i="3"/>
  <c r="U707" i="3" s="1"/>
  <c r="V707" i="3" s="1"/>
  <c r="T708" i="3"/>
  <c r="U708" i="3" s="1"/>
  <c r="V708" i="3" s="1"/>
  <c r="T709" i="3"/>
  <c r="U709" i="3" s="1"/>
  <c r="V709" i="3" s="1"/>
  <c r="T710" i="3"/>
  <c r="U710" i="3" s="1"/>
  <c r="V710" i="3" s="1"/>
  <c r="T711" i="3"/>
  <c r="U711" i="3" s="1"/>
  <c r="V711" i="3" s="1"/>
  <c r="T712" i="3"/>
  <c r="U712" i="3" s="1"/>
  <c r="V712" i="3" s="1"/>
  <c r="T713" i="3"/>
  <c r="U713" i="3" s="1"/>
  <c r="V713" i="3" s="1"/>
  <c r="T714" i="3"/>
  <c r="U714" i="3" s="1"/>
  <c r="V714" i="3" s="1"/>
  <c r="T715" i="3"/>
  <c r="U715" i="3" s="1"/>
  <c r="V715" i="3" s="1"/>
  <c r="T716" i="3"/>
  <c r="T717" i="3"/>
  <c r="U717" i="3" s="1"/>
  <c r="V717" i="3" s="1"/>
  <c r="T718" i="3"/>
  <c r="U718" i="3" s="1"/>
  <c r="V718" i="3" s="1"/>
  <c r="T719" i="3"/>
  <c r="U719" i="3" s="1"/>
  <c r="V719" i="3" s="1"/>
  <c r="T720" i="3"/>
  <c r="T721" i="3"/>
  <c r="U721" i="3" s="1"/>
  <c r="V721" i="3" s="1"/>
  <c r="T722" i="3"/>
  <c r="U722" i="3" s="1"/>
  <c r="V722" i="3" s="1"/>
  <c r="T723" i="3"/>
  <c r="U723" i="3" s="1"/>
  <c r="V723" i="3" s="1"/>
  <c r="T724" i="3"/>
  <c r="U724" i="3" s="1"/>
  <c r="V724" i="3" s="1"/>
  <c r="T725" i="3"/>
  <c r="U725" i="3" s="1"/>
  <c r="V725" i="3" s="1"/>
  <c r="T726" i="3"/>
  <c r="U726" i="3" s="1"/>
  <c r="V726" i="3" s="1"/>
  <c r="T727" i="3"/>
  <c r="U727" i="3" s="1"/>
  <c r="V727" i="3" s="1"/>
  <c r="T728" i="3"/>
  <c r="U728" i="3" s="1"/>
  <c r="V728" i="3" s="1"/>
  <c r="T729" i="3"/>
  <c r="U729" i="3" s="1"/>
  <c r="V729" i="3" s="1"/>
  <c r="T730" i="3"/>
  <c r="U730" i="3" s="1"/>
  <c r="V730" i="3" s="1"/>
  <c r="T731" i="3"/>
  <c r="U731" i="3" s="1"/>
  <c r="V731" i="3" s="1"/>
  <c r="T732" i="3"/>
  <c r="U732" i="3" s="1"/>
  <c r="V732" i="3" s="1"/>
  <c r="T733" i="3"/>
  <c r="U733" i="3" s="1"/>
  <c r="V733" i="3" s="1"/>
  <c r="T734" i="3"/>
  <c r="U734" i="3" s="1"/>
  <c r="V734" i="3" s="1"/>
  <c r="T735" i="3"/>
  <c r="U735" i="3" s="1"/>
  <c r="V735" i="3" s="1"/>
  <c r="T736" i="3"/>
  <c r="U736" i="3" s="1"/>
  <c r="V736" i="3" s="1"/>
  <c r="T737" i="3"/>
  <c r="U737" i="3" s="1"/>
  <c r="V737" i="3" s="1"/>
  <c r="T738" i="3"/>
  <c r="U738" i="3" s="1"/>
  <c r="V738" i="3" s="1"/>
  <c r="T739" i="3"/>
  <c r="T740" i="3"/>
  <c r="U740" i="3" s="1"/>
  <c r="V740" i="3" s="1"/>
  <c r="T741" i="3"/>
  <c r="U741" i="3" s="1"/>
  <c r="V741" i="3" s="1"/>
  <c r="T742" i="3"/>
  <c r="U742" i="3" s="1"/>
  <c r="V742" i="3" s="1"/>
  <c r="T743" i="3"/>
  <c r="U743" i="3" s="1"/>
  <c r="V743" i="3" s="1"/>
  <c r="T744" i="3"/>
  <c r="T745" i="3"/>
  <c r="T746" i="3"/>
  <c r="U746" i="3" s="1"/>
  <c r="V746" i="3" s="1"/>
  <c r="T747" i="3"/>
  <c r="U747" i="3" s="1"/>
  <c r="V747" i="3" s="1"/>
  <c r="T748" i="3"/>
  <c r="U748" i="3" s="1"/>
  <c r="V748" i="3" s="1"/>
  <c r="T749" i="3"/>
  <c r="U749" i="3" s="1"/>
  <c r="V749" i="3" s="1"/>
  <c r="T750" i="3"/>
  <c r="U750" i="3" s="1"/>
  <c r="V750" i="3" s="1"/>
  <c r="T751" i="3"/>
  <c r="U751" i="3" s="1"/>
  <c r="V751" i="3" s="1"/>
  <c r="T752" i="3"/>
  <c r="U752" i="3" s="1"/>
  <c r="V752" i="3" s="1"/>
  <c r="T753" i="3"/>
  <c r="U753" i="3" s="1"/>
  <c r="V753" i="3" s="1"/>
  <c r="T754" i="3"/>
  <c r="T755" i="3"/>
  <c r="U755" i="3" s="1"/>
  <c r="V755" i="3" s="1"/>
  <c r="T756" i="3"/>
  <c r="U756" i="3" s="1"/>
  <c r="V756" i="3" s="1"/>
  <c r="T757" i="3"/>
  <c r="T758" i="3"/>
  <c r="U758" i="3" s="1"/>
  <c r="V758" i="3" s="1"/>
  <c r="T759" i="3"/>
  <c r="U759" i="3" s="1"/>
  <c r="V759" i="3" s="1"/>
  <c r="T760" i="3"/>
  <c r="U760" i="3" s="1"/>
  <c r="V760" i="3" s="1"/>
  <c r="T761" i="3"/>
  <c r="U761" i="3" s="1"/>
  <c r="V761" i="3" s="1"/>
  <c r="T762" i="3"/>
  <c r="U762" i="3" s="1"/>
  <c r="V762" i="3" s="1"/>
  <c r="T763" i="3"/>
  <c r="U763" i="3" s="1"/>
  <c r="V763" i="3" s="1"/>
  <c r="T764" i="3"/>
  <c r="U764" i="3" s="1"/>
  <c r="V764" i="3" s="1"/>
  <c r="T765" i="3"/>
  <c r="U765" i="3" s="1"/>
  <c r="V765" i="3" s="1"/>
  <c r="T766" i="3"/>
  <c r="U766" i="3" s="1"/>
  <c r="V766" i="3" s="1"/>
  <c r="T767" i="3"/>
  <c r="U767" i="3" s="1"/>
  <c r="V767" i="3" s="1"/>
  <c r="T768" i="3"/>
  <c r="T769" i="3"/>
  <c r="U769" i="3" s="1"/>
  <c r="V769" i="3" s="1"/>
  <c r="T770" i="3"/>
  <c r="U770" i="3" s="1"/>
  <c r="V770" i="3" s="1"/>
  <c r="T771" i="3"/>
  <c r="U771" i="3" s="1"/>
  <c r="V771" i="3" s="1"/>
  <c r="T772" i="3"/>
  <c r="U772" i="3" s="1"/>
  <c r="V772" i="3" s="1"/>
  <c r="T773" i="3"/>
  <c r="U773" i="3" s="1"/>
  <c r="V773" i="3" s="1"/>
  <c r="T774" i="3"/>
  <c r="T775" i="3"/>
  <c r="U775" i="3" s="1"/>
  <c r="V775" i="3" s="1"/>
  <c r="T776" i="3"/>
  <c r="U776" i="3" s="1"/>
  <c r="V776" i="3" s="1"/>
  <c r="T777" i="3"/>
  <c r="U777" i="3" s="1"/>
  <c r="V777" i="3" s="1"/>
  <c r="T778" i="3"/>
  <c r="U778" i="3" s="1"/>
  <c r="V778" i="3" s="1"/>
  <c r="T779" i="3"/>
  <c r="U779" i="3" s="1"/>
  <c r="V779" i="3" s="1"/>
  <c r="T780" i="3"/>
  <c r="U780" i="3" s="1"/>
  <c r="V780" i="3" s="1"/>
  <c r="T781" i="3"/>
  <c r="U781" i="3" s="1"/>
  <c r="V781" i="3" s="1"/>
  <c r="T782" i="3"/>
  <c r="U782" i="3" s="1"/>
  <c r="V782" i="3" s="1"/>
  <c r="T783" i="3"/>
  <c r="U783" i="3" s="1"/>
  <c r="V783" i="3" s="1"/>
  <c r="T784" i="3"/>
  <c r="U784" i="3" s="1"/>
  <c r="V784" i="3" s="1"/>
  <c r="T785" i="3"/>
  <c r="U785" i="3" s="1"/>
  <c r="V785" i="3" s="1"/>
  <c r="T786" i="3"/>
  <c r="U786" i="3" s="1"/>
  <c r="V786" i="3" s="1"/>
  <c r="T787" i="3"/>
  <c r="U787" i="3" s="1"/>
  <c r="V787" i="3" s="1"/>
  <c r="T788" i="3"/>
  <c r="U788" i="3" s="1"/>
  <c r="V788" i="3" s="1"/>
  <c r="T789" i="3"/>
  <c r="U789" i="3" s="1"/>
  <c r="V789" i="3" s="1"/>
  <c r="T790" i="3"/>
  <c r="U790" i="3" s="1"/>
  <c r="V790" i="3" s="1"/>
  <c r="T791" i="3"/>
  <c r="U791" i="3" s="1"/>
  <c r="V791" i="3" s="1"/>
  <c r="T792" i="3"/>
  <c r="U792" i="3" s="1"/>
  <c r="V792" i="3" s="1"/>
  <c r="T793" i="3"/>
  <c r="T794" i="3"/>
  <c r="U794" i="3" s="1"/>
  <c r="V794" i="3" s="1"/>
  <c r="T795" i="3"/>
  <c r="U795" i="3" s="1"/>
  <c r="V795" i="3" s="1"/>
  <c r="T796" i="3"/>
  <c r="U796" i="3" s="1"/>
  <c r="V796" i="3" s="1"/>
  <c r="T797" i="3"/>
  <c r="U797" i="3" s="1"/>
  <c r="V797" i="3" s="1"/>
  <c r="T798" i="3"/>
  <c r="U798" i="3" s="1"/>
  <c r="V798" i="3" s="1"/>
  <c r="T799" i="3"/>
  <c r="T800" i="3"/>
  <c r="U800" i="3" s="1"/>
  <c r="V800" i="3" s="1"/>
  <c r="T801" i="3"/>
  <c r="U801" i="3" s="1"/>
  <c r="V801" i="3" s="1"/>
  <c r="T802" i="3"/>
  <c r="U802" i="3" s="1"/>
  <c r="V802" i="3" s="1"/>
  <c r="T803" i="3"/>
  <c r="U803" i="3" s="1"/>
  <c r="V803" i="3" s="1"/>
  <c r="T804" i="3"/>
  <c r="U804" i="3" s="1"/>
  <c r="V804" i="3" s="1"/>
  <c r="T805" i="3"/>
  <c r="U805" i="3" s="1"/>
  <c r="V805" i="3" s="1"/>
  <c r="T806" i="3"/>
  <c r="T807" i="3"/>
  <c r="U807" i="3" s="1"/>
  <c r="V807" i="3" s="1"/>
  <c r="T808" i="3"/>
  <c r="U808" i="3" s="1"/>
  <c r="V808" i="3" s="1"/>
  <c r="T809" i="3"/>
  <c r="U809" i="3" s="1"/>
  <c r="V809" i="3" s="1"/>
  <c r="T810" i="3"/>
  <c r="U810" i="3" s="1"/>
  <c r="V810" i="3" s="1"/>
  <c r="T811" i="3"/>
  <c r="U811" i="3" s="1"/>
  <c r="V811" i="3" s="1"/>
  <c r="T812" i="3"/>
  <c r="U812" i="3" s="1"/>
  <c r="V812" i="3" s="1"/>
  <c r="T813" i="3"/>
  <c r="U813" i="3" s="1"/>
  <c r="V813" i="3" s="1"/>
  <c r="T814" i="3"/>
  <c r="U814" i="3" s="1"/>
  <c r="V814" i="3" s="1"/>
  <c r="T815" i="3"/>
  <c r="U815" i="3" s="1"/>
  <c r="V815" i="3" s="1"/>
  <c r="T816" i="3"/>
  <c r="U816" i="3" s="1"/>
  <c r="V816" i="3" s="1"/>
  <c r="T817" i="3"/>
  <c r="T818" i="3"/>
  <c r="U818" i="3" s="1"/>
  <c r="V818" i="3" s="1"/>
  <c r="T819" i="3"/>
  <c r="U819" i="3" s="1"/>
  <c r="V819" i="3" s="1"/>
  <c r="T820" i="3"/>
  <c r="T821" i="3"/>
  <c r="U821" i="3" s="1"/>
  <c r="V821" i="3" s="1"/>
  <c r="T822" i="3"/>
  <c r="U822" i="3" s="1"/>
  <c r="V822" i="3" s="1"/>
  <c r="T823" i="3"/>
  <c r="U823" i="3" s="1"/>
  <c r="V823" i="3" s="1"/>
  <c r="T824" i="3"/>
  <c r="U824" i="3" s="1"/>
  <c r="V824" i="3" s="1"/>
  <c r="T825" i="3"/>
  <c r="T826" i="3"/>
  <c r="U826" i="3" s="1"/>
  <c r="V826" i="3" s="1"/>
  <c r="T827" i="3"/>
  <c r="U827" i="3" s="1"/>
  <c r="V827" i="3" s="1"/>
  <c r="T828" i="3"/>
  <c r="U828" i="3" s="1"/>
  <c r="V828" i="3" s="1"/>
  <c r="T829" i="3"/>
  <c r="T830" i="3"/>
  <c r="U830" i="3" s="1"/>
  <c r="V830" i="3" s="1"/>
  <c r="T831" i="3"/>
  <c r="U831" i="3" s="1"/>
  <c r="V831" i="3" s="1"/>
  <c r="T832" i="3"/>
  <c r="U832" i="3" s="1"/>
  <c r="V832" i="3" s="1"/>
  <c r="T833" i="3"/>
  <c r="U833" i="3" s="1"/>
  <c r="V833" i="3" s="1"/>
  <c r="T834" i="3"/>
  <c r="U834" i="3" s="1"/>
  <c r="V834" i="3" s="1"/>
  <c r="T835" i="3"/>
  <c r="U835" i="3" s="1"/>
  <c r="V835" i="3" s="1"/>
  <c r="T836" i="3"/>
  <c r="U836" i="3" s="1"/>
  <c r="V836" i="3" s="1"/>
  <c r="T837" i="3"/>
  <c r="U837" i="3" s="1"/>
  <c r="V837" i="3" s="1"/>
  <c r="T838" i="3"/>
  <c r="U838" i="3" s="1"/>
  <c r="V838" i="3" s="1"/>
  <c r="T839" i="3"/>
  <c r="T840" i="3"/>
  <c r="U840" i="3" s="1"/>
  <c r="V840" i="3" s="1"/>
  <c r="T841" i="3"/>
  <c r="U841" i="3" s="1"/>
  <c r="V841" i="3" s="1"/>
  <c r="T842" i="3"/>
  <c r="U842" i="3" s="1"/>
  <c r="V842" i="3" s="1"/>
  <c r="T843" i="3"/>
  <c r="U843" i="3" s="1"/>
  <c r="V843" i="3" s="1"/>
  <c r="T844" i="3"/>
  <c r="U844" i="3" s="1"/>
  <c r="V844" i="3" s="1"/>
  <c r="T845" i="3"/>
  <c r="U845" i="3" s="1"/>
  <c r="V845" i="3" s="1"/>
  <c r="T846" i="3"/>
  <c r="U846" i="3" s="1"/>
  <c r="V846" i="3" s="1"/>
  <c r="T847" i="3"/>
  <c r="U847" i="3" s="1"/>
  <c r="V847" i="3" s="1"/>
  <c r="T848" i="3"/>
  <c r="T849" i="3"/>
  <c r="U849" i="3" s="1"/>
  <c r="V849" i="3" s="1"/>
  <c r="T850" i="3"/>
  <c r="U850" i="3" s="1"/>
  <c r="V850" i="3" s="1"/>
  <c r="T851" i="3"/>
  <c r="U851" i="3" s="1"/>
  <c r="V851" i="3" s="1"/>
  <c r="T852" i="3"/>
  <c r="U852" i="3" s="1"/>
  <c r="V852" i="3" s="1"/>
  <c r="T853" i="3"/>
  <c r="U853" i="3" s="1"/>
  <c r="V853" i="3" s="1"/>
  <c r="T854" i="3"/>
  <c r="T855" i="3"/>
  <c r="U855" i="3" s="1"/>
  <c r="V855" i="3" s="1"/>
  <c r="T856" i="3"/>
  <c r="U856" i="3" s="1"/>
  <c r="V856" i="3" s="1"/>
  <c r="T857" i="3"/>
  <c r="U857" i="3" s="1"/>
  <c r="V857" i="3" s="1"/>
  <c r="T858" i="3"/>
  <c r="U858" i="3" s="1"/>
  <c r="V858" i="3" s="1"/>
  <c r="T859" i="3"/>
  <c r="U859" i="3" s="1"/>
  <c r="V859" i="3" s="1"/>
  <c r="T860" i="3"/>
  <c r="U860" i="3" s="1"/>
  <c r="V860" i="3" s="1"/>
  <c r="T861" i="3"/>
  <c r="U861" i="3" s="1"/>
  <c r="V861" i="3" s="1"/>
  <c r="T862" i="3"/>
  <c r="U862" i="3" s="1"/>
  <c r="V862" i="3" s="1"/>
  <c r="T863" i="3"/>
  <c r="T864" i="3"/>
  <c r="T865" i="3"/>
  <c r="U865" i="3" s="1"/>
  <c r="V865" i="3" s="1"/>
  <c r="T866" i="3"/>
  <c r="T867" i="3"/>
  <c r="T868" i="3"/>
  <c r="U868" i="3" s="1"/>
  <c r="V868" i="3" s="1"/>
  <c r="T869" i="3"/>
  <c r="U869" i="3" s="1"/>
  <c r="V869" i="3" s="1"/>
  <c r="T870" i="3"/>
  <c r="U870" i="3" s="1"/>
  <c r="V870" i="3" s="1"/>
  <c r="T871" i="3"/>
  <c r="T872" i="3"/>
  <c r="U872" i="3" s="1"/>
  <c r="V872" i="3" s="1"/>
  <c r="T873" i="3"/>
  <c r="U873" i="3" s="1"/>
  <c r="V873" i="3" s="1"/>
  <c r="T874" i="3"/>
  <c r="U874" i="3" s="1"/>
  <c r="V874" i="3" s="1"/>
  <c r="T875" i="3"/>
  <c r="U875" i="3" s="1"/>
  <c r="V875" i="3" s="1"/>
  <c r="T876" i="3"/>
  <c r="U876" i="3" s="1"/>
  <c r="V876" i="3" s="1"/>
  <c r="T877" i="3"/>
  <c r="U877" i="3" s="1"/>
  <c r="V877" i="3" s="1"/>
  <c r="T878" i="3"/>
  <c r="T879" i="3"/>
  <c r="U879" i="3" s="1"/>
  <c r="V879" i="3" s="1"/>
  <c r="T880" i="3"/>
  <c r="U880" i="3" s="1"/>
  <c r="V880" i="3" s="1"/>
  <c r="T881" i="3"/>
  <c r="U881" i="3" s="1"/>
  <c r="V881" i="3" s="1"/>
  <c r="T882" i="3"/>
  <c r="U882" i="3" s="1"/>
  <c r="V882" i="3" s="1"/>
  <c r="T883" i="3"/>
  <c r="U883" i="3" s="1"/>
  <c r="V883" i="3" s="1"/>
  <c r="T884" i="3"/>
  <c r="U884" i="3" s="1"/>
  <c r="V884" i="3" s="1"/>
  <c r="T885" i="3"/>
  <c r="U885" i="3" s="1"/>
  <c r="V885" i="3" s="1"/>
  <c r="T886" i="3"/>
  <c r="U886" i="3" s="1"/>
  <c r="V886" i="3" s="1"/>
  <c r="T887" i="3"/>
  <c r="U887" i="3" s="1"/>
  <c r="V887" i="3" s="1"/>
  <c r="T888" i="3"/>
  <c r="U888" i="3" s="1"/>
  <c r="V888" i="3" s="1"/>
  <c r="T889" i="3"/>
  <c r="U889" i="3" s="1"/>
  <c r="V889" i="3" s="1"/>
  <c r="T890" i="3"/>
  <c r="U890" i="3" s="1"/>
  <c r="V890" i="3" s="1"/>
  <c r="T891" i="3"/>
  <c r="U891" i="3" s="1"/>
  <c r="V891" i="3" s="1"/>
  <c r="T892" i="3"/>
  <c r="U892" i="3" s="1"/>
  <c r="V892" i="3" s="1"/>
  <c r="T893" i="3"/>
  <c r="U893" i="3" s="1"/>
  <c r="V893" i="3" s="1"/>
  <c r="T894" i="3"/>
  <c r="U894" i="3" s="1"/>
  <c r="V894" i="3" s="1"/>
  <c r="T895" i="3"/>
  <c r="T896" i="3"/>
  <c r="T897" i="3"/>
  <c r="T898" i="3"/>
  <c r="U898" i="3" s="1"/>
  <c r="V898" i="3" s="1"/>
  <c r="T899" i="3"/>
  <c r="T900" i="3"/>
  <c r="T901" i="3"/>
  <c r="U901" i="3" s="1"/>
  <c r="V901" i="3" s="1"/>
  <c r="T902" i="3"/>
  <c r="U902" i="3" s="1"/>
  <c r="V902" i="3" s="1"/>
  <c r="T903" i="3"/>
  <c r="U903" i="3" s="1"/>
  <c r="V903" i="3" s="1"/>
  <c r="T904" i="3"/>
  <c r="U904" i="3" s="1"/>
  <c r="V904" i="3" s="1"/>
  <c r="T905" i="3"/>
  <c r="U905" i="3" s="1"/>
  <c r="V905" i="3" s="1"/>
  <c r="T906" i="3"/>
  <c r="U906" i="3" s="1"/>
  <c r="V906" i="3" s="1"/>
  <c r="T907" i="3"/>
  <c r="U907" i="3" s="1"/>
  <c r="V907" i="3" s="1"/>
  <c r="T908" i="3"/>
  <c r="U908" i="3" s="1"/>
  <c r="V908" i="3" s="1"/>
  <c r="T909" i="3"/>
  <c r="U909" i="3" s="1"/>
  <c r="V909" i="3" s="1"/>
  <c r="T910" i="3"/>
  <c r="U910" i="3" s="1"/>
  <c r="V910" i="3" s="1"/>
  <c r="T911" i="3"/>
  <c r="U911" i="3" s="1"/>
  <c r="V911" i="3" s="1"/>
  <c r="T912" i="3"/>
  <c r="U912" i="3" s="1"/>
  <c r="V912" i="3" s="1"/>
  <c r="T913" i="3"/>
  <c r="U913" i="3" s="1"/>
  <c r="V913" i="3" s="1"/>
  <c r="T914" i="3"/>
  <c r="U914" i="3" s="1"/>
  <c r="V914" i="3" s="1"/>
  <c r="T915" i="3"/>
  <c r="U915" i="3" s="1"/>
  <c r="V915" i="3" s="1"/>
  <c r="T916" i="3"/>
  <c r="U916" i="3" s="1"/>
  <c r="V916" i="3" s="1"/>
  <c r="T917" i="3"/>
  <c r="U917" i="3" s="1"/>
  <c r="V917" i="3" s="1"/>
  <c r="T918" i="3"/>
  <c r="U918" i="3" s="1"/>
  <c r="V918" i="3" s="1"/>
  <c r="T919" i="3"/>
  <c r="U919" i="3" s="1"/>
  <c r="V919" i="3" s="1"/>
  <c r="T920" i="3"/>
  <c r="T921" i="3"/>
  <c r="U921" i="3" s="1"/>
  <c r="V921" i="3" s="1"/>
  <c r="T922" i="3"/>
  <c r="U922" i="3" s="1"/>
  <c r="V922" i="3" s="1"/>
  <c r="T923" i="3"/>
  <c r="U923" i="3" s="1"/>
  <c r="V923" i="3" s="1"/>
  <c r="T924" i="3"/>
  <c r="U924" i="3" s="1"/>
  <c r="V924" i="3" s="1"/>
  <c r="T925" i="3"/>
  <c r="U925" i="3" s="1"/>
  <c r="V925" i="3" s="1"/>
  <c r="T926" i="3"/>
  <c r="U926" i="3" s="1"/>
  <c r="V926" i="3" s="1"/>
  <c r="T927" i="3"/>
  <c r="U927" i="3" s="1"/>
  <c r="V927" i="3" s="1"/>
  <c r="T928" i="3"/>
  <c r="U928" i="3" s="1"/>
  <c r="V928" i="3" s="1"/>
  <c r="T929" i="3"/>
  <c r="U929" i="3" s="1"/>
  <c r="V929" i="3" s="1"/>
  <c r="T930" i="3"/>
  <c r="U930" i="3" s="1"/>
  <c r="V930" i="3" s="1"/>
  <c r="T931" i="3"/>
  <c r="T932" i="3"/>
  <c r="U932" i="3" s="1"/>
  <c r="V932" i="3" s="1"/>
  <c r="T933" i="3"/>
  <c r="U933" i="3" s="1"/>
  <c r="V933" i="3" s="1"/>
  <c r="T934" i="3"/>
  <c r="U934" i="3" s="1"/>
  <c r="V934" i="3" s="1"/>
  <c r="T935" i="3"/>
  <c r="U935" i="3" s="1"/>
  <c r="V935" i="3" s="1"/>
  <c r="T936" i="3"/>
  <c r="U936" i="3" s="1"/>
  <c r="V936" i="3" s="1"/>
  <c r="T937" i="3"/>
  <c r="U937" i="3" s="1"/>
  <c r="V937" i="3" s="1"/>
  <c r="T938" i="3"/>
  <c r="U938" i="3" s="1"/>
  <c r="V938" i="3" s="1"/>
  <c r="T939" i="3"/>
  <c r="U939" i="3" s="1"/>
  <c r="V939" i="3" s="1"/>
  <c r="T940" i="3"/>
  <c r="U940" i="3" s="1"/>
  <c r="V940" i="3" s="1"/>
  <c r="T941" i="3"/>
  <c r="U941" i="3" s="1"/>
  <c r="V941" i="3" s="1"/>
  <c r="T942" i="3"/>
  <c r="T943" i="3"/>
  <c r="T944" i="3"/>
  <c r="U944" i="3" s="1"/>
  <c r="V944" i="3" s="1"/>
  <c r="T945" i="3"/>
  <c r="U945" i="3" s="1"/>
  <c r="V945" i="3" s="1"/>
  <c r="T946" i="3"/>
  <c r="U946" i="3" s="1"/>
  <c r="V946" i="3" s="1"/>
  <c r="T947" i="3"/>
  <c r="U947" i="3" s="1"/>
  <c r="V947" i="3" s="1"/>
  <c r="T948" i="3"/>
  <c r="U948" i="3" s="1"/>
  <c r="V948" i="3" s="1"/>
  <c r="T949" i="3"/>
  <c r="U949" i="3" s="1"/>
  <c r="V949" i="3" s="1"/>
  <c r="T950" i="3"/>
  <c r="U950" i="3" s="1"/>
  <c r="V950" i="3" s="1"/>
  <c r="T951" i="3"/>
  <c r="U951" i="3" s="1"/>
  <c r="V951" i="3" s="1"/>
  <c r="T952" i="3"/>
  <c r="U952" i="3" s="1"/>
  <c r="V952" i="3" s="1"/>
  <c r="T953" i="3"/>
  <c r="U953" i="3" s="1"/>
  <c r="V953" i="3" s="1"/>
  <c r="T954" i="3"/>
  <c r="U954" i="3" s="1"/>
  <c r="V954" i="3" s="1"/>
  <c r="T955" i="3"/>
  <c r="U955" i="3" s="1"/>
  <c r="V955" i="3" s="1"/>
  <c r="T956" i="3"/>
  <c r="T957" i="3"/>
  <c r="U957" i="3" s="1"/>
  <c r="V957" i="3" s="1"/>
  <c r="T958" i="3"/>
  <c r="U958" i="3" s="1"/>
  <c r="V958" i="3" s="1"/>
  <c r="T959" i="3"/>
  <c r="T960" i="3"/>
  <c r="T961" i="3"/>
  <c r="U961" i="3" s="1"/>
  <c r="V961" i="3" s="1"/>
  <c r="T962" i="3"/>
  <c r="T963" i="3"/>
  <c r="U963" i="3" s="1"/>
  <c r="V963" i="3" s="1"/>
  <c r="T964" i="3"/>
  <c r="U964" i="3" s="1"/>
  <c r="V964" i="3" s="1"/>
  <c r="T965" i="3"/>
  <c r="U965" i="3" s="1"/>
  <c r="V965" i="3" s="1"/>
  <c r="T966" i="3"/>
  <c r="U966" i="3" s="1"/>
  <c r="V966" i="3" s="1"/>
  <c r="T967" i="3"/>
  <c r="U967" i="3" s="1"/>
  <c r="V967" i="3" s="1"/>
  <c r="T968" i="3"/>
  <c r="U968" i="3" s="1"/>
  <c r="V968" i="3" s="1"/>
  <c r="T969" i="3"/>
  <c r="U969" i="3" s="1"/>
  <c r="V969" i="3" s="1"/>
  <c r="T970" i="3"/>
  <c r="U970" i="3" s="1"/>
  <c r="V970" i="3" s="1"/>
  <c r="T971" i="3"/>
  <c r="U971" i="3" s="1"/>
  <c r="V971" i="3" s="1"/>
  <c r="T972" i="3"/>
  <c r="U972" i="3" s="1"/>
  <c r="V972" i="3" s="1"/>
  <c r="T973" i="3"/>
  <c r="U973" i="3" s="1"/>
  <c r="V973" i="3" s="1"/>
  <c r="T974" i="3"/>
  <c r="U974" i="3" s="1"/>
  <c r="V974" i="3" s="1"/>
  <c r="T975" i="3"/>
  <c r="T976" i="3"/>
  <c r="U976" i="3" s="1"/>
  <c r="V976" i="3" s="1"/>
  <c r="T977" i="3"/>
  <c r="T978" i="3"/>
  <c r="U978" i="3" s="1"/>
  <c r="V978" i="3" s="1"/>
  <c r="T979" i="3"/>
  <c r="U979" i="3" s="1"/>
  <c r="V979" i="3" s="1"/>
  <c r="T980" i="3"/>
  <c r="U980" i="3" s="1"/>
  <c r="V980" i="3" s="1"/>
  <c r="T981" i="3"/>
  <c r="U981" i="3" s="1"/>
  <c r="V981" i="3" s="1"/>
  <c r="T982" i="3"/>
  <c r="U982" i="3" s="1"/>
  <c r="V982" i="3" s="1"/>
  <c r="T983" i="3"/>
  <c r="U983" i="3" s="1"/>
  <c r="V983" i="3" s="1"/>
  <c r="T984" i="3"/>
  <c r="U984" i="3" s="1"/>
  <c r="V984" i="3" s="1"/>
  <c r="T985" i="3"/>
  <c r="U985" i="3" s="1"/>
  <c r="V985" i="3" s="1"/>
  <c r="T986" i="3"/>
  <c r="T987" i="3"/>
  <c r="T988" i="3"/>
  <c r="U988" i="3" s="1"/>
  <c r="V988" i="3" s="1"/>
  <c r="T989" i="3"/>
  <c r="T990" i="3"/>
  <c r="U990" i="3" s="1"/>
  <c r="V990" i="3" s="1"/>
  <c r="T991" i="3"/>
  <c r="U991" i="3" s="1"/>
  <c r="V991" i="3" s="1"/>
  <c r="T992" i="3"/>
  <c r="T993" i="3"/>
  <c r="U993" i="3" s="1"/>
  <c r="V993" i="3" s="1"/>
  <c r="T994" i="3"/>
  <c r="U994" i="3" s="1"/>
  <c r="V994" i="3" s="1"/>
  <c r="T995" i="3"/>
  <c r="U995" i="3" s="1"/>
  <c r="V995" i="3" s="1"/>
  <c r="T996" i="3"/>
  <c r="U996" i="3" s="1"/>
  <c r="V996" i="3" s="1"/>
  <c r="T997" i="3"/>
  <c r="U997" i="3" s="1"/>
  <c r="V997" i="3" s="1"/>
  <c r="T998" i="3"/>
  <c r="U998" i="3" s="1"/>
  <c r="V998" i="3" s="1"/>
  <c r="T999" i="3"/>
  <c r="U999" i="3" s="1"/>
  <c r="V999" i="3" s="1"/>
  <c r="T1000" i="3"/>
  <c r="U1000" i="3" s="1"/>
  <c r="V1000" i="3" s="1"/>
  <c r="T1001" i="3"/>
  <c r="U1001" i="3" s="1"/>
  <c r="V1001" i="3" s="1"/>
  <c r="T2" i="3"/>
  <c r="U2" i="3" s="1"/>
  <c r="V2" i="3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U992" i="3" l="1"/>
  <c r="V992" i="3" s="1"/>
  <c r="U986" i="3"/>
  <c r="V986" i="3" s="1"/>
  <c r="U962" i="3"/>
  <c r="V962" i="3" s="1"/>
  <c r="U942" i="3"/>
  <c r="V942" i="3" s="1"/>
  <c r="U878" i="3"/>
  <c r="V878" i="3" s="1"/>
  <c r="U866" i="3"/>
  <c r="V866" i="3" s="1"/>
  <c r="U854" i="3"/>
  <c r="V854" i="3" s="1"/>
  <c r="U806" i="3"/>
  <c r="V806" i="3" s="1"/>
  <c r="U774" i="3"/>
  <c r="V774" i="3" s="1"/>
  <c r="U754" i="3"/>
  <c r="V754" i="3" s="1"/>
  <c r="U698" i="3"/>
  <c r="V698" i="3" s="1"/>
  <c r="U666" i="3"/>
  <c r="V666" i="3" s="1"/>
  <c r="U654" i="3"/>
  <c r="V654" i="3" s="1"/>
  <c r="U618" i="3"/>
  <c r="V618" i="3" s="1"/>
  <c r="U956" i="3"/>
  <c r="V956" i="3" s="1"/>
  <c r="U864" i="3"/>
  <c r="V864" i="3" s="1"/>
  <c r="U848" i="3"/>
  <c r="V848" i="3" s="1"/>
  <c r="U744" i="3"/>
  <c r="V744" i="3" s="1"/>
  <c r="U720" i="3"/>
  <c r="V720" i="3" s="1"/>
  <c r="U716" i="3"/>
  <c r="V716" i="3" s="1"/>
  <c r="U692" i="3"/>
  <c r="V692" i="3" s="1"/>
  <c r="U644" i="3"/>
  <c r="V644" i="3" s="1"/>
  <c r="U636" i="3"/>
  <c r="V636" i="3" s="1"/>
  <c r="U632" i="3"/>
  <c r="V632" i="3" s="1"/>
  <c r="U606" i="3"/>
  <c r="V606" i="3" s="1"/>
  <c r="U598" i="3"/>
  <c r="V598" i="3" s="1"/>
  <c r="U572" i="3"/>
  <c r="V572" i="3" s="1"/>
  <c r="U548" i="3"/>
  <c r="V548" i="3" s="1"/>
  <c r="U540" i="3"/>
  <c r="V540" i="3" s="1"/>
  <c r="U536" i="3"/>
  <c r="V536" i="3" s="1"/>
  <c r="U516" i="3"/>
  <c r="V516" i="3" s="1"/>
  <c r="U989" i="3"/>
  <c r="V989" i="3" s="1"/>
  <c r="U987" i="3"/>
  <c r="V987" i="3" s="1"/>
  <c r="U977" i="3"/>
  <c r="V977" i="3" s="1"/>
  <c r="U975" i="3"/>
  <c r="V975" i="3" s="1"/>
  <c r="U960" i="3"/>
  <c r="V960" i="3" s="1"/>
  <c r="U920" i="3"/>
  <c r="V920" i="3" s="1"/>
  <c r="U900" i="3"/>
  <c r="V900" i="3" s="1"/>
  <c r="U896" i="3"/>
  <c r="V896" i="3" s="1"/>
  <c r="U820" i="3"/>
  <c r="V820" i="3" s="1"/>
  <c r="U768" i="3"/>
  <c r="V768" i="3" s="1"/>
  <c r="U688" i="3"/>
  <c r="V688" i="3" s="1"/>
  <c r="U676" i="3"/>
  <c r="V676" i="3" s="1"/>
  <c r="U588" i="3"/>
  <c r="V588" i="3" s="1"/>
  <c r="U586" i="3"/>
  <c r="V586" i="3" s="1"/>
  <c r="U566" i="3"/>
  <c r="V566" i="3" s="1"/>
  <c r="U562" i="3"/>
  <c r="V562" i="3" s="1"/>
  <c r="U560" i="3"/>
  <c r="V560" i="3" s="1"/>
  <c r="U504" i="3"/>
  <c r="V504" i="3" s="1"/>
  <c r="U496" i="3"/>
  <c r="V496" i="3" s="1"/>
  <c r="U494" i="3"/>
  <c r="V494" i="3" s="1"/>
  <c r="U478" i="3"/>
  <c r="V478" i="3" s="1"/>
  <c r="U450" i="3"/>
  <c r="V450" i="3" s="1"/>
  <c r="U442" i="3"/>
  <c r="V442" i="3" s="1"/>
  <c r="U440" i="3"/>
  <c r="V440" i="3" s="1"/>
  <c r="U438" i="3"/>
  <c r="V438" i="3" s="1"/>
  <c r="U434" i="3"/>
  <c r="V434" i="3" s="1"/>
  <c r="U424" i="3"/>
  <c r="V424" i="3" s="1"/>
  <c r="U422" i="3"/>
  <c r="V422" i="3" s="1"/>
  <c r="U416" i="3"/>
  <c r="V416" i="3" s="1"/>
  <c r="U392" i="3"/>
  <c r="V392" i="3" s="1"/>
  <c r="U388" i="3"/>
  <c r="V388" i="3" s="1"/>
  <c r="U386" i="3"/>
  <c r="V386" i="3" s="1"/>
  <c r="U384" i="3"/>
  <c r="V384" i="3" s="1"/>
  <c r="U366" i="3"/>
  <c r="V366" i="3" s="1"/>
  <c r="U358" i="3"/>
  <c r="V358" i="3" s="1"/>
  <c r="U356" i="3"/>
  <c r="V356" i="3" s="1"/>
  <c r="U342" i="3"/>
  <c r="V342" i="3" s="1"/>
  <c r="U334" i="3"/>
  <c r="V334" i="3" s="1"/>
  <c r="U318" i="3"/>
  <c r="V318" i="3" s="1"/>
  <c r="U316" i="3"/>
  <c r="V316" i="3" s="1"/>
  <c r="U300" i="3"/>
  <c r="V300" i="3" s="1"/>
  <c r="U266" i="3"/>
  <c r="V266" i="3" s="1"/>
  <c r="U256" i="3"/>
  <c r="V256" i="3" s="1"/>
  <c r="U250" i="3"/>
  <c r="V250" i="3" s="1"/>
  <c r="U248" i="3"/>
  <c r="V248" i="3" s="1"/>
  <c r="U240" i="3"/>
  <c r="V240" i="3" s="1"/>
  <c r="U238" i="3"/>
  <c r="V238" i="3" s="1"/>
  <c r="U228" i="3"/>
  <c r="V228" i="3" s="1"/>
  <c r="U202" i="3"/>
  <c r="V202" i="3" s="1"/>
  <c r="U196" i="3"/>
  <c r="V196" i="3" s="1"/>
  <c r="U184" i="3"/>
  <c r="V184" i="3" s="1"/>
  <c r="U176" i="3"/>
  <c r="V176" i="3" s="1"/>
  <c r="U174" i="3"/>
  <c r="V174" i="3" s="1"/>
  <c r="U158" i="3"/>
  <c r="V158" i="3" s="1"/>
  <c r="U144" i="3"/>
  <c r="V144" i="3" s="1"/>
  <c r="U140" i="3"/>
  <c r="V140" i="3" s="1"/>
  <c r="U134" i="3"/>
  <c r="V134" i="3" s="1"/>
  <c r="U120" i="3"/>
  <c r="V120" i="3" s="1"/>
  <c r="U106" i="3"/>
  <c r="V106" i="3" s="1"/>
  <c r="U86" i="3"/>
  <c r="V86" i="3" s="1"/>
  <c r="U80" i="3"/>
  <c r="V80" i="3" s="1"/>
  <c r="U46" i="3"/>
  <c r="V46" i="3" s="1"/>
  <c r="U44" i="3"/>
  <c r="V44" i="3" s="1"/>
  <c r="U38" i="3"/>
  <c r="V38" i="3" s="1"/>
  <c r="U34" i="3"/>
  <c r="V34" i="3" s="1"/>
  <c r="U28" i="3"/>
  <c r="V28" i="3" s="1"/>
  <c r="U10" i="3"/>
  <c r="V10" i="3" s="1"/>
  <c r="U959" i="3"/>
  <c r="V959" i="3" s="1"/>
  <c r="U943" i="3"/>
  <c r="V943" i="3" s="1"/>
  <c r="U931" i="3"/>
  <c r="V931" i="3" s="1"/>
  <c r="U899" i="3"/>
  <c r="V899" i="3" s="1"/>
  <c r="U897" i="3"/>
  <c r="V897" i="3" s="1"/>
  <c r="U895" i="3"/>
  <c r="V895" i="3" s="1"/>
  <c r="U871" i="3"/>
  <c r="V871" i="3" s="1"/>
  <c r="U867" i="3"/>
  <c r="V867" i="3" s="1"/>
  <c r="U863" i="3"/>
  <c r="V863" i="3" s="1"/>
  <c r="U839" i="3"/>
  <c r="V839" i="3" s="1"/>
  <c r="U829" i="3"/>
  <c r="V829" i="3" s="1"/>
  <c r="U825" i="3"/>
  <c r="V825" i="3" s="1"/>
  <c r="U817" i="3"/>
  <c r="V817" i="3" s="1"/>
  <c r="U799" i="3"/>
  <c r="V799" i="3" s="1"/>
  <c r="U793" i="3"/>
  <c r="V793" i="3" s="1"/>
  <c r="U757" i="3"/>
  <c r="V757" i="3" s="1"/>
  <c r="U745" i="3"/>
  <c r="V745" i="3" s="1"/>
  <c r="U739" i="3"/>
  <c r="V739" i="3" s="1"/>
  <c r="U705" i="3"/>
  <c r="V705" i="3" s="1"/>
  <c r="U697" i="3"/>
  <c r="V697" i="3" s="1"/>
  <c r="U663" i="3"/>
  <c r="V663" i="3" s="1"/>
  <c r="U651" i="3"/>
  <c r="V651" i="3" s="1"/>
  <c r="U637" i="3"/>
  <c r="V637" i="3" s="1"/>
  <c r="U619" i="3"/>
  <c r="V619" i="3" s="1"/>
  <c r="U581" i="3"/>
  <c r="V581" i="3" s="1"/>
  <c r="U579" i="3"/>
  <c r="V579" i="3" s="1"/>
  <c r="U575" i="3"/>
  <c r="V575" i="3" s="1"/>
  <c r="U569" i="3"/>
  <c r="V569" i="3" s="1"/>
  <c r="U567" i="3"/>
  <c r="V567" i="3" s="1"/>
  <c r="U539" i="3"/>
  <c r="V539" i="3" s="1"/>
  <c r="U531" i="3"/>
  <c r="V531" i="3" s="1"/>
  <c r="U527" i="3"/>
  <c r="V527" i="3" s="1"/>
  <c r="U517" i="3"/>
  <c r="V517" i="3" s="1"/>
  <c r="U515" i="3"/>
  <c r="V515" i="3" s="1"/>
  <c r="U507" i="3"/>
  <c r="V507" i="3" s="1"/>
  <c r="U497" i="3"/>
  <c r="V497" i="3" s="1"/>
  <c r="U473" i="3"/>
  <c r="V473" i="3" s="1"/>
  <c r="U459" i="3"/>
  <c r="V459" i="3" s="1"/>
  <c r="U451" i="3"/>
  <c r="V451" i="3" s="1"/>
  <c r="U437" i="3"/>
  <c r="V437" i="3" s="1"/>
  <c r="U419" i="3"/>
  <c r="V419" i="3" s="1"/>
  <c r="U417" i="3"/>
  <c r="V417" i="3" s="1"/>
  <c r="U411" i="3"/>
  <c r="V411" i="3" s="1"/>
  <c r="U381" i="3"/>
  <c r="V381" i="3" s="1"/>
  <c r="U339" i="3"/>
  <c r="V339" i="3" s="1"/>
  <c r="U335" i="3"/>
  <c r="V335" i="3" s="1"/>
  <c r="U327" i="3"/>
  <c r="V327" i="3" s="1"/>
  <c r="U323" i="3"/>
  <c r="V323" i="3" s="1"/>
  <c r="U321" i="3"/>
  <c r="V321" i="3" s="1"/>
  <c r="U317" i="3"/>
  <c r="V317" i="3" s="1"/>
  <c r="U315" i="3"/>
  <c r="V315" i="3" s="1"/>
  <c r="U257" i="3"/>
  <c r="V257" i="3" s="1"/>
  <c r="U253" i="3"/>
  <c r="V253" i="3" s="1"/>
  <c r="U241" i="3"/>
  <c r="V241" i="3" s="1"/>
  <c r="U235" i="3"/>
  <c r="V235" i="3" s="1"/>
  <c r="U231" i="3"/>
  <c r="V231" i="3" s="1"/>
  <c r="U229" i="3"/>
  <c r="V229" i="3" s="1"/>
  <c r="U219" i="3"/>
  <c r="V219" i="3" s="1"/>
  <c r="U215" i="3"/>
  <c r="V215" i="3" s="1"/>
  <c r="U197" i="3"/>
  <c r="V197" i="3" s="1"/>
  <c r="U187" i="3"/>
  <c r="V187" i="3" s="1"/>
  <c r="U179" i="3"/>
  <c r="V179" i="3" s="1"/>
  <c r="U169" i="3"/>
  <c r="V169" i="3" s="1"/>
  <c r="U159" i="3"/>
  <c r="V159" i="3" s="1"/>
  <c r="U157" i="3"/>
  <c r="V157" i="3" s="1"/>
  <c r="U137" i="3"/>
  <c r="V137" i="3" s="1"/>
  <c r="U113" i="3"/>
  <c r="V113" i="3" s="1"/>
  <c r="U107" i="3"/>
  <c r="V107" i="3" s="1"/>
  <c r="U103" i="3"/>
  <c r="V103" i="3" s="1"/>
  <c r="U101" i="3"/>
  <c r="V101" i="3" s="1"/>
  <c r="U93" i="3"/>
  <c r="V93" i="3" s="1"/>
  <c r="U85" i="3"/>
  <c r="V85" i="3" s="1"/>
  <c r="U75" i="3"/>
  <c r="V75" i="3" s="1"/>
  <c r="U49" i="3"/>
  <c r="V49" i="3" s="1"/>
  <c r="U45" i="3"/>
  <c r="V45" i="3" s="1"/>
  <c r="U33" i="3"/>
  <c r="V33" i="3" s="1"/>
  <c r="U15" i="3"/>
  <c r="V15" i="3" s="1"/>
  <c r="R2" i="3"/>
  <c r="S2" i="3" s="1"/>
  <c r="R1000" i="3"/>
  <c r="S1000" i="3" s="1"/>
  <c r="R998" i="3"/>
  <c r="S998" i="3" s="1"/>
  <c r="R996" i="3"/>
  <c r="S996" i="3" s="1"/>
  <c r="R994" i="3"/>
  <c r="S994" i="3" s="1"/>
  <c r="R992" i="3"/>
  <c r="S992" i="3" s="1"/>
  <c r="R990" i="3"/>
  <c r="S990" i="3" s="1"/>
  <c r="R988" i="3"/>
  <c r="S988" i="3" s="1"/>
  <c r="R986" i="3"/>
  <c r="S986" i="3" s="1"/>
  <c r="R984" i="3"/>
  <c r="S984" i="3" s="1"/>
  <c r="R982" i="3"/>
  <c r="S982" i="3" s="1"/>
  <c r="R980" i="3"/>
  <c r="S980" i="3" s="1"/>
  <c r="R978" i="3"/>
  <c r="S978" i="3" s="1"/>
  <c r="R976" i="3"/>
  <c r="S976" i="3" s="1"/>
  <c r="R974" i="3"/>
  <c r="S974" i="3" s="1"/>
  <c r="R972" i="3"/>
  <c r="S972" i="3" s="1"/>
  <c r="R970" i="3"/>
  <c r="S970" i="3" s="1"/>
  <c r="R968" i="3"/>
  <c r="S968" i="3" s="1"/>
  <c r="R966" i="3"/>
  <c r="S966" i="3" s="1"/>
  <c r="R964" i="3"/>
  <c r="S964" i="3" s="1"/>
  <c r="R962" i="3"/>
  <c r="S962" i="3" s="1"/>
  <c r="R960" i="3"/>
  <c r="S960" i="3" s="1"/>
  <c r="R958" i="3"/>
  <c r="S958" i="3" s="1"/>
  <c r="R956" i="3"/>
  <c r="S956" i="3" s="1"/>
  <c r="R954" i="3"/>
  <c r="S954" i="3" s="1"/>
  <c r="R952" i="3"/>
  <c r="S952" i="3" s="1"/>
  <c r="R950" i="3"/>
  <c r="S950" i="3" s="1"/>
  <c r="R948" i="3"/>
  <c r="S948" i="3" s="1"/>
  <c r="R946" i="3"/>
  <c r="S946" i="3" s="1"/>
  <c r="R944" i="3"/>
  <c r="S944" i="3" s="1"/>
  <c r="R942" i="3"/>
  <c r="S942" i="3" s="1"/>
  <c r="R940" i="3"/>
  <c r="S940" i="3" s="1"/>
  <c r="R938" i="3"/>
  <c r="S938" i="3" s="1"/>
  <c r="R936" i="3"/>
  <c r="S936" i="3" s="1"/>
  <c r="R934" i="3"/>
  <c r="S934" i="3" s="1"/>
  <c r="R932" i="3"/>
  <c r="S932" i="3" s="1"/>
  <c r="R930" i="3"/>
  <c r="S930" i="3" s="1"/>
  <c r="R928" i="3"/>
  <c r="S928" i="3" s="1"/>
  <c r="R926" i="3"/>
  <c r="S926" i="3" s="1"/>
  <c r="R924" i="3"/>
  <c r="S924" i="3" s="1"/>
  <c r="R922" i="3"/>
  <c r="S922" i="3" s="1"/>
  <c r="R920" i="3"/>
  <c r="S920" i="3" s="1"/>
  <c r="R918" i="3"/>
  <c r="S918" i="3" s="1"/>
  <c r="R916" i="3"/>
  <c r="S916" i="3" s="1"/>
  <c r="R914" i="3"/>
  <c r="S914" i="3" s="1"/>
  <c r="R912" i="3"/>
  <c r="S912" i="3" s="1"/>
  <c r="R910" i="3"/>
  <c r="S910" i="3" s="1"/>
  <c r="R908" i="3"/>
  <c r="S908" i="3" s="1"/>
  <c r="R906" i="3"/>
  <c r="S906" i="3" s="1"/>
  <c r="R904" i="3"/>
  <c r="S904" i="3" s="1"/>
  <c r="R902" i="3"/>
  <c r="S902" i="3" s="1"/>
  <c r="R900" i="3"/>
  <c r="S900" i="3" s="1"/>
  <c r="R898" i="3"/>
  <c r="S898" i="3" s="1"/>
  <c r="R896" i="3"/>
  <c r="S896" i="3" s="1"/>
  <c r="R894" i="3"/>
  <c r="S894" i="3" s="1"/>
  <c r="R892" i="3"/>
  <c r="S892" i="3" s="1"/>
  <c r="R890" i="3"/>
  <c r="S890" i="3" s="1"/>
  <c r="R888" i="3"/>
  <c r="S888" i="3" s="1"/>
  <c r="R886" i="3"/>
  <c r="S886" i="3" s="1"/>
  <c r="R884" i="3"/>
  <c r="S884" i="3" s="1"/>
  <c r="R882" i="3"/>
  <c r="S882" i="3" s="1"/>
  <c r="R880" i="3"/>
  <c r="S880" i="3" s="1"/>
  <c r="R878" i="3"/>
  <c r="S878" i="3" s="1"/>
  <c r="R876" i="3"/>
  <c r="S876" i="3" s="1"/>
  <c r="R874" i="3"/>
  <c r="S874" i="3" s="1"/>
  <c r="R872" i="3"/>
  <c r="S872" i="3" s="1"/>
  <c r="R870" i="3"/>
  <c r="S870" i="3" s="1"/>
  <c r="R868" i="3"/>
  <c r="S868" i="3" s="1"/>
  <c r="R866" i="3"/>
  <c r="S866" i="3" s="1"/>
  <c r="R864" i="3"/>
  <c r="S864" i="3" s="1"/>
  <c r="R862" i="3"/>
  <c r="S862" i="3" s="1"/>
  <c r="R860" i="3"/>
  <c r="S860" i="3" s="1"/>
  <c r="R858" i="3"/>
  <c r="S858" i="3" s="1"/>
  <c r="R856" i="3"/>
  <c r="S856" i="3" s="1"/>
  <c r="R854" i="3"/>
  <c r="S854" i="3" s="1"/>
  <c r="R852" i="3"/>
  <c r="S852" i="3" s="1"/>
  <c r="R850" i="3"/>
  <c r="S850" i="3" s="1"/>
  <c r="R848" i="3"/>
  <c r="S848" i="3" s="1"/>
  <c r="R846" i="3"/>
  <c r="S846" i="3" s="1"/>
  <c r="R844" i="3"/>
  <c r="S844" i="3" s="1"/>
  <c r="R842" i="3"/>
  <c r="S842" i="3" s="1"/>
  <c r="R840" i="3"/>
  <c r="S840" i="3" s="1"/>
  <c r="R838" i="3"/>
  <c r="S838" i="3" s="1"/>
  <c r="R836" i="3"/>
  <c r="S836" i="3" s="1"/>
  <c r="R834" i="3"/>
  <c r="S834" i="3" s="1"/>
  <c r="R832" i="3"/>
  <c r="S832" i="3" s="1"/>
  <c r="R830" i="3"/>
  <c r="S830" i="3" s="1"/>
  <c r="R828" i="3"/>
  <c r="S828" i="3" s="1"/>
  <c r="R826" i="3"/>
  <c r="S826" i="3" s="1"/>
  <c r="R824" i="3"/>
  <c r="S824" i="3" s="1"/>
  <c r="R822" i="3"/>
  <c r="S822" i="3" s="1"/>
  <c r="R820" i="3"/>
  <c r="S820" i="3" s="1"/>
  <c r="R818" i="3"/>
  <c r="S818" i="3" s="1"/>
  <c r="R816" i="3"/>
  <c r="S816" i="3" s="1"/>
  <c r="R814" i="3"/>
  <c r="S814" i="3" s="1"/>
  <c r="R812" i="3"/>
  <c r="S812" i="3" s="1"/>
  <c r="R810" i="3"/>
  <c r="S810" i="3" s="1"/>
  <c r="R808" i="3"/>
  <c r="S808" i="3" s="1"/>
  <c r="R806" i="3"/>
  <c r="S806" i="3" s="1"/>
  <c r="R804" i="3"/>
  <c r="S804" i="3" s="1"/>
  <c r="R802" i="3"/>
  <c r="S802" i="3" s="1"/>
  <c r="R800" i="3"/>
  <c r="S800" i="3" s="1"/>
  <c r="R798" i="3"/>
  <c r="S798" i="3" s="1"/>
  <c r="R796" i="3"/>
  <c r="S796" i="3" s="1"/>
  <c r="R794" i="3"/>
  <c r="S794" i="3" s="1"/>
  <c r="R792" i="3"/>
  <c r="S792" i="3" s="1"/>
  <c r="R790" i="3"/>
  <c r="S790" i="3" s="1"/>
  <c r="R788" i="3"/>
  <c r="S788" i="3" s="1"/>
  <c r="R786" i="3"/>
  <c r="S786" i="3" s="1"/>
  <c r="R784" i="3"/>
  <c r="S784" i="3" s="1"/>
  <c r="R782" i="3"/>
  <c r="S782" i="3" s="1"/>
  <c r="R780" i="3"/>
  <c r="S780" i="3" s="1"/>
  <c r="R778" i="3"/>
  <c r="S778" i="3" s="1"/>
  <c r="R776" i="3"/>
  <c r="S776" i="3" s="1"/>
  <c r="R774" i="3"/>
  <c r="S774" i="3" s="1"/>
  <c r="R772" i="3"/>
  <c r="S772" i="3" s="1"/>
  <c r="R770" i="3"/>
  <c r="S770" i="3" s="1"/>
  <c r="R768" i="3"/>
  <c r="S768" i="3" s="1"/>
  <c r="R766" i="3"/>
  <c r="S766" i="3" s="1"/>
  <c r="R764" i="3"/>
  <c r="S764" i="3" s="1"/>
  <c r="R762" i="3"/>
  <c r="S762" i="3" s="1"/>
  <c r="R760" i="3"/>
  <c r="S760" i="3" s="1"/>
  <c r="R758" i="3"/>
  <c r="S758" i="3" s="1"/>
  <c r="R756" i="3"/>
  <c r="S756" i="3" s="1"/>
  <c r="R754" i="3"/>
  <c r="S754" i="3" s="1"/>
  <c r="R752" i="3"/>
  <c r="S752" i="3" s="1"/>
  <c r="R750" i="3"/>
  <c r="S750" i="3" s="1"/>
  <c r="R748" i="3"/>
  <c r="S748" i="3" s="1"/>
  <c r="R746" i="3"/>
  <c r="S746" i="3" s="1"/>
  <c r="R744" i="3"/>
  <c r="S744" i="3" s="1"/>
  <c r="R742" i="3"/>
  <c r="S742" i="3" s="1"/>
  <c r="R740" i="3"/>
  <c r="S740" i="3" s="1"/>
  <c r="R738" i="3"/>
  <c r="S738" i="3" s="1"/>
  <c r="R736" i="3"/>
  <c r="S736" i="3" s="1"/>
  <c r="R734" i="3"/>
  <c r="S734" i="3" s="1"/>
  <c r="R732" i="3"/>
  <c r="S732" i="3" s="1"/>
  <c r="R730" i="3"/>
  <c r="S730" i="3" s="1"/>
  <c r="R728" i="3"/>
  <c r="S728" i="3" s="1"/>
  <c r="R726" i="3"/>
  <c r="S726" i="3" s="1"/>
  <c r="R724" i="3"/>
  <c r="S724" i="3" s="1"/>
  <c r="R722" i="3"/>
  <c r="S722" i="3" s="1"/>
  <c r="R720" i="3"/>
  <c r="S720" i="3" s="1"/>
  <c r="R718" i="3"/>
  <c r="S718" i="3" s="1"/>
  <c r="R716" i="3"/>
  <c r="S716" i="3" s="1"/>
  <c r="R714" i="3"/>
  <c r="S714" i="3" s="1"/>
  <c r="R712" i="3"/>
  <c r="S712" i="3" s="1"/>
  <c r="R710" i="3"/>
  <c r="S710" i="3" s="1"/>
  <c r="R708" i="3"/>
  <c r="S708" i="3" s="1"/>
  <c r="R706" i="3"/>
  <c r="S706" i="3" s="1"/>
  <c r="R704" i="3"/>
  <c r="S704" i="3" s="1"/>
  <c r="R702" i="3"/>
  <c r="S702" i="3" s="1"/>
  <c r="R700" i="3"/>
  <c r="S700" i="3" s="1"/>
  <c r="R698" i="3"/>
  <c r="S698" i="3" s="1"/>
  <c r="R696" i="3"/>
  <c r="S696" i="3" s="1"/>
  <c r="R694" i="3"/>
  <c r="S694" i="3" s="1"/>
  <c r="R692" i="3"/>
  <c r="S692" i="3" s="1"/>
  <c r="R690" i="3"/>
  <c r="S690" i="3" s="1"/>
  <c r="R688" i="3"/>
  <c r="S688" i="3" s="1"/>
  <c r="R686" i="3"/>
  <c r="S686" i="3" s="1"/>
  <c r="R684" i="3"/>
  <c r="S684" i="3" s="1"/>
  <c r="R682" i="3"/>
  <c r="S682" i="3" s="1"/>
  <c r="R680" i="3"/>
  <c r="S680" i="3" s="1"/>
  <c r="R678" i="3"/>
  <c r="S678" i="3" s="1"/>
  <c r="R676" i="3"/>
  <c r="S676" i="3" s="1"/>
  <c r="R674" i="3"/>
  <c r="S674" i="3" s="1"/>
  <c r="R672" i="3"/>
  <c r="S672" i="3" s="1"/>
  <c r="R670" i="3"/>
  <c r="S670" i="3" s="1"/>
  <c r="R668" i="3"/>
  <c r="S668" i="3" s="1"/>
  <c r="R666" i="3"/>
  <c r="S666" i="3" s="1"/>
  <c r="R664" i="3"/>
  <c r="S664" i="3" s="1"/>
  <c r="R662" i="3"/>
  <c r="S662" i="3" s="1"/>
  <c r="R660" i="3"/>
  <c r="S660" i="3" s="1"/>
  <c r="R658" i="3"/>
  <c r="S658" i="3" s="1"/>
  <c r="R656" i="3"/>
  <c r="S656" i="3" s="1"/>
  <c r="R654" i="3"/>
  <c r="S654" i="3" s="1"/>
  <c r="R652" i="3"/>
  <c r="S652" i="3" s="1"/>
  <c r="R650" i="3"/>
  <c r="S650" i="3" s="1"/>
  <c r="R648" i="3"/>
  <c r="S648" i="3" s="1"/>
  <c r="R646" i="3"/>
  <c r="S646" i="3" s="1"/>
  <c r="R644" i="3"/>
  <c r="S644" i="3" s="1"/>
  <c r="R642" i="3"/>
  <c r="S642" i="3" s="1"/>
  <c r="R640" i="3"/>
  <c r="S640" i="3" s="1"/>
  <c r="R638" i="3"/>
  <c r="S638" i="3" s="1"/>
  <c r="R636" i="3"/>
  <c r="S636" i="3" s="1"/>
  <c r="R634" i="3"/>
  <c r="S634" i="3" s="1"/>
  <c r="R632" i="3"/>
  <c r="S632" i="3" s="1"/>
  <c r="R630" i="3"/>
  <c r="S630" i="3" s="1"/>
  <c r="R628" i="3"/>
  <c r="S628" i="3" s="1"/>
  <c r="R626" i="3"/>
  <c r="S626" i="3" s="1"/>
  <c r="R624" i="3"/>
  <c r="S624" i="3" s="1"/>
  <c r="R622" i="3"/>
  <c r="S622" i="3" s="1"/>
  <c r="R620" i="3"/>
  <c r="S620" i="3" s="1"/>
  <c r="R618" i="3"/>
  <c r="S618" i="3" s="1"/>
  <c r="R616" i="3"/>
  <c r="S616" i="3" s="1"/>
  <c r="R614" i="3"/>
  <c r="S614" i="3" s="1"/>
  <c r="R612" i="3"/>
  <c r="S612" i="3" s="1"/>
  <c r="R610" i="3"/>
  <c r="S610" i="3" s="1"/>
  <c r="R608" i="3"/>
  <c r="S608" i="3" s="1"/>
  <c r="R606" i="3"/>
  <c r="S606" i="3" s="1"/>
  <c r="R604" i="3"/>
  <c r="S604" i="3" s="1"/>
  <c r="R602" i="3"/>
  <c r="S602" i="3" s="1"/>
  <c r="R600" i="3"/>
  <c r="S600" i="3" s="1"/>
  <c r="R598" i="3"/>
  <c r="S598" i="3" s="1"/>
  <c r="R596" i="3"/>
  <c r="S596" i="3" s="1"/>
  <c r="R594" i="3"/>
  <c r="S594" i="3" s="1"/>
  <c r="R592" i="3"/>
  <c r="S592" i="3" s="1"/>
  <c r="R590" i="3"/>
  <c r="S590" i="3" s="1"/>
  <c r="R588" i="3"/>
  <c r="S588" i="3" s="1"/>
  <c r="R586" i="3"/>
  <c r="S586" i="3" s="1"/>
  <c r="R584" i="3"/>
  <c r="S584" i="3" s="1"/>
  <c r="R582" i="3"/>
  <c r="S582" i="3" s="1"/>
  <c r="R580" i="3"/>
  <c r="S580" i="3" s="1"/>
  <c r="R578" i="3"/>
  <c r="S578" i="3" s="1"/>
  <c r="R576" i="3"/>
  <c r="S576" i="3" s="1"/>
  <c r="R574" i="3"/>
  <c r="S574" i="3" s="1"/>
  <c r="R572" i="3"/>
  <c r="S572" i="3" s="1"/>
  <c r="R570" i="3"/>
  <c r="S570" i="3" s="1"/>
  <c r="R568" i="3"/>
  <c r="S568" i="3" s="1"/>
  <c r="R566" i="3"/>
  <c r="S566" i="3" s="1"/>
  <c r="R564" i="3"/>
  <c r="S564" i="3" s="1"/>
  <c r="R562" i="3"/>
  <c r="S562" i="3" s="1"/>
  <c r="R560" i="3"/>
  <c r="S560" i="3" s="1"/>
  <c r="R558" i="3"/>
  <c r="S558" i="3" s="1"/>
  <c r="R556" i="3"/>
  <c r="S556" i="3" s="1"/>
  <c r="R554" i="3"/>
  <c r="S554" i="3" s="1"/>
  <c r="R552" i="3"/>
  <c r="S552" i="3" s="1"/>
  <c r="R550" i="3"/>
  <c r="S550" i="3" s="1"/>
  <c r="R548" i="3"/>
  <c r="S548" i="3" s="1"/>
  <c r="R546" i="3"/>
  <c r="S546" i="3" s="1"/>
  <c r="R544" i="3"/>
  <c r="S544" i="3" s="1"/>
  <c r="R542" i="3"/>
  <c r="S542" i="3" s="1"/>
  <c r="R540" i="3"/>
  <c r="S540" i="3" s="1"/>
  <c r="R538" i="3"/>
  <c r="S538" i="3" s="1"/>
  <c r="R536" i="3"/>
  <c r="S536" i="3" s="1"/>
  <c r="R534" i="3"/>
  <c r="S534" i="3" s="1"/>
  <c r="R532" i="3"/>
  <c r="S532" i="3" s="1"/>
  <c r="R530" i="3"/>
  <c r="S530" i="3" s="1"/>
  <c r="R528" i="3"/>
  <c r="S528" i="3" s="1"/>
  <c r="R526" i="3"/>
  <c r="S526" i="3" s="1"/>
  <c r="R524" i="3"/>
  <c r="S524" i="3" s="1"/>
  <c r="R522" i="3"/>
  <c r="S522" i="3" s="1"/>
  <c r="R520" i="3"/>
  <c r="S520" i="3" s="1"/>
  <c r="R518" i="3"/>
  <c r="S518" i="3" s="1"/>
  <c r="R516" i="3"/>
  <c r="S516" i="3" s="1"/>
  <c r="R514" i="3"/>
  <c r="S514" i="3" s="1"/>
  <c r="R512" i="3"/>
  <c r="S512" i="3" s="1"/>
  <c r="R510" i="3"/>
  <c r="S510" i="3" s="1"/>
  <c r="R508" i="3"/>
  <c r="S508" i="3" s="1"/>
  <c r="R506" i="3"/>
  <c r="S506" i="3" s="1"/>
  <c r="R504" i="3"/>
  <c r="S504" i="3" s="1"/>
  <c r="R502" i="3"/>
  <c r="S502" i="3" s="1"/>
  <c r="R500" i="3"/>
  <c r="S500" i="3" s="1"/>
  <c r="R498" i="3"/>
  <c r="S498" i="3" s="1"/>
  <c r="R496" i="3"/>
  <c r="S496" i="3" s="1"/>
  <c r="R494" i="3"/>
  <c r="S494" i="3" s="1"/>
  <c r="R492" i="3"/>
  <c r="S492" i="3" s="1"/>
  <c r="R490" i="3"/>
  <c r="S490" i="3" s="1"/>
  <c r="R488" i="3"/>
  <c r="S488" i="3" s="1"/>
  <c r="R486" i="3"/>
  <c r="S486" i="3" s="1"/>
  <c r="R484" i="3"/>
  <c r="S484" i="3" s="1"/>
  <c r="R482" i="3"/>
  <c r="S482" i="3" s="1"/>
  <c r="R480" i="3"/>
  <c r="S480" i="3" s="1"/>
  <c r="R478" i="3"/>
  <c r="S478" i="3" s="1"/>
  <c r="R476" i="3"/>
  <c r="S476" i="3" s="1"/>
  <c r="R474" i="3"/>
  <c r="S474" i="3" s="1"/>
  <c r="R472" i="3"/>
  <c r="S472" i="3" s="1"/>
  <c r="R470" i="3"/>
  <c r="S470" i="3" s="1"/>
  <c r="R468" i="3"/>
  <c r="S468" i="3" s="1"/>
  <c r="R466" i="3"/>
  <c r="S466" i="3" s="1"/>
  <c r="R464" i="3"/>
  <c r="S464" i="3" s="1"/>
  <c r="R462" i="3"/>
  <c r="S462" i="3" s="1"/>
  <c r="R460" i="3"/>
  <c r="S460" i="3" s="1"/>
  <c r="R458" i="3"/>
  <c r="S458" i="3" s="1"/>
  <c r="R456" i="3"/>
  <c r="S456" i="3" s="1"/>
  <c r="R454" i="3"/>
  <c r="S454" i="3" s="1"/>
  <c r="R452" i="3"/>
  <c r="S452" i="3" s="1"/>
  <c r="R450" i="3"/>
  <c r="S450" i="3" s="1"/>
  <c r="R448" i="3"/>
  <c r="S448" i="3" s="1"/>
  <c r="R446" i="3"/>
  <c r="S446" i="3" s="1"/>
  <c r="R444" i="3"/>
  <c r="S444" i="3" s="1"/>
  <c r="R442" i="3"/>
  <c r="S442" i="3" s="1"/>
  <c r="R440" i="3"/>
  <c r="S440" i="3" s="1"/>
  <c r="R438" i="3"/>
  <c r="S438" i="3" s="1"/>
  <c r="R436" i="3"/>
  <c r="S436" i="3" s="1"/>
  <c r="R434" i="3"/>
  <c r="S434" i="3" s="1"/>
  <c r="R432" i="3"/>
  <c r="S432" i="3" s="1"/>
  <c r="R430" i="3"/>
  <c r="S430" i="3" s="1"/>
  <c r="R428" i="3"/>
  <c r="S428" i="3" s="1"/>
  <c r="R426" i="3"/>
  <c r="S426" i="3" s="1"/>
  <c r="R424" i="3"/>
  <c r="S424" i="3" s="1"/>
  <c r="R422" i="3"/>
  <c r="S422" i="3" s="1"/>
  <c r="R420" i="3"/>
  <c r="S420" i="3" s="1"/>
  <c r="R418" i="3"/>
  <c r="S418" i="3" s="1"/>
  <c r="R416" i="3"/>
  <c r="S416" i="3" s="1"/>
  <c r="R414" i="3"/>
  <c r="S414" i="3" s="1"/>
  <c r="R412" i="3"/>
  <c r="S412" i="3" s="1"/>
  <c r="R410" i="3"/>
  <c r="S410" i="3" s="1"/>
  <c r="R408" i="3"/>
  <c r="S408" i="3" s="1"/>
  <c r="R406" i="3"/>
  <c r="S406" i="3" s="1"/>
  <c r="R404" i="3"/>
  <c r="S404" i="3" s="1"/>
  <c r="R402" i="3"/>
  <c r="S402" i="3" s="1"/>
  <c r="R400" i="3"/>
  <c r="S400" i="3" s="1"/>
  <c r="R398" i="3"/>
  <c r="S398" i="3" s="1"/>
  <c r="R396" i="3"/>
  <c r="S396" i="3" s="1"/>
  <c r="R394" i="3"/>
  <c r="S394" i="3" s="1"/>
  <c r="R392" i="3"/>
  <c r="S392" i="3" s="1"/>
  <c r="R390" i="3"/>
  <c r="S390" i="3" s="1"/>
  <c r="R388" i="3"/>
  <c r="S388" i="3" s="1"/>
  <c r="R386" i="3"/>
  <c r="S386" i="3" s="1"/>
  <c r="R384" i="3"/>
  <c r="S384" i="3" s="1"/>
  <c r="R382" i="3"/>
  <c r="S382" i="3" s="1"/>
  <c r="R380" i="3"/>
  <c r="S380" i="3" s="1"/>
  <c r="R378" i="3"/>
  <c r="S378" i="3" s="1"/>
  <c r="R376" i="3"/>
  <c r="S376" i="3" s="1"/>
  <c r="R374" i="3"/>
  <c r="S374" i="3" s="1"/>
  <c r="R372" i="3"/>
  <c r="S372" i="3" s="1"/>
  <c r="R370" i="3"/>
  <c r="S370" i="3" s="1"/>
  <c r="R368" i="3"/>
  <c r="S368" i="3" s="1"/>
  <c r="R366" i="3"/>
  <c r="S366" i="3" s="1"/>
  <c r="R364" i="3"/>
  <c r="S364" i="3" s="1"/>
  <c r="R362" i="3"/>
  <c r="S362" i="3" s="1"/>
  <c r="R360" i="3"/>
  <c r="S360" i="3" s="1"/>
  <c r="R358" i="3"/>
  <c r="S358" i="3" s="1"/>
  <c r="R356" i="3"/>
  <c r="S356" i="3" s="1"/>
  <c r="R354" i="3"/>
  <c r="S354" i="3" s="1"/>
  <c r="R352" i="3"/>
  <c r="S352" i="3" s="1"/>
  <c r="R350" i="3"/>
  <c r="S350" i="3" s="1"/>
  <c r="R348" i="3"/>
  <c r="S348" i="3" s="1"/>
  <c r="R346" i="3"/>
  <c r="S346" i="3" s="1"/>
  <c r="R344" i="3"/>
  <c r="S344" i="3" s="1"/>
  <c r="R342" i="3"/>
  <c r="S342" i="3" s="1"/>
  <c r="R340" i="3"/>
  <c r="S340" i="3" s="1"/>
  <c r="R338" i="3"/>
  <c r="S338" i="3" s="1"/>
  <c r="R336" i="3"/>
  <c r="S336" i="3" s="1"/>
  <c r="R334" i="3"/>
  <c r="S334" i="3" s="1"/>
  <c r="R332" i="3"/>
  <c r="S332" i="3" s="1"/>
  <c r="R330" i="3"/>
  <c r="S330" i="3" s="1"/>
  <c r="R328" i="3"/>
  <c r="S328" i="3" s="1"/>
  <c r="R326" i="3"/>
  <c r="S326" i="3" s="1"/>
  <c r="R324" i="3"/>
  <c r="S324" i="3" s="1"/>
  <c r="R322" i="3"/>
  <c r="S322" i="3" s="1"/>
  <c r="R320" i="3"/>
  <c r="S320" i="3" s="1"/>
  <c r="R318" i="3"/>
  <c r="S318" i="3" s="1"/>
  <c r="R316" i="3"/>
  <c r="S316" i="3" s="1"/>
  <c r="R314" i="3"/>
  <c r="S314" i="3" s="1"/>
  <c r="R312" i="3"/>
  <c r="S312" i="3" s="1"/>
  <c r="R310" i="3"/>
  <c r="S310" i="3" s="1"/>
  <c r="R308" i="3"/>
  <c r="S308" i="3" s="1"/>
  <c r="R306" i="3"/>
  <c r="S306" i="3" s="1"/>
  <c r="R304" i="3"/>
  <c r="S304" i="3" s="1"/>
  <c r="R302" i="3"/>
  <c r="S302" i="3" s="1"/>
  <c r="R300" i="3"/>
  <c r="S300" i="3" s="1"/>
  <c r="R298" i="3"/>
  <c r="S298" i="3" s="1"/>
  <c r="R296" i="3"/>
  <c r="S296" i="3" s="1"/>
  <c r="R294" i="3"/>
  <c r="S294" i="3" s="1"/>
  <c r="R292" i="3"/>
  <c r="S292" i="3" s="1"/>
  <c r="R290" i="3"/>
  <c r="S290" i="3" s="1"/>
  <c r="R288" i="3"/>
  <c r="S288" i="3" s="1"/>
  <c r="R286" i="3"/>
  <c r="S286" i="3" s="1"/>
  <c r="R284" i="3"/>
  <c r="S284" i="3" s="1"/>
  <c r="R282" i="3"/>
  <c r="S282" i="3" s="1"/>
  <c r="R280" i="3"/>
  <c r="S280" i="3" s="1"/>
  <c r="R278" i="3"/>
  <c r="S278" i="3" s="1"/>
  <c r="R276" i="3"/>
  <c r="S276" i="3" s="1"/>
  <c r="R274" i="3"/>
  <c r="S274" i="3" s="1"/>
  <c r="R272" i="3"/>
  <c r="S272" i="3" s="1"/>
  <c r="R270" i="3"/>
  <c r="S270" i="3" s="1"/>
  <c r="R268" i="3"/>
  <c r="S268" i="3" s="1"/>
  <c r="R266" i="3"/>
  <c r="S266" i="3" s="1"/>
  <c r="R264" i="3"/>
  <c r="S264" i="3" s="1"/>
  <c r="R262" i="3"/>
  <c r="S262" i="3" s="1"/>
  <c r="R260" i="3"/>
  <c r="S260" i="3" s="1"/>
  <c r="R258" i="3"/>
  <c r="S258" i="3" s="1"/>
  <c r="R256" i="3"/>
  <c r="S256" i="3" s="1"/>
  <c r="R254" i="3"/>
  <c r="S254" i="3" s="1"/>
  <c r="R252" i="3"/>
  <c r="S252" i="3" s="1"/>
  <c r="R250" i="3"/>
  <c r="S250" i="3" s="1"/>
  <c r="R248" i="3"/>
  <c r="S248" i="3" s="1"/>
  <c r="R246" i="3"/>
  <c r="S246" i="3" s="1"/>
  <c r="R244" i="3"/>
  <c r="S244" i="3" s="1"/>
  <c r="R242" i="3"/>
  <c r="S242" i="3" s="1"/>
  <c r="R240" i="3"/>
  <c r="S240" i="3" s="1"/>
  <c r="R238" i="3"/>
  <c r="S238" i="3" s="1"/>
  <c r="R236" i="3"/>
  <c r="S236" i="3" s="1"/>
  <c r="R234" i="3"/>
  <c r="S234" i="3" s="1"/>
  <c r="R232" i="3"/>
  <c r="S232" i="3" s="1"/>
  <c r="R230" i="3"/>
  <c r="S230" i="3" s="1"/>
  <c r="R228" i="3"/>
  <c r="S228" i="3" s="1"/>
  <c r="R226" i="3"/>
  <c r="S226" i="3" s="1"/>
  <c r="R224" i="3"/>
  <c r="S224" i="3" s="1"/>
  <c r="R222" i="3"/>
  <c r="S222" i="3" s="1"/>
  <c r="R220" i="3"/>
  <c r="S220" i="3" s="1"/>
  <c r="R218" i="3"/>
  <c r="S218" i="3" s="1"/>
  <c r="R216" i="3"/>
  <c r="S216" i="3" s="1"/>
  <c r="R214" i="3"/>
  <c r="S214" i="3" s="1"/>
  <c r="R212" i="3"/>
  <c r="S212" i="3" s="1"/>
  <c r="R210" i="3"/>
  <c r="S210" i="3" s="1"/>
  <c r="R208" i="3"/>
  <c r="S208" i="3" s="1"/>
  <c r="R206" i="3"/>
  <c r="S206" i="3" s="1"/>
  <c r="R204" i="3"/>
  <c r="S204" i="3" s="1"/>
  <c r="R202" i="3"/>
  <c r="S202" i="3" s="1"/>
  <c r="R200" i="3"/>
  <c r="S200" i="3" s="1"/>
  <c r="R198" i="3"/>
  <c r="S198" i="3" s="1"/>
  <c r="R196" i="3"/>
  <c r="S196" i="3" s="1"/>
  <c r="R194" i="3"/>
  <c r="S194" i="3" s="1"/>
  <c r="R192" i="3"/>
  <c r="S192" i="3" s="1"/>
  <c r="R190" i="3"/>
  <c r="S190" i="3" s="1"/>
  <c r="R188" i="3"/>
  <c r="S188" i="3" s="1"/>
  <c r="R186" i="3"/>
  <c r="S186" i="3" s="1"/>
  <c r="R184" i="3"/>
  <c r="S184" i="3" s="1"/>
  <c r="R182" i="3"/>
  <c r="S182" i="3" s="1"/>
  <c r="R180" i="3"/>
  <c r="S180" i="3" s="1"/>
  <c r="R178" i="3"/>
  <c r="S178" i="3" s="1"/>
  <c r="R176" i="3"/>
  <c r="S176" i="3" s="1"/>
  <c r="R174" i="3"/>
  <c r="S174" i="3" s="1"/>
  <c r="R172" i="3"/>
  <c r="S172" i="3" s="1"/>
  <c r="R170" i="3"/>
  <c r="S170" i="3" s="1"/>
  <c r="R168" i="3"/>
  <c r="S168" i="3" s="1"/>
  <c r="R166" i="3"/>
  <c r="S166" i="3" s="1"/>
  <c r="R164" i="3"/>
  <c r="S164" i="3" s="1"/>
  <c r="R162" i="3"/>
  <c r="S162" i="3" s="1"/>
  <c r="R160" i="3"/>
  <c r="S160" i="3" s="1"/>
  <c r="R158" i="3"/>
  <c r="S158" i="3" s="1"/>
  <c r="R156" i="3"/>
  <c r="S156" i="3" s="1"/>
  <c r="R154" i="3"/>
  <c r="S154" i="3" s="1"/>
  <c r="R152" i="3"/>
  <c r="S152" i="3" s="1"/>
  <c r="R150" i="3"/>
  <c r="S150" i="3" s="1"/>
  <c r="R148" i="3"/>
  <c r="S148" i="3" s="1"/>
  <c r="R146" i="3"/>
  <c r="S146" i="3" s="1"/>
  <c r="R144" i="3"/>
  <c r="S144" i="3" s="1"/>
  <c r="R142" i="3"/>
  <c r="S142" i="3" s="1"/>
  <c r="R140" i="3"/>
  <c r="S140" i="3" s="1"/>
  <c r="R138" i="3"/>
  <c r="S138" i="3" s="1"/>
  <c r="R136" i="3"/>
  <c r="S136" i="3" s="1"/>
  <c r="R134" i="3"/>
  <c r="S134" i="3" s="1"/>
  <c r="R132" i="3"/>
  <c r="S132" i="3" s="1"/>
  <c r="R130" i="3"/>
  <c r="S130" i="3" s="1"/>
  <c r="R128" i="3"/>
  <c r="S128" i="3" s="1"/>
  <c r="R126" i="3"/>
  <c r="S126" i="3" s="1"/>
  <c r="R124" i="3"/>
  <c r="S124" i="3" s="1"/>
  <c r="R122" i="3"/>
  <c r="S122" i="3" s="1"/>
  <c r="R120" i="3"/>
  <c r="S120" i="3" s="1"/>
  <c r="R118" i="3"/>
  <c r="S118" i="3" s="1"/>
  <c r="R116" i="3"/>
  <c r="S116" i="3" s="1"/>
  <c r="R114" i="3"/>
  <c r="S114" i="3" s="1"/>
  <c r="R112" i="3"/>
  <c r="S112" i="3" s="1"/>
  <c r="R110" i="3"/>
  <c r="S110" i="3" s="1"/>
  <c r="R108" i="3"/>
  <c r="S108" i="3" s="1"/>
  <c r="R106" i="3"/>
  <c r="S106" i="3" s="1"/>
  <c r="R104" i="3"/>
  <c r="S104" i="3" s="1"/>
  <c r="R102" i="3"/>
  <c r="S102" i="3" s="1"/>
  <c r="R100" i="3"/>
  <c r="S100" i="3" s="1"/>
  <c r="R98" i="3"/>
  <c r="S98" i="3" s="1"/>
  <c r="R96" i="3"/>
  <c r="S96" i="3" s="1"/>
  <c r="R94" i="3"/>
  <c r="S94" i="3" s="1"/>
  <c r="R92" i="3"/>
  <c r="S92" i="3" s="1"/>
  <c r="R90" i="3"/>
  <c r="S90" i="3" s="1"/>
  <c r="R88" i="3"/>
  <c r="S88" i="3" s="1"/>
  <c r="R86" i="3"/>
  <c r="S86" i="3" s="1"/>
  <c r="R84" i="3"/>
  <c r="S84" i="3" s="1"/>
  <c r="R82" i="3"/>
  <c r="S82" i="3" s="1"/>
  <c r="R80" i="3"/>
  <c r="S80" i="3" s="1"/>
  <c r="R78" i="3"/>
  <c r="S78" i="3" s="1"/>
  <c r="R76" i="3"/>
  <c r="S76" i="3" s="1"/>
  <c r="R74" i="3"/>
  <c r="S74" i="3" s="1"/>
  <c r="R72" i="3"/>
  <c r="S72" i="3" s="1"/>
  <c r="R70" i="3"/>
  <c r="S70" i="3" s="1"/>
  <c r="R68" i="3"/>
  <c r="S68" i="3" s="1"/>
  <c r="R66" i="3"/>
  <c r="S66" i="3" s="1"/>
  <c r="R64" i="3"/>
  <c r="S64" i="3" s="1"/>
  <c r="R62" i="3"/>
  <c r="S62" i="3" s="1"/>
  <c r="R60" i="3"/>
  <c r="S60" i="3" s="1"/>
  <c r="R58" i="3"/>
  <c r="S58" i="3" s="1"/>
  <c r="R56" i="3"/>
  <c r="S56" i="3" s="1"/>
  <c r="R54" i="3"/>
  <c r="S54" i="3" s="1"/>
  <c r="R52" i="3"/>
  <c r="S52" i="3" s="1"/>
  <c r="R50" i="3"/>
  <c r="S50" i="3" s="1"/>
  <c r="R48" i="3"/>
  <c r="S48" i="3" s="1"/>
  <c r="R46" i="3"/>
  <c r="S46" i="3" s="1"/>
  <c r="R44" i="3"/>
  <c r="S44" i="3" s="1"/>
  <c r="R42" i="3"/>
  <c r="S42" i="3" s="1"/>
  <c r="R40" i="3"/>
  <c r="S40" i="3" s="1"/>
  <c r="R38" i="3"/>
  <c r="S38" i="3" s="1"/>
  <c r="R36" i="3"/>
  <c r="S36" i="3" s="1"/>
  <c r="R34" i="3"/>
  <c r="S34" i="3" s="1"/>
  <c r="R32" i="3"/>
  <c r="S32" i="3" s="1"/>
  <c r="R30" i="3"/>
  <c r="S30" i="3" s="1"/>
  <c r="R28" i="3"/>
  <c r="S28" i="3" s="1"/>
  <c r="R26" i="3"/>
  <c r="S26" i="3" s="1"/>
  <c r="R24" i="3"/>
  <c r="S24" i="3" s="1"/>
  <c r="R22" i="3"/>
  <c r="S22" i="3" s="1"/>
  <c r="R20" i="3"/>
  <c r="S20" i="3" s="1"/>
  <c r="R18" i="3"/>
  <c r="S18" i="3" s="1"/>
  <c r="R16" i="3"/>
  <c r="S16" i="3" s="1"/>
  <c r="R14" i="3"/>
  <c r="S14" i="3" s="1"/>
  <c r="R12" i="3"/>
  <c r="S12" i="3" s="1"/>
  <c r="R10" i="3"/>
  <c r="S10" i="3" s="1"/>
  <c r="R8" i="3"/>
  <c r="S8" i="3" s="1"/>
  <c r="R6" i="3"/>
  <c r="S6" i="3" s="1"/>
  <c r="R4" i="3"/>
  <c r="S4" i="3" s="1"/>
  <c r="R1001" i="3"/>
  <c r="S1001" i="3" s="1"/>
  <c r="R999" i="3"/>
  <c r="S999" i="3" s="1"/>
  <c r="R997" i="3"/>
  <c r="S997" i="3" s="1"/>
  <c r="R995" i="3"/>
  <c r="S995" i="3" s="1"/>
  <c r="R993" i="3"/>
  <c r="S993" i="3" s="1"/>
  <c r="R991" i="3"/>
  <c r="S991" i="3" s="1"/>
  <c r="R989" i="3"/>
  <c r="S989" i="3" s="1"/>
  <c r="R987" i="3"/>
  <c r="S987" i="3" s="1"/>
  <c r="R985" i="3"/>
  <c r="S985" i="3" s="1"/>
  <c r="R983" i="3"/>
  <c r="S983" i="3" s="1"/>
  <c r="R981" i="3"/>
  <c r="S981" i="3" s="1"/>
  <c r="R979" i="3"/>
  <c r="S979" i="3" s="1"/>
  <c r="R977" i="3"/>
  <c r="S977" i="3" s="1"/>
  <c r="R975" i="3"/>
  <c r="S975" i="3" s="1"/>
  <c r="R973" i="3"/>
  <c r="S973" i="3" s="1"/>
  <c r="R971" i="3"/>
  <c r="S971" i="3" s="1"/>
  <c r="R969" i="3"/>
  <c r="S969" i="3" s="1"/>
  <c r="R967" i="3"/>
  <c r="S967" i="3" s="1"/>
  <c r="R965" i="3"/>
  <c r="S965" i="3" s="1"/>
  <c r="R963" i="3"/>
  <c r="S963" i="3" s="1"/>
  <c r="R961" i="3"/>
  <c r="S961" i="3" s="1"/>
  <c r="R959" i="3"/>
  <c r="S959" i="3" s="1"/>
  <c r="R957" i="3"/>
  <c r="S957" i="3" s="1"/>
  <c r="R955" i="3"/>
  <c r="S955" i="3" s="1"/>
  <c r="R953" i="3"/>
  <c r="S953" i="3" s="1"/>
  <c r="R951" i="3"/>
  <c r="S951" i="3" s="1"/>
  <c r="R949" i="3"/>
  <c r="S949" i="3" s="1"/>
  <c r="R947" i="3"/>
  <c r="S947" i="3" s="1"/>
  <c r="R945" i="3"/>
  <c r="S945" i="3" s="1"/>
  <c r="R943" i="3"/>
  <c r="S943" i="3" s="1"/>
  <c r="R941" i="3"/>
  <c r="S941" i="3" s="1"/>
  <c r="R939" i="3"/>
  <c r="S939" i="3" s="1"/>
  <c r="R937" i="3"/>
  <c r="S937" i="3" s="1"/>
  <c r="R935" i="3"/>
  <c r="S935" i="3" s="1"/>
  <c r="R933" i="3"/>
  <c r="S933" i="3" s="1"/>
  <c r="R931" i="3"/>
  <c r="S931" i="3" s="1"/>
  <c r="R929" i="3"/>
  <c r="S929" i="3" s="1"/>
  <c r="R927" i="3"/>
  <c r="S927" i="3" s="1"/>
  <c r="R925" i="3"/>
  <c r="S925" i="3" s="1"/>
  <c r="R923" i="3"/>
  <c r="S923" i="3" s="1"/>
  <c r="R921" i="3"/>
  <c r="S921" i="3" s="1"/>
  <c r="R919" i="3"/>
  <c r="S919" i="3" s="1"/>
  <c r="R917" i="3"/>
  <c r="S917" i="3" s="1"/>
  <c r="R915" i="3"/>
  <c r="S915" i="3" s="1"/>
  <c r="R913" i="3"/>
  <c r="S913" i="3" s="1"/>
  <c r="R911" i="3"/>
  <c r="S911" i="3" s="1"/>
  <c r="R909" i="3"/>
  <c r="S909" i="3" s="1"/>
  <c r="R907" i="3"/>
  <c r="S907" i="3" s="1"/>
  <c r="R905" i="3"/>
  <c r="S905" i="3" s="1"/>
  <c r="R903" i="3"/>
  <c r="S903" i="3" s="1"/>
  <c r="R901" i="3"/>
  <c r="S901" i="3" s="1"/>
  <c r="R899" i="3"/>
  <c r="S899" i="3" s="1"/>
  <c r="R897" i="3"/>
  <c r="S897" i="3" s="1"/>
  <c r="R895" i="3"/>
  <c r="S895" i="3" s="1"/>
  <c r="R893" i="3"/>
  <c r="S893" i="3" s="1"/>
  <c r="R891" i="3"/>
  <c r="S891" i="3" s="1"/>
  <c r="R889" i="3"/>
  <c r="S889" i="3" s="1"/>
  <c r="R887" i="3"/>
  <c r="S887" i="3" s="1"/>
  <c r="R885" i="3"/>
  <c r="S885" i="3" s="1"/>
  <c r="R883" i="3"/>
  <c r="S883" i="3" s="1"/>
  <c r="R881" i="3"/>
  <c r="S881" i="3" s="1"/>
  <c r="R879" i="3"/>
  <c r="S879" i="3" s="1"/>
  <c r="R877" i="3"/>
  <c r="S877" i="3" s="1"/>
  <c r="R875" i="3"/>
  <c r="S875" i="3" s="1"/>
  <c r="R873" i="3"/>
  <c r="S873" i="3" s="1"/>
  <c r="R871" i="3"/>
  <c r="S871" i="3" s="1"/>
  <c r="R869" i="3"/>
  <c r="S869" i="3" s="1"/>
  <c r="R867" i="3"/>
  <c r="S867" i="3" s="1"/>
  <c r="R865" i="3"/>
  <c r="S865" i="3" s="1"/>
  <c r="R863" i="3"/>
  <c r="S863" i="3" s="1"/>
  <c r="R861" i="3"/>
  <c r="S861" i="3" s="1"/>
  <c r="R859" i="3"/>
  <c r="S859" i="3" s="1"/>
  <c r="R857" i="3"/>
  <c r="S857" i="3" s="1"/>
  <c r="R855" i="3"/>
  <c r="S855" i="3" s="1"/>
  <c r="R853" i="3"/>
  <c r="S853" i="3" s="1"/>
  <c r="R851" i="3"/>
  <c r="S851" i="3" s="1"/>
  <c r="R849" i="3"/>
  <c r="S849" i="3" s="1"/>
  <c r="R847" i="3"/>
  <c r="S847" i="3" s="1"/>
  <c r="R845" i="3"/>
  <c r="S845" i="3" s="1"/>
  <c r="R843" i="3"/>
  <c r="S843" i="3" s="1"/>
  <c r="R841" i="3"/>
  <c r="S841" i="3" s="1"/>
  <c r="R839" i="3"/>
  <c r="S839" i="3" s="1"/>
  <c r="R837" i="3"/>
  <c r="S837" i="3" s="1"/>
  <c r="R835" i="3"/>
  <c r="S835" i="3" s="1"/>
  <c r="R833" i="3"/>
  <c r="S833" i="3" s="1"/>
  <c r="R831" i="3"/>
  <c r="S831" i="3" s="1"/>
  <c r="R829" i="3"/>
  <c r="S829" i="3" s="1"/>
  <c r="R827" i="3"/>
  <c r="S827" i="3" s="1"/>
  <c r="R825" i="3"/>
  <c r="S825" i="3" s="1"/>
  <c r="R823" i="3"/>
  <c r="S823" i="3" s="1"/>
  <c r="R821" i="3"/>
  <c r="S821" i="3" s="1"/>
  <c r="R819" i="3"/>
  <c r="S819" i="3" s="1"/>
  <c r="R817" i="3"/>
  <c r="S817" i="3" s="1"/>
  <c r="R815" i="3"/>
  <c r="S815" i="3" s="1"/>
  <c r="R813" i="3"/>
  <c r="S813" i="3" s="1"/>
  <c r="R811" i="3"/>
  <c r="S811" i="3" s="1"/>
  <c r="R809" i="3"/>
  <c r="S809" i="3" s="1"/>
  <c r="R807" i="3"/>
  <c r="S807" i="3" s="1"/>
  <c r="R805" i="3"/>
  <c r="S805" i="3" s="1"/>
  <c r="R803" i="3"/>
  <c r="S803" i="3" s="1"/>
  <c r="R801" i="3"/>
  <c r="S801" i="3" s="1"/>
  <c r="R799" i="3"/>
  <c r="S799" i="3" s="1"/>
  <c r="R797" i="3"/>
  <c r="S797" i="3" s="1"/>
  <c r="R795" i="3"/>
  <c r="S795" i="3" s="1"/>
  <c r="R793" i="3"/>
  <c r="S793" i="3" s="1"/>
  <c r="R791" i="3"/>
  <c r="S791" i="3" s="1"/>
  <c r="R789" i="3"/>
  <c r="S789" i="3" s="1"/>
  <c r="R787" i="3"/>
  <c r="S787" i="3" s="1"/>
  <c r="R785" i="3"/>
  <c r="S785" i="3" s="1"/>
  <c r="R783" i="3"/>
  <c r="S783" i="3" s="1"/>
  <c r="R781" i="3"/>
  <c r="S781" i="3" s="1"/>
  <c r="R779" i="3"/>
  <c r="S779" i="3" s="1"/>
  <c r="R777" i="3"/>
  <c r="S777" i="3" s="1"/>
  <c r="R775" i="3"/>
  <c r="S775" i="3" s="1"/>
  <c r="R773" i="3"/>
  <c r="S773" i="3" s="1"/>
  <c r="R771" i="3"/>
  <c r="S771" i="3" s="1"/>
  <c r="R769" i="3"/>
  <c r="S769" i="3" s="1"/>
  <c r="R767" i="3"/>
  <c r="S767" i="3" s="1"/>
  <c r="R765" i="3"/>
  <c r="S765" i="3" s="1"/>
  <c r="R763" i="3"/>
  <c r="S763" i="3" s="1"/>
  <c r="R761" i="3"/>
  <c r="S761" i="3" s="1"/>
  <c r="R759" i="3"/>
  <c r="S759" i="3" s="1"/>
  <c r="R757" i="3"/>
  <c r="S757" i="3" s="1"/>
  <c r="R755" i="3"/>
  <c r="S755" i="3" s="1"/>
  <c r="R753" i="3"/>
  <c r="S753" i="3" s="1"/>
  <c r="R751" i="3"/>
  <c r="S751" i="3" s="1"/>
  <c r="R749" i="3"/>
  <c r="S749" i="3" s="1"/>
  <c r="R747" i="3"/>
  <c r="S747" i="3" s="1"/>
  <c r="R745" i="3"/>
  <c r="S745" i="3" s="1"/>
  <c r="R743" i="3"/>
  <c r="S743" i="3" s="1"/>
  <c r="R741" i="3"/>
  <c r="S741" i="3" s="1"/>
  <c r="R739" i="3"/>
  <c r="S739" i="3" s="1"/>
  <c r="R737" i="3"/>
  <c r="S737" i="3" s="1"/>
  <c r="R735" i="3"/>
  <c r="S735" i="3" s="1"/>
  <c r="R733" i="3"/>
  <c r="S733" i="3" s="1"/>
  <c r="R731" i="3"/>
  <c r="S731" i="3" s="1"/>
  <c r="R729" i="3"/>
  <c r="S729" i="3" s="1"/>
  <c r="R727" i="3"/>
  <c r="S727" i="3" s="1"/>
  <c r="R725" i="3"/>
  <c r="S725" i="3" s="1"/>
  <c r="R723" i="3"/>
  <c r="S723" i="3" s="1"/>
  <c r="R721" i="3"/>
  <c r="S721" i="3" s="1"/>
  <c r="R719" i="3"/>
  <c r="S719" i="3" s="1"/>
  <c r="R717" i="3"/>
  <c r="S717" i="3" s="1"/>
  <c r="R715" i="3"/>
  <c r="S715" i="3" s="1"/>
  <c r="R713" i="3"/>
  <c r="S713" i="3" s="1"/>
  <c r="R711" i="3"/>
  <c r="S711" i="3" s="1"/>
  <c r="R709" i="3"/>
  <c r="S709" i="3" s="1"/>
  <c r="R707" i="3"/>
  <c r="S707" i="3" s="1"/>
  <c r="R705" i="3"/>
  <c r="S705" i="3" s="1"/>
  <c r="R703" i="3"/>
  <c r="S703" i="3" s="1"/>
  <c r="R701" i="3"/>
  <c r="S701" i="3" s="1"/>
  <c r="R699" i="3"/>
  <c r="S699" i="3" s="1"/>
  <c r="R697" i="3"/>
  <c r="S697" i="3" s="1"/>
  <c r="R695" i="3"/>
  <c r="S695" i="3" s="1"/>
  <c r="R693" i="3"/>
  <c r="S693" i="3" s="1"/>
  <c r="R691" i="3"/>
  <c r="S691" i="3" s="1"/>
  <c r="R689" i="3"/>
  <c r="S689" i="3" s="1"/>
  <c r="R687" i="3"/>
  <c r="S687" i="3" s="1"/>
  <c r="R685" i="3"/>
  <c r="S685" i="3" s="1"/>
  <c r="R683" i="3"/>
  <c r="S683" i="3" s="1"/>
  <c r="R681" i="3"/>
  <c r="S681" i="3" s="1"/>
  <c r="R679" i="3"/>
  <c r="S679" i="3" s="1"/>
  <c r="R677" i="3"/>
  <c r="S677" i="3" s="1"/>
  <c r="R675" i="3"/>
  <c r="S675" i="3" s="1"/>
  <c r="R673" i="3"/>
  <c r="S673" i="3" s="1"/>
  <c r="R671" i="3"/>
  <c r="S671" i="3" s="1"/>
  <c r="R669" i="3"/>
  <c r="S669" i="3" s="1"/>
  <c r="R667" i="3"/>
  <c r="S667" i="3" s="1"/>
  <c r="R665" i="3"/>
  <c r="S665" i="3" s="1"/>
  <c r="R663" i="3"/>
  <c r="S663" i="3" s="1"/>
  <c r="R661" i="3"/>
  <c r="S661" i="3" s="1"/>
  <c r="R659" i="3"/>
  <c r="S659" i="3" s="1"/>
  <c r="R657" i="3"/>
  <c r="S657" i="3" s="1"/>
  <c r="R655" i="3"/>
  <c r="S655" i="3" s="1"/>
  <c r="R653" i="3"/>
  <c r="S653" i="3" s="1"/>
  <c r="R651" i="3"/>
  <c r="S651" i="3" s="1"/>
  <c r="R649" i="3"/>
  <c r="S649" i="3" s="1"/>
  <c r="R647" i="3"/>
  <c r="S647" i="3" s="1"/>
  <c r="R645" i="3"/>
  <c r="S645" i="3" s="1"/>
  <c r="R643" i="3"/>
  <c r="S643" i="3" s="1"/>
  <c r="R641" i="3"/>
  <c r="S641" i="3" s="1"/>
  <c r="R639" i="3"/>
  <c r="S639" i="3" s="1"/>
  <c r="R637" i="3"/>
  <c r="S637" i="3" s="1"/>
  <c r="R635" i="3"/>
  <c r="S635" i="3" s="1"/>
  <c r="R633" i="3"/>
  <c r="S633" i="3" s="1"/>
  <c r="R631" i="3"/>
  <c r="S631" i="3" s="1"/>
  <c r="R629" i="3"/>
  <c r="S629" i="3" s="1"/>
  <c r="R627" i="3"/>
  <c r="S627" i="3" s="1"/>
  <c r="R625" i="3"/>
  <c r="S625" i="3" s="1"/>
  <c r="R623" i="3"/>
  <c r="S623" i="3" s="1"/>
  <c r="R621" i="3"/>
  <c r="S621" i="3" s="1"/>
  <c r="R619" i="3"/>
  <c r="S619" i="3" s="1"/>
  <c r="R617" i="3"/>
  <c r="S617" i="3" s="1"/>
  <c r="R615" i="3"/>
  <c r="S615" i="3" s="1"/>
  <c r="R613" i="3"/>
  <c r="S613" i="3" s="1"/>
  <c r="R611" i="3"/>
  <c r="S611" i="3" s="1"/>
  <c r="R609" i="3"/>
  <c r="S609" i="3" s="1"/>
  <c r="R607" i="3"/>
  <c r="S607" i="3" s="1"/>
  <c r="R605" i="3"/>
  <c r="S605" i="3" s="1"/>
  <c r="R603" i="3"/>
  <c r="S603" i="3" s="1"/>
  <c r="R601" i="3"/>
  <c r="S601" i="3" s="1"/>
  <c r="R599" i="3"/>
  <c r="S599" i="3" s="1"/>
  <c r="R597" i="3"/>
  <c r="S597" i="3" s="1"/>
  <c r="R595" i="3"/>
  <c r="S595" i="3" s="1"/>
  <c r="R593" i="3"/>
  <c r="S593" i="3" s="1"/>
  <c r="R591" i="3"/>
  <c r="S591" i="3" s="1"/>
  <c r="R589" i="3"/>
  <c r="S589" i="3" s="1"/>
  <c r="R587" i="3"/>
  <c r="S587" i="3" s="1"/>
  <c r="R585" i="3"/>
  <c r="S585" i="3" s="1"/>
  <c r="R583" i="3"/>
  <c r="S583" i="3" s="1"/>
  <c r="R581" i="3"/>
  <c r="S581" i="3" s="1"/>
  <c r="R579" i="3"/>
  <c r="S579" i="3" s="1"/>
  <c r="R577" i="3"/>
  <c r="S577" i="3" s="1"/>
  <c r="R575" i="3"/>
  <c r="S575" i="3" s="1"/>
  <c r="R573" i="3"/>
  <c r="S573" i="3" s="1"/>
  <c r="R571" i="3"/>
  <c r="S571" i="3" s="1"/>
  <c r="R569" i="3"/>
  <c r="S569" i="3" s="1"/>
  <c r="R567" i="3"/>
  <c r="S567" i="3" s="1"/>
  <c r="R565" i="3"/>
  <c r="S565" i="3" s="1"/>
  <c r="R563" i="3"/>
  <c r="S563" i="3" s="1"/>
  <c r="R561" i="3"/>
  <c r="S561" i="3" s="1"/>
  <c r="R559" i="3"/>
  <c r="S559" i="3" s="1"/>
  <c r="R557" i="3"/>
  <c r="S557" i="3" s="1"/>
  <c r="R555" i="3"/>
  <c r="S555" i="3" s="1"/>
  <c r="R553" i="3"/>
  <c r="S553" i="3" s="1"/>
  <c r="R551" i="3"/>
  <c r="S551" i="3" s="1"/>
  <c r="R549" i="3"/>
  <c r="S549" i="3" s="1"/>
  <c r="R547" i="3"/>
  <c r="S547" i="3" s="1"/>
  <c r="R545" i="3"/>
  <c r="S545" i="3" s="1"/>
  <c r="R543" i="3"/>
  <c r="S543" i="3" s="1"/>
  <c r="R541" i="3"/>
  <c r="S541" i="3" s="1"/>
  <c r="R539" i="3"/>
  <c r="S539" i="3" s="1"/>
  <c r="R537" i="3"/>
  <c r="S537" i="3" s="1"/>
  <c r="R535" i="3"/>
  <c r="S535" i="3" s="1"/>
  <c r="R533" i="3"/>
  <c r="S533" i="3" s="1"/>
  <c r="R531" i="3"/>
  <c r="S531" i="3" s="1"/>
  <c r="R529" i="3"/>
  <c r="S529" i="3" s="1"/>
  <c r="R527" i="3"/>
  <c r="S527" i="3" s="1"/>
  <c r="R525" i="3"/>
  <c r="S525" i="3" s="1"/>
  <c r="R523" i="3"/>
  <c r="S523" i="3" s="1"/>
  <c r="R521" i="3"/>
  <c r="S521" i="3" s="1"/>
  <c r="R519" i="3"/>
  <c r="S519" i="3" s="1"/>
  <c r="R517" i="3"/>
  <c r="S517" i="3" s="1"/>
  <c r="R515" i="3"/>
  <c r="S515" i="3" s="1"/>
  <c r="R513" i="3"/>
  <c r="S513" i="3" s="1"/>
  <c r="R511" i="3"/>
  <c r="S511" i="3" s="1"/>
  <c r="R509" i="3"/>
  <c r="S509" i="3" s="1"/>
  <c r="R507" i="3"/>
  <c r="S507" i="3" s="1"/>
  <c r="R505" i="3"/>
  <c r="S505" i="3" s="1"/>
  <c r="R503" i="3"/>
  <c r="S503" i="3" s="1"/>
  <c r="R501" i="3"/>
  <c r="S501" i="3" s="1"/>
  <c r="R499" i="3"/>
  <c r="S499" i="3" s="1"/>
  <c r="R497" i="3"/>
  <c r="S497" i="3" s="1"/>
  <c r="R495" i="3"/>
  <c r="S495" i="3" s="1"/>
  <c r="R493" i="3"/>
  <c r="S493" i="3" s="1"/>
  <c r="R491" i="3"/>
  <c r="S491" i="3" s="1"/>
  <c r="R489" i="3"/>
  <c r="S489" i="3" s="1"/>
  <c r="R487" i="3"/>
  <c r="S487" i="3" s="1"/>
  <c r="R485" i="3"/>
  <c r="S485" i="3" s="1"/>
  <c r="R483" i="3"/>
  <c r="S483" i="3" s="1"/>
  <c r="R481" i="3"/>
  <c r="S481" i="3" s="1"/>
  <c r="R479" i="3"/>
  <c r="S479" i="3" s="1"/>
  <c r="R477" i="3"/>
  <c r="S477" i="3" s="1"/>
  <c r="R475" i="3"/>
  <c r="S475" i="3" s="1"/>
  <c r="R473" i="3"/>
  <c r="S473" i="3" s="1"/>
  <c r="R471" i="3"/>
  <c r="S471" i="3" s="1"/>
  <c r="R469" i="3"/>
  <c r="S469" i="3" s="1"/>
  <c r="R467" i="3"/>
  <c r="S467" i="3" s="1"/>
  <c r="R465" i="3"/>
  <c r="S465" i="3" s="1"/>
  <c r="R463" i="3"/>
  <c r="S463" i="3" s="1"/>
  <c r="R461" i="3"/>
  <c r="S461" i="3" s="1"/>
  <c r="R459" i="3"/>
  <c r="S459" i="3" s="1"/>
  <c r="R457" i="3"/>
  <c r="S457" i="3" s="1"/>
  <c r="R455" i="3"/>
  <c r="S455" i="3" s="1"/>
  <c r="R453" i="3"/>
  <c r="S453" i="3" s="1"/>
  <c r="R451" i="3"/>
  <c r="S451" i="3" s="1"/>
  <c r="R449" i="3"/>
  <c r="S449" i="3" s="1"/>
  <c r="R447" i="3"/>
  <c r="S447" i="3" s="1"/>
  <c r="R445" i="3"/>
  <c r="S445" i="3" s="1"/>
  <c r="R443" i="3"/>
  <c r="S443" i="3" s="1"/>
  <c r="R441" i="3"/>
  <c r="S441" i="3" s="1"/>
  <c r="R439" i="3"/>
  <c r="S439" i="3" s="1"/>
  <c r="R437" i="3"/>
  <c r="S437" i="3" s="1"/>
  <c r="R435" i="3"/>
  <c r="S435" i="3" s="1"/>
  <c r="R433" i="3"/>
  <c r="S433" i="3" s="1"/>
  <c r="R431" i="3"/>
  <c r="S431" i="3" s="1"/>
  <c r="R429" i="3"/>
  <c r="S429" i="3" s="1"/>
  <c r="R427" i="3"/>
  <c r="S427" i="3" s="1"/>
  <c r="R425" i="3"/>
  <c r="S425" i="3" s="1"/>
  <c r="R423" i="3"/>
  <c r="S423" i="3" s="1"/>
  <c r="R421" i="3"/>
  <c r="S421" i="3" s="1"/>
  <c r="R419" i="3"/>
  <c r="S419" i="3" s="1"/>
  <c r="R417" i="3"/>
  <c r="S417" i="3" s="1"/>
  <c r="R415" i="3"/>
  <c r="S415" i="3" s="1"/>
  <c r="R413" i="3"/>
  <c r="S413" i="3" s="1"/>
  <c r="R411" i="3"/>
  <c r="S411" i="3" s="1"/>
  <c r="R409" i="3"/>
  <c r="S409" i="3" s="1"/>
  <c r="R407" i="3"/>
  <c r="S407" i="3" s="1"/>
  <c r="R405" i="3"/>
  <c r="S405" i="3" s="1"/>
  <c r="R403" i="3"/>
  <c r="S403" i="3" s="1"/>
  <c r="R401" i="3"/>
  <c r="S401" i="3" s="1"/>
  <c r="R399" i="3"/>
  <c r="S399" i="3" s="1"/>
  <c r="R397" i="3"/>
  <c r="S397" i="3" s="1"/>
  <c r="R395" i="3"/>
  <c r="S395" i="3" s="1"/>
  <c r="R393" i="3"/>
  <c r="S393" i="3" s="1"/>
  <c r="R391" i="3"/>
  <c r="S391" i="3" s="1"/>
  <c r="R389" i="3"/>
  <c r="S389" i="3" s="1"/>
  <c r="R387" i="3"/>
  <c r="S387" i="3" s="1"/>
  <c r="R385" i="3"/>
  <c r="S385" i="3" s="1"/>
  <c r="R383" i="3"/>
  <c r="S383" i="3" s="1"/>
  <c r="R381" i="3"/>
  <c r="S381" i="3" s="1"/>
  <c r="R379" i="3"/>
  <c r="S379" i="3" s="1"/>
  <c r="R377" i="3"/>
  <c r="S377" i="3" s="1"/>
  <c r="R375" i="3"/>
  <c r="S375" i="3" s="1"/>
  <c r="R373" i="3"/>
  <c r="S373" i="3" s="1"/>
  <c r="R371" i="3"/>
  <c r="S371" i="3" s="1"/>
  <c r="R369" i="3"/>
  <c r="S369" i="3" s="1"/>
  <c r="R367" i="3"/>
  <c r="S367" i="3" s="1"/>
  <c r="R365" i="3"/>
  <c r="S365" i="3" s="1"/>
  <c r="R363" i="3"/>
  <c r="S363" i="3" s="1"/>
  <c r="R361" i="3"/>
  <c r="S361" i="3" s="1"/>
  <c r="R359" i="3"/>
  <c r="S359" i="3" s="1"/>
  <c r="R357" i="3"/>
  <c r="S357" i="3" s="1"/>
  <c r="R355" i="3"/>
  <c r="S355" i="3" s="1"/>
  <c r="R353" i="3"/>
  <c r="S353" i="3" s="1"/>
  <c r="R351" i="3"/>
  <c r="S351" i="3" s="1"/>
  <c r="R349" i="3"/>
  <c r="S349" i="3" s="1"/>
  <c r="R347" i="3"/>
  <c r="S347" i="3" s="1"/>
  <c r="R345" i="3"/>
  <c r="S345" i="3" s="1"/>
  <c r="R343" i="3"/>
  <c r="S343" i="3" s="1"/>
  <c r="R341" i="3"/>
  <c r="S341" i="3" s="1"/>
  <c r="R339" i="3"/>
  <c r="S339" i="3" s="1"/>
  <c r="R337" i="3"/>
  <c r="S337" i="3" s="1"/>
  <c r="R335" i="3"/>
  <c r="S335" i="3" s="1"/>
  <c r="R333" i="3"/>
  <c r="S333" i="3" s="1"/>
  <c r="R331" i="3"/>
  <c r="S331" i="3" s="1"/>
  <c r="R329" i="3"/>
  <c r="S329" i="3" s="1"/>
  <c r="R327" i="3"/>
  <c r="S327" i="3" s="1"/>
  <c r="R325" i="3"/>
  <c r="S325" i="3" s="1"/>
  <c r="R323" i="3"/>
  <c r="S323" i="3" s="1"/>
  <c r="R321" i="3"/>
  <c r="S321" i="3" s="1"/>
  <c r="R319" i="3"/>
  <c r="S319" i="3" s="1"/>
  <c r="R317" i="3"/>
  <c r="S317" i="3" s="1"/>
  <c r="R315" i="3"/>
  <c r="S315" i="3" s="1"/>
  <c r="R313" i="3"/>
  <c r="S313" i="3" s="1"/>
  <c r="R311" i="3"/>
  <c r="S311" i="3" s="1"/>
  <c r="R309" i="3"/>
  <c r="S309" i="3" s="1"/>
  <c r="R307" i="3"/>
  <c r="S307" i="3" s="1"/>
  <c r="R305" i="3"/>
  <c r="S305" i="3" s="1"/>
  <c r="R303" i="3"/>
  <c r="S303" i="3" s="1"/>
  <c r="R301" i="3"/>
  <c r="S301" i="3" s="1"/>
  <c r="R299" i="3"/>
  <c r="S299" i="3" s="1"/>
  <c r="R297" i="3"/>
  <c r="S297" i="3" s="1"/>
  <c r="R295" i="3"/>
  <c r="S295" i="3" s="1"/>
  <c r="R293" i="3"/>
  <c r="S293" i="3" s="1"/>
  <c r="R291" i="3"/>
  <c r="S291" i="3" s="1"/>
  <c r="R289" i="3"/>
  <c r="S289" i="3" s="1"/>
  <c r="R287" i="3"/>
  <c r="S287" i="3" s="1"/>
  <c r="R285" i="3"/>
  <c r="S285" i="3" s="1"/>
  <c r="R283" i="3"/>
  <c r="S283" i="3" s="1"/>
  <c r="R281" i="3"/>
  <c r="S281" i="3" s="1"/>
  <c r="R279" i="3"/>
  <c r="S279" i="3" s="1"/>
  <c r="R277" i="3"/>
  <c r="S277" i="3" s="1"/>
  <c r="R275" i="3"/>
  <c r="S275" i="3" s="1"/>
  <c r="R273" i="3"/>
  <c r="S273" i="3" s="1"/>
  <c r="R271" i="3"/>
  <c r="S271" i="3" s="1"/>
  <c r="R269" i="3"/>
  <c r="S269" i="3" s="1"/>
  <c r="R267" i="3"/>
  <c r="S267" i="3" s="1"/>
  <c r="R265" i="3"/>
  <c r="S265" i="3" s="1"/>
  <c r="R263" i="3"/>
  <c r="S263" i="3" s="1"/>
  <c r="R261" i="3"/>
  <c r="S261" i="3" s="1"/>
  <c r="R259" i="3"/>
  <c r="S259" i="3" s="1"/>
  <c r="R257" i="3"/>
  <c r="S257" i="3" s="1"/>
  <c r="R255" i="3"/>
  <c r="S255" i="3" s="1"/>
  <c r="R253" i="3"/>
  <c r="S253" i="3" s="1"/>
  <c r="R251" i="3"/>
  <c r="S251" i="3" s="1"/>
  <c r="R249" i="3"/>
  <c r="S249" i="3" s="1"/>
  <c r="R247" i="3"/>
  <c r="S247" i="3" s="1"/>
  <c r="R245" i="3"/>
  <c r="S245" i="3" s="1"/>
  <c r="R243" i="3"/>
  <c r="S243" i="3" s="1"/>
  <c r="R241" i="3"/>
  <c r="S241" i="3" s="1"/>
  <c r="R239" i="3"/>
  <c r="S239" i="3" s="1"/>
  <c r="R237" i="3"/>
  <c r="S237" i="3" s="1"/>
  <c r="R235" i="3"/>
  <c r="S235" i="3" s="1"/>
  <c r="R233" i="3"/>
  <c r="S233" i="3" s="1"/>
  <c r="R231" i="3"/>
  <c r="S231" i="3" s="1"/>
  <c r="R229" i="3"/>
  <c r="S229" i="3" s="1"/>
  <c r="R227" i="3"/>
  <c r="S227" i="3" s="1"/>
  <c r="R225" i="3"/>
  <c r="S225" i="3" s="1"/>
  <c r="R223" i="3"/>
  <c r="S223" i="3" s="1"/>
  <c r="R221" i="3"/>
  <c r="S221" i="3" s="1"/>
  <c r="R219" i="3"/>
  <c r="S219" i="3" s="1"/>
  <c r="R217" i="3"/>
  <c r="S217" i="3" s="1"/>
  <c r="R215" i="3"/>
  <c r="S215" i="3" s="1"/>
  <c r="R213" i="3"/>
  <c r="S213" i="3" s="1"/>
  <c r="R211" i="3"/>
  <c r="S211" i="3" s="1"/>
  <c r="R209" i="3"/>
  <c r="S209" i="3" s="1"/>
  <c r="R207" i="3"/>
  <c r="S207" i="3" s="1"/>
  <c r="R205" i="3"/>
  <c r="S205" i="3" s="1"/>
  <c r="R203" i="3"/>
  <c r="S203" i="3" s="1"/>
  <c r="R201" i="3"/>
  <c r="S201" i="3" s="1"/>
  <c r="R199" i="3"/>
  <c r="S199" i="3" s="1"/>
  <c r="R197" i="3"/>
  <c r="S197" i="3" s="1"/>
  <c r="R195" i="3"/>
  <c r="S195" i="3" s="1"/>
  <c r="R193" i="3"/>
  <c r="S193" i="3" s="1"/>
  <c r="R191" i="3"/>
  <c r="S191" i="3" s="1"/>
  <c r="R189" i="3"/>
  <c r="S189" i="3" s="1"/>
  <c r="R187" i="3"/>
  <c r="S187" i="3" s="1"/>
  <c r="R185" i="3"/>
  <c r="S185" i="3" s="1"/>
  <c r="R183" i="3"/>
  <c r="S183" i="3" s="1"/>
  <c r="R181" i="3"/>
  <c r="S181" i="3" s="1"/>
  <c r="R179" i="3"/>
  <c r="S179" i="3" s="1"/>
  <c r="R177" i="3"/>
  <c r="S177" i="3" s="1"/>
  <c r="R175" i="3"/>
  <c r="S175" i="3" s="1"/>
  <c r="R173" i="3"/>
  <c r="S173" i="3" s="1"/>
  <c r="R171" i="3"/>
  <c r="S171" i="3" s="1"/>
  <c r="R169" i="3"/>
  <c r="S169" i="3" s="1"/>
  <c r="R167" i="3"/>
  <c r="S167" i="3" s="1"/>
  <c r="R165" i="3"/>
  <c r="S165" i="3" s="1"/>
  <c r="R163" i="3"/>
  <c r="S163" i="3" s="1"/>
  <c r="R161" i="3"/>
  <c r="S161" i="3" s="1"/>
  <c r="R159" i="3"/>
  <c r="S159" i="3" s="1"/>
  <c r="R157" i="3"/>
  <c r="S157" i="3" s="1"/>
  <c r="R155" i="3"/>
  <c r="S155" i="3" s="1"/>
  <c r="R153" i="3"/>
  <c r="S153" i="3" s="1"/>
  <c r="R151" i="3"/>
  <c r="S151" i="3" s="1"/>
  <c r="R149" i="3"/>
  <c r="S149" i="3" s="1"/>
  <c r="R147" i="3"/>
  <c r="S147" i="3" s="1"/>
  <c r="R145" i="3"/>
  <c r="S145" i="3" s="1"/>
  <c r="R143" i="3"/>
  <c r="S143" i="3" s="1"/>
  <c r="R141" i="3"/>
  <c r="S141" i="3" s="1"/>
  <c r="R139" i="3"/>
  <c r="S139" i="3" s="1"/>
  <c r="R137" i="3"/>
  <c r="S137" i="3" s="1"/>
  <c r="R135" i="3"/>
  <c r="S135" i="3" s="1"/>
  <c r="R133" i="3"/>
  <c r="S133" i="3" s="1"/>
  <c r="R131" i="3"/>
  <c r="S131" i="3" s="1"/>
  <c r="R129" i="3"/>
  <c r="S129" i="3" s="1"/>
  <c r="R127" i="3"/>
  <c r="S127" i="3" s="1"/>
  <c r="R125" i="3"/>
  <c r="S125" i="3" s="1"/>
  <c r="R123" i="3"/>
  <c r="S123" i="3" s="1"/>
  <c r="R121" i="3"/>
  <c r="S121" i="3" s="1"/>
  <c r="R119" i="3"/>
  <c r="S119" i="3" s="1"/>
  <c r="R117" i="3"/>
  <c r="S117" i="3" s="1"/>
  <c r="R115" i="3"/>
  <c r="S115" i="3" s="1"/>
  <c r="R113" i="3"/>
  <c r="S113" i="3" s="1"/>
  <c r="R111" i="3"/>
  <c r="S111" i="3" s="1"/>
  <c r="R109" i="3"/>
  <c r="S109" i="3" s="1"/>
  <c r="R107" i="3"/>
  <c r="S107" i="3" s="1"/>
  <c r="R105" i="3"/>
  <c r="S105" i="3" s="1"/>
  <c r="R103" i="3"/>
  <c r="S103" i="3" s="1"/>
  <c r="R101" i="3"/>
  <c r="S101" i="3" s="1"/>
  <c r="R99" i="3"/>
  <c r="S99" i="3" s="1"/>
  <c r="R97" i="3"/>
  <c r="S97" i="3" s="1"/>
  <c r="R95" i="3"/>
  <c r="S95" i="3" s="1"/>
  <c r="R93" i="3"/>
  <c r="S93" i="3" s="1"/>
  <c r="R91" i="3"/>
  <c r="S91" i="3" s="1"/>
  <c r="R89" i="3"/>
  <c r="S89" i="3" s="1"/>
  <c r="R87" i="3"/>
  <c r="S87" i="3" s="1"/>
  <c r="R85" i="3"/>
  <c r="S85" i="3" s="1"/>
  <c r="R83" i="3"/>
  <c r="S83" i="3" s="1"/>
  <c r="R81" i="3"/>
  <c r="S81" i="3" s="1"/>
  <c r="R79" i="3"/>
  <c r="S79" i="3" s="1"/>
  <c r="R77" i="3"/>
  <c r="S77" i="3" s="1"/>
  <c r="R75" i="3"/>
  <c r="S75" i="3" s="1"/>
  <c r="R73" i="3"/>
  <c r="S73" i="3" s="1"/>
  <c r="R71" i="3"/>
  <c r="S71" i="3" s="1"/>
  <c r="R69" i="3"/>
  <c r="S69" i="3" s="1"/>
  <c r="R67" i="3"/>
  <c r="S67" i="3" s="1"/>
  <c r="R65" i="3"/>
  <c r="S65" i="3" s="1"/>
  <c r="R63" i="3"/>
  <c r="S63" i="3" s="1"/>
  <c r="R61" i="3"/>
  <c r="S61" i="3" s="1"/>
  <c r="R59" i="3"/>
  <c r="S59" i="3" s="1"/>
  <c r="R57" i="3"/>
  <c r="S57" i="3" s="1"/>
  <c r="R55" i="3"/>
  <c r="S55" i="3" s="1"/>
  <c r="R53" i="3"/>
  <c r="S53" i="3" s="1"/>
  <c r="R51" i="3"/>
  <c r="S51" i="3" s="1"/>
  <c r="R49" i="3"/>
  <c r="S49" i="3" s="1"/>
  <c r="R47" i="3"/>
  <c r="S47" i="3" s="1"/>
  <c r="R45" i="3"/>
  <c r="S45" i="3" s="1"/>
  <c r="R43" i="3"/>
  <c r="S43" i="3" s="1"/>
  <c r="R41" i="3"/>
  <c r="S41" i="3" s="1"/>
  <c r="R39" i="3"/>
  <c r="S39" i="3" s="1"/>
  <c r="R37" i="3"/>
  <c r="S37" i="3" s="1"/>
  <c r="R35" i="3"/>
  <c r="S35" i="3" s="1"/>
  <c r="R33" i="3"/>
  <c r="S33" i="3" s="1"/>
  <c r="R31" i="3"/>
  <c r="S31" i="3" s="1"/>
  <c r="R29" i="3"/>
  <c r="S29" i="3" s="1"/>
  <c r="R27" i="3"/>
  <c r="S27" i="3" s="1"/>
  <c r="R25" i="3"/>
  <c r="S25" i="3" s="1"/>
  <c r="R23" i="3"/>
  <c r="S23" i="3" s="1"/>
  <c r="R21" i="3"/>
  <c r="S21" i="3" s="1"/>
  <c r="R19" i="3"/>
  <c r="S19" i="3" s="1"/>
  <c r="R17" i="3"/>
  <c r="S17" i="3" s="1"/>
  <c r="R15" i="3"/>
  <c r="S15" i="3" s="1"/>
  <c r="R13" i="3"/>
  <c r="S13" i="3" s="1"/>
  <c r="R11" i="3"/>
  <c r="S11" i="3" s="1"/>
  <c r="R9" i="3"/>
  <c r="S9" i="3" s="1"/>
  <c r="R7" i="3"/>
  <c r="S7" i="3" s="1"/>
  <c r="R5" i="3"/>
  <c r="S5" i="3" s="1"/>
  <c r="R3" i="3"/>
  <c r="S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0C084-7D6E-4D64-A800-72ABC08F0A99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768BF550-22F3-4B31-B60E-B3B5983325E1}" keepAlive="1" name="Requête - VentesMagasins" description="Connexion à la requête « VentesMagasins » dans le classeur." type="5" refreshedVersion="0" background="1">
    <dbPr connection="Provider=Microsoft.Mashup.OleDb.1;Data Source=$Workbook$;Location=VentesMagasins;Extended Properties=&quot;&quot;" command="SELECT * FROM [VentesMagasi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<sst xmlns="http://schemas.openxmlformats.org/spreadsheetml/2006/main" count="7928" uniqueCount="1248">
  <si>
    <t>ClientID</t>
  </si>
  <si>
    <t>Région</t>
  </si>
  <si>
    <t>TypeClient</t>
  </si>
  <si>
    <t>C1000</t>
  </si>
  <si>
    <t>Centre</t>
  </si>
  <si>
    <t>Occasionnel</t>
  </si>
  <si>
    <t>C1001</t>
  </si>
  <si>
    <t>Ouest</t>
  </si>
  <si>
    <t>Nouveau</t>
  </si>
  <si>
    <t>C1002</t>
  </si>
  <si>
    <t>Nord</t>
  </si>
  <si>
    <t>C1003</t>
  </si>
  <si>
    <t>Fidèle</t>
  </si>
  <si>
    <t>C1004</t>
  </si>
  <si>
    <t>Sud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</si>
  <si>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</si>
  <si>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</si>
  <si>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</si>
  <si>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</si>
  <si>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</si>
  <si>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</si>
  <si>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</si>
  <si>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</si>
  <si>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</si>
  <si>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</si>
  <si>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Est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</si>
  <si>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</si>
  <si>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</si>
  <si>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</si>
  <si>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</si>
  <si>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</si>
  <si>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</si>
  <si>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</si>
  <si>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</si>
  <si>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</si>
  <si>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</si>
  <si>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</si>
  <si>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</si>
  <si>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</si>
  <si>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</si>
  <si>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</si>
  <si>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</si>
  <si>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</si>
  <si>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</si>
  <si>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</si>
  <si>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</si>
  <si>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</si>
  <si>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</si>
  <si>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</si>
  <si>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</si>
  <si>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</si>
  <si>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</si>
  <si>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</si>
  <si>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</si>
  <si>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</si>
  <si>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</si>
  <si>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</si>
  <si>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</si>
  <si>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</si>
  <si>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</si>
  <si>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</si>
  <si>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</si>
  <si>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</si>
  <si>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</si>
  <si>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</si>
  <si>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</si>
  <si>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</si>
  <si>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</si>
  <si>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</si>
  <si>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</si>
  <si>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</si>
  <si>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</si>
  <si>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</si>
  <si>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</si>
  <si>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</si>
  <si>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</si>
  <si>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</si>
  <si>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</si>
  <si>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</si>
  <si>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</si>
  <si>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</si>
  <si>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</si>
  <si>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</si>
  <si>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</si>
  <si>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</si>
  <si>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</si>
  <si>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</si>
  <si>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</si>
  <si>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</si>
  <si>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</si>
  <si>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</si>
  <si>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</si>
  <si>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</si>
  <si>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</si>
  <si>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</si>
  <si>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</si>
  <si>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</si>
  <si>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</si>
  <si>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</si>
  <si>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</si>
  <si>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</si>
  <si>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</si>
  <si>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</si>
  <si>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</si>
  <si>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</si>
  <si>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</si>
  <si>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</si>
  <si>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</si>
  <si>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</si>
  <si>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</si>
  <si>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</si>
  <si>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</si>
  <si>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</si>
  <si>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</si>
  <si>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</si>
  <si>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</si>
  <si>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</si>
  <si>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</si>
  <si>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</si>
  <si>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</si>
  <si>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</si>
  <si>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</si>
  <si>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</si>
  <si>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</si>
  <si>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</si>
  <si>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</si>
  <si>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</si>
  <si>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</si>
  <si>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</si>
  <si>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</si>
  <si>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</si>
  <si>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</si>
  <si>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</si>
  <si>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</si>
  <si>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</si>
  <si>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</si>
  <si>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</si>
  <si>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</si>
  <si>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</si>
  <si>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</si>
  <si>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</si>
  <si>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</si>
  <si>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</si>
  <si>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</si>
  <si>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</si>
  <si>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</si>
  <si>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</si>
  <si>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</si>
  <si>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</si>
  <si>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</si>
  <si>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</si>
  <si>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</si>
  <si>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</si>
  <si>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</si>
  <si>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</si>
  <si>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</si>
  <si>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</si>
  <si>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</si>
  <si>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</si>
  <si>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</si>
  <si>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</si>
  <si>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</si>
  <si>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</si>
  <si>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</si>
  <si>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</si>
  <si>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</si>
  <si>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</si>
  <si>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</si>
  <si>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</si>
  <si>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</si>
  <si>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</si>
  <si>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</si>
  <si>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</si>
  <si>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</si>
  <si>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</si>
  <si>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</si>
  <si>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</si>
  <si>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</si>
  <si>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</si>
  <si>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</si>
  <si>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</si>
  <si>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</si>
  <si>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</si>
  <si>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</si>
  <si>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</si>
  <si>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</si>
  <si>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</si>
  <si>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</si>
  <si>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</si>
  <si>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</si>
  <si>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</si>
  <si>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</si>
  <si>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</si>
  <si>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</si>
  <si>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</si>
  <si>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</si>
  <si>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</si>
  <si>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</si>
  <si>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</si>
  <si>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</si>
  <si>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</si>
  <si>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</si>
  <si>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</si>
  <si>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</si>
  <si>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</si>
  <si>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</si>
  <si>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</si>
  <si>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</si>
  <si>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</si>
  <si>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</si>
  <si>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</si>
  <si>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</si>
  <si>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</si>
  <si>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</si>
  <si>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</si>
  <si>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</si>
  <si>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</si>
  <si>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</si>
  <si>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</si>
  <si>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</si>
  <si>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</si>
  <si>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</si>
  <si>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</si>
  <si>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</si>
  <si>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</si>
  <si>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</si>
  <si>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</si>
  <si>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</si>
  <si>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</si>
  <si>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</si>
  <si>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</si>
  <si>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</si>
  <si>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</si>
  <si>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</si>
  <si>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</si>
  <si>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</si>
  <si>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</si>
  <si>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</si>
  <si>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</si>
  <si>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</si>
  <si>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</si>
  <si>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</si>
  <si>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</si>
  <si>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</si>
  <si>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</si>
  <si>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</si>
  <si>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</si>
  <si>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</si>
  <si>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</si>
  <si>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</si>
  <si>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</si>
  <si>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</si>
  <si>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</si>
  <si>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</si>
  <si>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</si>
  <si>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</si>
  <si>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</si>
  <si>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</si>
  <si>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</si>
  <si>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</si>
  <si>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</si>
  <si>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</si>
  <si>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</si>
  <si>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</si>
  <si>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</si>
  <si>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</si>
  <si>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</si>
  <si>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</si>
  <si>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</si>
  <si>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</si>
  <si>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</si>
  <si>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</si>
  <si>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</si>
  <si>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</si>
  <si>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</si>
  <si>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</si>
  <si>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</si>
  <si>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</si>
  <si>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</si>
  <si>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</si>
  <si>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</si>
  <si>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</si>
  <si>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</si>
  <si>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</si>
  <si>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</si>
  <si>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</si>
  <si>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</si>
  <si>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</si>
  <si>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</si>
  <si>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</si>
  <si>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</si>
  <si>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</si>
  <si>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</si>
  <si>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</si>
  <si>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</si>
  <si>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</si>
  <si>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</si>
  <si>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</si>
  <si>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</si>
  <si>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</si>
  <si>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</si>
  <si>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</si>
  <si>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</si>
  <si>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</si>
  <si>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</si>
  <si>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</si>
  <si>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</si>
  <si>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</si>
  <si>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</si>
  <si>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</si>
  <si>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</si>
  <si>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OrderID</t>
  </si>
  <si>
    <t>DateVente</t>
  </si>
  <si>
    <t>Magasin</t>
  </si>
  <si>
    <t>Produit</t>
  </si>
  <si>
    <t>Categorie</t>
  </si>
  <si>
    <t>Quantité</t>
  </si>
  <si>
    <t>PrixUnitaire</t>
  </si>
  <si>
    <t>Remise</t>
  </si>
  <si>
    <t>Total</t>
  </si>
  <si>
    <t>Retour</t>
  </si>
  <si>
    <t>NoteClient</t>
  </si>
  <si>
    <t>M5</t>
  </si>
  <si>
    <t>Chaise</t>
  </si>
  <si>
    <t>Électronique</t>
  </si>
  <si>
    <t>0.15</t>
  </si>
  <si>
    <t>221.0</t>
  </si>
  <si>
    <t>5.0</t>
  </si>
  <si>
    <t>M2</t>
  </si>
  <si>
    <t>Plante</t>
  </si>
  <si>
    <t>Décoration</t>
  </si>
  <si>
    <t>59.5</t>
  </si>
  <si>
    <t>4.0</t>
  </si>
  <si>
    <t>M1</t>
  </si>
  <si>
    <t>Enceinte</t>
  </si>
  <si>
    <t>0.0</t>
  </si>
  <si>
    <t>372.0</t>
  </si>
  <si>
    <t>3.0</t>
  </si>
  <si>
    <t>M3</t>
  </si>
  <si>
    <t>Lampe</t>
  </si>
  <si>
    <t>96.89999999999999</t>
  </si>
  <si>
    <t>Meuble</t>
  </si>
  <si>
    <t>0.05</t>
  </si>
  <si>
    <t>144.4</t>
  </si>
  <si>
    <t>2.0</t>
  </si>
  <si>
    <t>Canapé</t>
  </si>
  <si>
    <t>666.9</t>
  </si>
  <si>
    <t>255.0</t>
  </si>
  <si>
    <t>Télévision</t>
  </si>
  <si>
    <t>312.0</t>
  </si>
  <si>
    <t>M4</t>
  </si>
  <si>
    <t>286.0</t>
  </si>
  <si>
    <t/>
  </si>
  <si>
    <t>363.0</t>
  </si>
  <si>
    <t>792.3</t>
  </si>
  <si>
    <t>0.1</t>
  </si>
  <si>
    <t>328.5</t>
  </si>
  <si>
    <t>749.6999999999999</t>
  </si>
  <si>
    <t>électronique</t>
  </si>
  <si>
    <t>153.9</t>
  </si>
  <si>
    <t>m2</t>
  </si>
  <si>
    <t>945.0</t>
  </si>
  <si>
    <t>Table</t>
  </si>
  <si>
    <t>730.0</t>
  </si>
  <si>
    <t>Tapis</t>
  </si>
  <si>
    <t>2052.0</t>
  </si>
  <si>
    <t>625.6</t>
  </si>
  <si>
    <t>380.7</t>
  </si>
  <si>
    <t>841.5</t>
  </si>
  <si>
    <t>1.0</t>
  </si>
  <si>
    <t>1506.2</t>
  </si>
  <si>
    <t>974.6999999999999</t>
  </si>
  <si>
    <t>49.5</t>
  </si>
  <si>
    <t>510.0</t>
  </si>
  <si>
    <t>1266.5</t>
  </si>
  <si>
    <t>186.3</t>
  </si>
  <si>
    <t>896.75</t>
  </si>
  <si>
    <t>412.0</t>
  </si>
  <si>
    <t>1926.0</t>
  </si>
  <si>
    <t>313.65</t>
  </si>
  <si>
    <t>271.8</t>
  </si>
  <si>
    <t>162.0</t>
  </si>
  <si>
    <t>2390.0</t>
  </si>
  <si>
    <t>541.62</t>
  </si>
  <si>
    <t>513.0</t>
  </si>
  <si>
    <t>895.5</t>
  </si>
  <si>
    <t>312.55</t>
  </si>
  <si>
    <t>1181.8</t>
  </si>
  <si>
    <t>131.1</t>
  </si>
  <si>
    <t>m3</t>
  </si>
  <si>
    <t>129.2</t>
  </si>
  <si>
    <t>1272.0</t>
  </si>
  <si>
    <t>1684.8</t>
  </si>
  <si>
    <t>1725.1999999999998</t>
  </si>
  <si>
    <t>228.6</t>
  </si>
  <si>
    <t>2227.5</t>
  </si>
  <si>
    <t>1322.3999999999999</t>
  </si>
  <si>
    <t>1348.05</t>
  </si>
  <si>
    <t>1077.8</t>
  </si>
  <si>
    <t>1003.0</t>
  </si>
  <si>
    <t>396.0</t>
  </si>
  <si>
    <t>m5</t>
  </si>
  <si>
    <t>645.15</t>
  </si>
  <si>
    <t>939.0</t>
  </si>
  <si>
    <t>710.0</t>
  </si>
  <si>
    <t>135.0</t>
  </si>
  <si>
    <t>273.59999999999997</t>
  </si>
  <si>
    <t>154.85</t>
  </si>
  <si>
    <t>226.0</t>
  </si>
  <si>
    <t>1008.9</t>
  </si>
  <si>
    <t>637.2</t>
  </si>
  <si>
    <t>216.6</t>
  </si>
  <si>
    <t>755.25</t>
  </si>
  <si>
    <t>1304.0</t>
  </si>
  <si>
    <t>1239.0</t>
  </si>
  <si>
    <t>1008.0</t>
  </si>
  <si>
    <t>meuble</t>
  </si>
  <si>
    <t>839.8</t>
  </si>
  <si>
    <t>383.79999999999995</t>
  </si>
  <si>
    <t>316.34999999999997</t>
  </si>
  <si>
    <t>294.09999999999997</t>
  </si>
  <si>
    <t>90.0</t>
  </si>
  <si>
    <t>530.0</t>
  </si>
  <si>
    <t>1225.0</t>
  </si>
  <si>
    <t>691.9</t>
  </si>
  <si>
    <t>m1</t>
  </si>
  <si>
    <t>22.0</t>
  </si>
  <si>
    <t>1335.0</t>
  </si>
  <si>
    <t>813.4499999999999</t>
  </si>
  <si>
    <t>196.0</t>
  </si>
  <si>
    <t>2109.0</t>
  </si>
  <si>
    <t>1285.2</t>
  </si>
  <si>
    <t>472.5</t>
  </si>
  <si>
    <t>628.3199999999999</t>
  </si>
  <si>
    <t>691.05</t>
  </si>
  <si>
    <t>737.8</t>
  </si>
  <si>
    <t>414.0</t>
  </si>
  <si>
    <t>771.0</t>
  </si>
  <si>
    <t>367.2</t>
  </si>
  <si>
    <t>292.59999999999997</t>
  </si>
  <si>
    <t>1141.2</t>
  </si>
  <si>
    <t>106.2</t>
  </si>
  <si>
    <t>333.2</t>
  </si>
  <si>
    <t>192.0</t>
  </si>
  <si>
    <t>1470.6000000000001</t>
  </si>
  <si>
    <t>209.0</t>
  </si>
  <si>
    <t>2318.0</t>
  </si>
  <si>
    <t>413.09999999999997</t>
  </si>
  <si>
    <t>334.05</t>
  </si>
  <si>
    <t>m4</t>
  </si>
  <si>
    <t>486.0</t>
  </si>
  <si>
    <t>705.0</t>
  </si>
  <si>
    <t>1045.0</t>
  </si>
  <si>
    <t>1010.0</t>
  </si>
  <si>
    <t>1790.75</t>
  </si>
  <si>
    <t>173.70000000000002</t>
  </si>
  <si>
    <t>685.0</t>
  </si>
  <si>
    <t>2137.5</t>
  </si>
  <si>
    <t>955.0</t>
  </si>
  <si>
    <t>535.5</t>
  </si>
  <si>
    <t>1350.0</t>
  </si>
  <si>
    <t>1877.1999999999998</t>
  </si>
  <si>
    <t>156.0</t>
  </si>
  <si>
    <t>1227.0</t>
  </si>
  <si>
    <t>461.55</t>
  </si>
  <si>
    <t>812.6</t>
  </si>
  <si>
    <t>190.4</t>
  </si>
  <si>
    <t>1208.3999999999999</t>
  </si>
  <si>
    <t>400.0</t>
  </si>
  <si>
    <t>1055.7</t>
  </si>
  <si>
    <t>420.3</t>
  </si>
  <si>
    <t>46.0</t>
  </si>
  <si>
    <t>481.65</t>
  </si>
  <si>
    <t>499.5</t>
  </si>
  <si>
    <t>878.4</t>
  </si>
  <si>
    <t>256.5</t>
  </si>
  <si>
    <t>2161.25</t>
  </si>
  <si>
    <t>686.8</t>
  </si>
  <si>
    <t>122.39999999999999</t>
  </si>
  <si>
    <t>606.9</t>
  </si>
  <si>
    <t>1562.75</t>
  </si>
  <si>
    <t>900.5999999999999</t>
  </si>
  <si>
    <t>1903.5</t>
  </si>
  <si>
    <t>285.0</t>
  </si>
  <si>
    <t>584.1</t>
  </si>
  <si>
    <t>77.4</t>
  </si>
  <si>
    <t>899.1</t>
  </si>
  <si>
    <t>1802.0</t>
  </si>
  <si>
    <t>668.8</t>
  </si>
  <si>
    <t>1102.0</t>
  </si>
  <si>
    <t>75.60000000000001</t>
  </si>
  <si>
    <t>539.75</t>
  </si>
  <si>
    <t>2405.0</t>
  </si>
  <si>
    <t>128.25</t>
  </si>
  <si>
    <t>1179.0</t>
  </si>
  <si>
    <t>109.8</t>
  </si>
  <si>
    <t>26.599999999999998</t>
  </si>
  <si>
    <t>765.0</t>
  </si>
  <si>
    <t>286.9</t>
  </si>
  <si>
    <t>942.4</t>
  </si>
  <si>
    <t>470.25</t>
  </si>
  <si>
    <t>180.0</t>
  </si>
  <si>
    <t>152.0</t>
  </si>
  <si>
    <t>403.75</t>
  </si>
  <si>
    <t>648.0</t>
  </si>
  <si>
    <t>1220.6</t>
  </si>
  <si>
    <t>243.2</t>
  </si>
  <si>
    <t>792.0</t>
  </si>
  <si>
    <t>1135.25</t>
  </si>
  <si>
    <t>1296.0</t>
  </si>
  <si>
    <t>708.0</t>
  </si>
  <si>
    <t>352.0</t>
  </si>
  <si>
    <t>650.0</t>
  </si>
  <si>
    <t>764.1</t>
  </si>
  <si>
    <t>110.5</t>
  </si>
  <si>
    <t>1972.0</t>
  </si>
  <si>
    <t>588.0</t>
  </si>
  <si>
    <t>842.4</t>
  </si>
  <si>
    <t>206.0</t>
  </si>
  <si>
    <t>1157.7</t>
  </si>
  <si>
    <t>1255.5</t>
  </si>
  <si>
    <t>699.0</t>
  </si>
  <si>
    <t>1389.6000000000001</t>
  </si>
  <si>
    <t>388.54999999999995</t>
  </si>
  <si>
    <t>906.0</t>
  </si>
  <si>
    <t>81.6</t>
  </si>
  <si>
    <t>550.0</t>
  </si>
  <si>
    <t>1480.0</t>
  </si>
  <si>
    <t>353.7</t>
  </si>
  <si>
    <t>468.0</t>
  </si>
  <si>
    <t>1785.0</t>
  </si>
  <si>
    <t>2215.0</t>
  </si>
  <si>
    <t>1352.0</t>
  </si>
  <si>
    <t>322.0</t>
  </si>
  <si>
    <t>1362.3</t>
  </si>
  <si>
    <t>1306.8</t>
  </si>
  <si>
    <t>1719.5</t>
  </si>
  <si>
    <t>321.3</t>
  </si>
  <si>
    <t>612.0</t>
  </si>
  <si>
    <t>887.7</t>
  </si>
  <si>
    <t>182.39999999999998</t>
  </si>
  <si>
    <t>287.3</t>
  </si>
  <si>
    <t>203.15</t>
  </si>
  <si>
    <t>68.0</t>
  </si>
  <si>
    <t>748.0</t>
  </si>
  <si>
    <t>869.55</t>
  </si>
  <si>
    <t>99.45</t>
  </si>
  <si>
    <t>1874.25</t>
  </si>
  <si>
    <t>423.0</t>
  </si>
  <si>
    <t>430.09999999999997</t>
  </si>
  <si>
    <t>1136.2</t>
  </si>
  <si>
    <t>444.0</t>
  </si>
  <si>
    <t>1275.0</t>
  </si>
  <si>
    <t>1672.0</t>
  </si>
  <si>
    <t>480.0</t>
  </si>
  <si>
    <t>880.2</t>
  </si>
  <si>
    <t>1354.5</t>
  </si>
  <si>
    <t>280.8</t>
  </si>
  <si>
    <t>1377.0</t>
  </si>
  <si>
    <t>388.0</t>
  </si>
  <si>
    <t>19.55</t>
  </si>
  <si>
    <t>1557.2</t>
  </si>
  <si>
    <t>320.45</t>
  </si>
  <si>
    <t>61.2</t>
  </si>
  <si>
    <t>669.8</t>
  </si>
  <si>
    <t>505.4</t>
  </si>
  <si>
    <t>183.6</t>
  </si>
  <si>
    <t>256.0</t>
  </si>
  <si>
    <t>259.2</t>
  </si>
  <si>
    <t>215.04999999999998</t>
  </si>
  <si>
    <t>687.6</t>
  </si>
  <si>
    <t>255.54999999999998</t>
  </si>
  <si>
    <t>202.29999999999998</t>
  </si>
  <si>
    <t>450.29999999999995</t>
  </si>
  <si>
    <t>97.2</t>
  </si>
  <si>
    <t>171.7</t>
  </si>
  <si>
    <t>2500.0</t>
  </si>
  <si>
    <t>537.1999999999999</t>
  </si>
  <si>
    <t>1445.0</t>
  </si>
  <si>
    <t>128.0</t>
  </si>
  <si>
    <t>54.0</t>
  </si>
  <si>
    <t>279.0</t>
  </si>
  <si>
    <t>1167.0</t>
  </si>
  <si>
    <t>78.3</t>
  </si>
  <si>
    <t>748.5999999999999</t>
  </si>
  <si>
    <t>668.1</t>
  </si>
  <si>
    <t>1615.0</t>
  </si>
  <si>
    <t>746.0</t>
  </si>
  <si>
    <t>810.0</t>
  </si>
  <si>
    <t>299.0</t>
  </si>
  <si>
    <t>51.3</t>
  </si>
  <si>
    <t>386.1</t>
  </si>
  <si>
    <t>910.0</t>
  </si>
  <si>
    <t>216.75</t>
  </si>
  <si>
    <t>1048.8</t>
  </si>
  <si>
    <t>1220.4</t>
  </si>
  <si>
    <t>2213.5</t>
  </si>
  <si>
    <t>575.6999999999999</t>
  </si>
  <si>
    <t>175.75</t>
  </si>
  <si>
    <t>503.2</t>
  </si>
  <si>
    <t>1715.0</t>
  </si>
  <si>
    <t>596.6999999999999</t>
  </si>
  <si>
    <t>147.6</t>
  </si>
  <si>
    <t>964.0</t>
  </si>
  <si>
    <t>166.0</t>
  </si>
  <si>
    <t>632.6999999999999</t>
  </si>
  <si>
    <t>1444.0</t>
  </si>
  <si>
    <t>437.0</t>
  </si>
  <si>
    <t>579.6999999999999</t>
  </si>
  <si>
    <t>18.0</t>
  </si>
  <si>
    <t>188.0</t>
  </si>
  <si>
    <t>877.1999999999999</t>
  </si>
  <si>
    <t>1200.0</t>
  </si>
  <si>
    <t>957.5999999999999</t>
  </si>
  <si>
    <t>71.10000000000001</t>
  </si>
  <si>
    <t>1760.0</t>
  </si>
  <si>
    <t>138.0</t>
  </si>
  <si>
    <t>680.1300000000001</t>
  </si>
  <si>
    <t>207.1</t>
  </si>
  <si>
    <t>79.8</t>
  </si>
  <si>
    <t>192.95</t>
  </si>
  <si>
    <t>930.75</t>
  </si>
  <si>
    <t>520.1999999999999</t>
  </si>
  <si>
    <t>1929.5</t>
  </si>
  <si>
    <t>95.0</t>
  </si>
  <si>
    <t>263.5</t>
  </si>
  <si>
    <t>707.1999999999999</t>
  </si>
  <si>
    <t>779.0</t>
  </si>
  <si>
    <t>1000.0</t>
  </si>
  <si>
    <t>1594.6</t>
  </si>
  <si>
    <t>552.9</t>
  </si>
  <si>
    <t>540.0</t>
  </si>
  <si>
    <t>2018.75</t>
  </si>
  <si>
    <t>1619.42</t>
  </si>
  <si>
    <t>558.0</t>
  </si>
  <si>
    <t>565.25</t>
  </si>
  <si>
    <t>761.4</t>
  </si>
  <si>
    <t>722.0</t>
  </si>
  <si>
    <t>621.0</t>
  </si>
  <si>
    <t>436.0</t>
  </si>
  <si>
    <t>940.0</t>
  </si>
  <si>
    <t>1311.0</t>
  </si>
  <si>
    <t>961.35</t>
  </si>
  <si>
    <t>756.0</t>
  </si>
  <si>
    <t>1920.0</t>
  </si>
  <si>
    <t>879.0</t>
  </si>
  <si>
    <t>397.8</t>
  </si>
  <si>
    <t>296.65</t>
  </si>
  <si>
    <t>89.775</t>
  </si>
  <si>
    <t>157.7</t>
  </si>
  <si>
    <t>107.72999999999999</t>
  </si>
  <si>
    <t>754.8</t>
  </si>
  <si>
    <t>352.8</t>
  </si>
  <si>
    <t>218.70000000000002</t>
  </si>
  <si>
    <t>1756.0</t>
  </si>
  <si>
    <t>104.55</t>
  </si>
  <si>
    <t>100.3</t>
  </si>
  <si>
    <t>171.0</t>
  </si>
  <si>
    <t>1696.6</t>
  </si>
  <si>
    <t>2223.0</t>
  </si>
  <si>
    <t>2170.0</t>
  </si>
  <si>
    <t>382.5</t>
  </si>
  <si>
    <t>2085.0</t>
  </si>
  <si>
    <t>739.8000000000001</t>
  </si>
  <si>
    <t>583.2</t>
  </si>
  <si>
    <t>1033.2</t>
  </si>
  <si>
    <t>1093.5</t>
  </si>
  <si>
    <t>520.6</t>
  </si>
  <si>
    <t>580.0</t>
  </si>
  <si>
    <t>118.0</t>
  </si>
  <si>
    <t>764.0</t>
  </si>
  <si>
    <t>426.6</t>
  </si>
  <si>
    <t>91.19999999999999</t>
  </si>
  <si>
    <t>1341.9</t>
  </si>
  <si>
    <t>571.5</t>
  </si>
  <si>
    <t>294.0</t>
  </si>
  <si>
    <t>215.64999999999998</t>
  </si>
  <si>
    <t>317.7</t>
  </si>
  <si>
    <t>788.4</t>
  </si>
  <si>
    <t>146.70000000000002</t>
  </si>
  <si>
    <t>1230.25</t>
  </si>
  <si>
    <t>671.5</t>
  </si>
  <si>
    <t>293.40000000000003</t>
  </si>
  <si>
    <t>1522.8</t>
  </si>
  <si>
    <t>465.0</t>
  </si>
  <si>
    <t>96.3</t>
  </si>
  <si>
    <t>1017.9</t>
  </si>
  <si>
    <t>459.36000000000007</t>
  </si>
  <si>
    <t>décoration</t>
  </si>
  <si>
    <t>846.0</t>
  </si>
  <si>
    <t>390.6</t>
  </si>
  <si>
    <t>1714.5</t>
  </si>
  <si>
    <t>1145.8</t>
  </si>
  <si>
    <t>1436.0</t>
  </si>
  <si>
    <t>164.0</t>
  </si>
  <si>
    <t>1015.75</t>
  </si>
  <si>
    <t>590.0</t>
  </si>
  <si>
    <t>396.09999999999997</t>
  </si>
  <si>
    <t>1315.0</t>
  </si>
  <si>
    <t>327.75</t>
  </si>
  <si>
    <t>1702.8</t>
  </si>
  <si>
    <t>232.9</t>
  </si>
  <si>
    <t>400.5</t>
  </si>
  <si>
    <t>630.0</t>
  </si>
  <si>
    <t>327.6</t>
  </si>
  <si>
    <t>362.95</t>
  </si>
  <si>
    <t>359.09999999999997</t>
  </si>
  <si>
    <t>832.5</t>
  </si>
  <si>
    <t>672.3000000000001</t>
  </si>
  <si>
    <t>1660.0</t>
  </si>
  <si>
    <t>446.5</t>
  </si>
  <si>
    <t>652.8</t>
  </si>
  <si>
    <t>119.69999999999999</t>
  </si>
  <si>
    <t>1148.0</t>
  </si>
  <si>
    <t>41.8</t>
  </si>
  <si>
    <t>725.0</t>
  </si>
  <si>
    <t>1466.8</t>
  </si>
  <si>
    <t>1683.0</t>
  </si>
  <si>
    <t>1075.3999999999999</t>
  </si>
  <si>
    <t>415.8</t>
  </si>
  <si>
    <t>902.0000000000001</t>
  </si>
  <si>
    <t>150.0</t>
  </si>
  <si>
    <t>938.5999999999999</t>
  </si>
  <si>
    <t>1652.4</t>
  </si>
  <si>
    <t>933.0</t>
  </si>
  <si>
    <t>391.4</t>
  </si>
  <si>
    <t>1164.0</t>
  </si>
  <si>
    <t>212.5</t>
  </si>
  <si>
    <t>196.35</t>
  </si>
  <si>
    <t>703.8000000000001</t>
  </si>
  <si>
    <t>2315.0</t>
  </si>
  <si>
    <t>401.40000000000003</t>
  </si>
  <si>
    <t>496.0</t>
  </si>
  <si>
    <t>958.0</t>
  </si>
  <si>
    <t>399.95</t>
  </si>
  <si>
    <t>372.6</t>
  </si>
  <si>
    <t>364.79999999999995</t>
  </si>
  <si>
    <t>619.4</t>
  </si>
  <si>
    <t>130.5</t>
  </si>
  <si>
    <t>662.4</t>
  </si>
  <si>
    <t>541.5</t>
  </si>
  <si>
    <t>399.0</t>
  </si>
  <si>
    <t>214.2</t>
  </si>
  <si>
    <t>555.0</t>
  </si>
  <si>
    <t>492.09999999999997</t>
  </si>
  <si>
    <t>640.0</t>
  </si>
  <si>
    <t>372.4</t>
  </si>
  <si>
    <t>63.65</t>
  </si>
  <si>
    <t>444.6</t>
  </si>
  <si>
    <t>826.5</t>
  </si>
  <si>
    <t>701.1</t>
  </si>
  <si>
    <t>351.5</t>
  </si>
  <si>
    <t>2044.3500000000001</t>
  </si>
  <si>
    <t>896.0</t>
  </si>
  <si>
    <t>386.75</t>
  </si>
  <si>
    <t>298.34999999999997</t>
  </si>
  <si>
    <t>994.5</t>
  </si>
  <si>
    <t>313.0</t>
  </si>
  <si>
    <t>990.0</t>
  </si>
  <si>
    <t>328.7</t>
  </si>
  <si>
    <t>576.0</t>
  </si>
  <si>
    <t>1652.0</t>
  </si>
  <si>
    <t>1450.8</t>
  </si>
  <si>
    <t>1222.6499999999999</t>
  </si>
  <si>
    <t>582.25</t>
  </si>
  <si>
    <t>174.42</t>
  </si>
  <si>
    <t>1499.4</t>
  </si>
  <si>
    <t>456.0</t>
  </si>
  <si>
    <t>325.0</t>
  </si>
  <si>
    <t>714.6</t>
  </si>
  <si>
    <t>802.4</t>
  </si>
  <si>
    <t>890.8</t>
  </si>
  <si>
    <t>1443.0</t>
  </si>
  <si>
    <t>1900.0</t>
  </si>
  <si>
    <t>1332.0</t>
  </si>
  <si>
    <t>507.29999999999995</t>
  </si>
  <si>
    <t>412.2</t>
  </si>
  <si>
    <t>296.1</t>
  </si>
  <si>
    <t>191.89999999999998</t>
  </si>
  <si>
    <t>268.0</t>
  </si>
  <si>
    <t>28.5</t>
  </si>
  <si>
    <t>338.40000000000003</t>
  </si>
  <si>
    <t>172.54999999999998</t>
  </si>
  <si>
    <t>1218.0</t>
  </si>
  <si>
    <t>1134.75</t>
  </si>
  <si>
    <t>233.75</t>
  </si>
  <si>
    <t>159.6</t>
  </si>
  <si>
    <t>325.84999999999997</t>
  </si>
  <si>
    <t>677.97</t>
  </si>
  <si>
    <t>125.8</t>
  </si>
  <si>
    <t>1568.0</t>
  </si>
  <si>
    <t>205.2</t>
  </si>
  <si>
    <t>797.4</t>
  </si>
  <si>
    <t>1881.0</t>
  </si>
  <si>
    <t>410.4</t>
  </si>
  <si>
    <t>860.625</t>
  </si>
  <si>
    <t>942.0</t>
  </si>
  <si>
    <t>446.40000000000003</t>
  </si>
  <si>
    <t>195.0</t>
  </si>
  <si>
    <t>55.099999999999994</t>
  </si>
  <si>
    <t>1748.0</t>
  </si>
  <si>
    <t>96.0</t>
  </si>
  <si>
    <t>587.1</t>
  </si>
  <si>
    <t>316.2</t>
  </si>
  <si>
    <t>1034.1000000000001</t>
  </si>
  <si>
    <t>186.15</t>
  </si>
  <si>
    <t>114.75</t>
  </si>
  <si>
    <t>816.0</t>
  </si>
  <si>
    <t>680.4</t>
  </si>
  <si>
    <t>106.39999999999999</t>
  </si>
  <si>
    <t>380.8</t>
  </si>
  <si>
    <t>100.0</t>
  </si>
  <si>
    <t>140.0</t>
  </si>
  <si>
    <t>306.90000000000003</t>
  </si>
  <si>
    <t>435.0</t>
  </si>
  <si>
    <t>559.3</t>
  </si>
  <si>
    <t>544.0</t>
  </si>
  <si>
    <t>361.8</t>
  </si>
  <si>
    <t>1150.05</t>
  </si>
  <si>
    <t>752.0</t>
  </si>
  <si>
    <t>703.8</t>
  </si>
  <si>
    <t>606.1</t>
  </si>
  <si>
    <t>154.8</t>
  </si>
  <si>
    <t>741.6</t>
  </si>
  <si>
    <t>714.4</t>
  </si>
  <si>
    <t>281.34999999999997</t>
  </si>
  <si>
    <t>1763.75</t>
  </si>
  <si>
    <t>1939.52</t>
  </si>
  <si>
    <t>246.04999999999998</t>
  </si>
  <si>
    <t>393.3</t>
  </si>
  <si>
    <t>664.6999999999999</t>
  </si>
  <si>
    <t>1681.5</t>
  </si>
  <si>
    <t>1370.0</t>
  </si>
  <si>
    <t>41.4</t>
  </si>
  <si>
    <t>102.60000000000001</t>
  </si>
  <si>
    <t>786.0</t>
  </si>
  <si>
    <t>1628.6</t>
  </si>
  <si>
    <t>244.14999999999998</t>
  </si>
  <si>
    <t>782.8</t>
  </si>
  <si>
    <t>86.955</t>
  </si>
  <si>
    <t>2340.0</t>
  </si>
  <si>
    <t>223.20000000000002</t>
  </si>
  <si>
    <t>422.75</t>
  </si>
  <si>
    <t>334.9</t>
  </si>
  <si>
    <t>1100.75</t>
  </si>
  <si>
    <t>79.89999999999999</t>
  </si>
  <si>
    <t>252.0</t>
  </si>
  <si>
    <t>676.26</t>
  </si>
  <si>
    <t>109.25</t>
  </si>
  <si>
    <t>589.05</t>
  </si>
  <si>
    <t>504.45</t>
  </si>
  <si>
    <t>826.1999999999999</t>
  </si>
  <si>
    <t>701.25</t>
  </si>
  <si>
    <t>670.6999999999999</t>
  </si>
  <si>
    <t>1076.0</t>
  </si>
  <si>
    <t>1341.3999999999999</t>
  </si>
  <si>
    <t>828.9</t>
  </si>
  <si>
    <t>262.39500000000004</t>
  </si>
  <si>
    <t>100.69999999999999</t>
  </si>
  <si>
    <t>1022.4</t>
  </si>
  <si>
    <t>1916.0</t>
  </si>
  <si>
    <t>208.8</t>
  </si>
  <si>
    <t>538.05</t>
  </si>
  <si>
    <t>346.8</t>
  </si>
  <si>
    <t>2209.5</t>
  </si>
  <si>
    <t>184.29999999999998</t>
  </si>
  <si>
    <t>918.0</t>
  </si>
  <si>
    <t>1128.0</t>
  </si>
  <si>
    <t>41.0</t>
  </si>
  <si>
    <t>548.25</t>
  </si>
  <si>
    <t>476.0</t>
  </si>
  <si>
    <t>1026.0</t>
  </si>
  <si>
    <t>785.4</t>
  </si>
  <si>
    <t>64.8</t>
  </si>
  <si>
    <t>292.4</t>
  </si>
  <si>
    <t>116.85</t>
  </si>
  <si>
    <t>812.7</t>
  </si>
  <si>
    <t>1177.0</t>
  </si>
  <si>
    <t>1102.95</t>
  </si>
  <si>
    <t>300.9</t>
  </si>
  <si>
    <t>950.4</t>
  </si>
  <si>
    <t>410.40000000000003</t>
  </si>
  <si>
    <t>464.0</t>
  </si>
  <si>
    <t>858.0</t>
  </si>
  <si>
    <t>1633.5</t>
  </si>
  <si>
    <t>1158.0</t>
  </si>
  <si>
    <t>650.7</t>
  </si>
  <si>
    <t>877.8</t>
  </si>
  <si>
    <t>362.09999999999997</t>
  </si>
  <si>
    <t>522.5</t>
  </si>
  <si>
    <t>458.84999999999997</t>
  </si>
  <si>
    <t>441.75</t>
  </si>
  <si>
    <t>1751.0</t>
  </si>
  <si>
    <t>35.1</t>
  </si>
  <si>
    <t>265.2</t>
  </si>
  <si>
    <t>515.1</t>
  </si>
  <si>
    <t>2300.0</t>
  </si>
  <si>
    <t>66.60000000000001</t>
  </si>
  <si>
    <t>1057.3999999999999</t>
  </si>
  <si>
    <t>524.0</t>
  </si>
  <si>
    <t>478.79999999999995</t>
  </si>
  <si>
    <t>133.95</t>
  </si>
  <si>
    <t>1567.3999999999999</t>
  </si>
  <si>
    <t>636.0</t>
  </si>
  <si>
    <t>141.1</t>
  </si>
  <si>
    <t>438.3</t>
  </si>
  <si>
    <t>1170.18</t>
  </si>
  <si>
    <t>140.25</t>
  </si>
  <si>
    <t>144.0</t>
  </si>
  <si>
    <t>725.4</t>
  </si>
  <si>
    <t>1456.0</t>
  </si>
  <si>
    <t>198.04999999999998</t>
  </si>
  <si>
    <t>123.25</t>
  </si>
  <si>
    <t>1777.5</t>
  </si>
  <si>
    <t>1984.75</t>
  </si>
  <si>
    <t>99.75</t>
  </si>
  <si>
    <t>166.5</t>
  </si>
  <si>
    <t>851.6999999999999</t>
  </si>
  <si>
    <t>796.5</t>
  </si>
  <si>
    <t>833.0</t>
  </si>
  <si>
    <t>729.0</t>
  </si>
  <si>
    <t>108.0</t>
  </si>
  <si>
    <t>2105.0</t>
  </si>
  <si>
    <t>2385.0</t>
  </si>
  <si>
    <t>431.8</t>
  </si>
  <si>
    <t>1712.0</t>
  </si>
  <si>
    <t>1440.0</t>
  </si>
  <si>
    <t>2073.5</t>
  </si>
  <si>
    <t>413.1</t>
  </si>
  <si>
    <t>175.95</t>
  </si>
  <si>
    <t>623.7</t>
  </si>
  <si>
    <t>344.0</t>
  </si>
  <si>
    <t>70.3</t>
  </si>
  <si>
    <t>376.20000000000005</t>
  </si>
  <si>
    <t>1316.0</t>
  </si>
  <si>
    <t>103.55</t>
  </si>
  <si>
    <t>211.5</t>
  </si>
  <si>
    <t>25.2</t>
  </si>
  <si>
    <t>214.7</t>
  </si>
  <si>
    <t>680.85</t>
  </si>
  <si>
    <t>88.2</t>
  </si>
  <si>
    <t>354.0</t>
  </si>
  <si>
    <t>1749.6000000000001</t>
  </si>
  <si>
    <t>348.5</t>
  </si>
  <si>
    <t>1635.0</t>
  </si>
  <si>
    <t>453.9</t>
  </si>
  <si>
    <t>319.2</t>
  </si>
  <si>
    <t>770.4</t>
  </si>
  <si>
    <t>532.1</t>
  </si>
  <si>
    <t>272.7</t>
  </si>
  <si>
    <t>1325.25</t>
  </si>
  <si>
    <t>2099.5</t>
  </si>
  <si>
    <t>532.8000000000001</t>
  </si>
  <si>
    <t>646.0</t>
  </si>
  <si>
    <t>112.0</t>
  </si>
  <si>
    <t>2190.0</t>
  </si>
  <si>
    <t>438.9</t>
  </si>
  <si>
    <t>379.04999999999995</t>
  </si>
  <si>
    <t>304.3</t>
  </si>
  <si>
    <t>231.2</t>
  </si>
  <si>
    <t>1968.0</t>
  </si>
  <si>
    <t>1459.1999999999998</t>
  </si>
  <si>
    <t>486.2</t>
  </si>
  <si>
    <t>118.14999999999999</t>
  </si>
  <si>
    <t>2185.0</t>
  </si>
  <si>
    <t>1615.5</t>
  </si>
  <si>
    <t>591.6</t>
  </si>
  <si>
    <t>1857.25</t>
  </si>
  <si>
    <t>438.59999999999997</t>
  </si>
  <si>
    <t>134.9</t>
  </si>
  <si>
    <t>626.4</t>
  </si>
  <si>
    <t>1113.3999999999999</t>
  </si>
  <si>
    <t>234.0</t>
  </si>
  <si>
    <t>433.2</t>
  </si>
  <si>
    <t>634.1</t>
  </si>
  <si>
    <t>142.5</t>
  </si>
  <si>
    <t>288.8</t>
  </si>
  <si>
    <t>340.2</t>
  </si>
  <si>
    <t>1539.0</t>
  </si>
  <si>
    <t>1700.0</t>
  </si>
  <si>
    <t>1789.8</t>
  </si>
  <si>
    <t>420.0</t>
  </si>
  <si>
    <t>38.0</t>
  </si>
  <si>
    <t>531.25</t>
  </si>
  <si>
    <t>927.1999999999999</t>
  </si>
  <si>
    <t>1168.75</t>
  </si>
  <si>
    <t>58.65</t>
  </si>
  <si>
    <t>622.8000000000001</t>
  </si>
  <si>
    <t>1656.0</t>
  </si>
  <si>
    <t>428.40000000000003</t>
  </si>
  <si>
    <t>100.8</t>
  </si>
  <si>
    <t>274.5</t>
  </si>
  <si>
    <t>2187.0</t>
  </si>
  <si>
    <t>153.0</t>
  </si>
  <si>
    <t>258.4</t>
  </si>
  <si>
    <t>898.6999999999999</t>
  </si>
  <si>
    <t>72.0</t>
  </si>
  <si>
    <t>595.0</t>
  </si>
  <si>
    <t>35.699999999999996</t>
  </si>
  <si>
    <t>244.0</t>
  </si>
  <si>
    <t>986.4</t>
  </si>
  <si>
    <t>84.14999999999999</t>
  </si>
  <si>
    <t>58.9</t>
  </si>
  <si>
    <t>846.6</t>
  </si>
  <si>
    <t>201.39999999999998</t>
  </si>
  <si>
    <t>324.0</t>
  </si>
  <si>
    <t>607.5</t>
  </si>
  <si>
    <t>66.5</t>
  </si>
  <si>
    <t>404.0</t>
  </si>
  <si>
    <t>281.52000000000004</t>
  </si>
  <si>
    <t>799.0</t>
  </si>
  <si>
    <t>1960.0</t>
  </si>
  <si>
    <t>928.8000000000001</t>
  </si>
  <si>
    <t>440.0</t>
  </si>
  <si>
    <t>1392.0</t>
  </si>
  <si>
    <t>1188.0</t>
  </si>
  <si>
    <t>620.5</t>
  </si>
  <si>
    <t>476.84999999999997</t>
  </si>
  <si>
    <t>672.6</t>
  </si>
  <si>
    <t>640.05</t>
  </si>
  <si>
    <t>111.14999999999999</t>
  </si>
  <si>
    <t>340.84999999999997</t>
  </si>
  <si>
    <t>39.1</t>
  </si>
  <si>
    <t>1096.5</t>
  </si>
  <si>
    <t>244.79999999999998</t>
  </si>
  <si>
    <t>381.9</t>
  </si>
  <si>
    <t>716.4</t>
  </si>
  <si>
    <t>652.0</t>
  </si>
  <si>
    <t>604.1999999999999</t>
  </si>
  <si>
    <t>1236.8999999999999</t>
  </si>
  <si>
    <t>141.95</t>
  </si>
  <si>
    <t>1045.5</t>
  </si>
  <si>
    <t>454.5</t>
  </si>
  <si>
    <t>396.15</t>
  </si>
  <si>
    <t>882.0</t>
  </si>
  <si>
    <t>1657.75</t>
  </si>
  <si>
    <t>193.79999999999998</t>
  </si>
  <si>
    <t>767.5999999999999</t>
  </si>
  <si>
    <t>421.79999999999995</t>
  </si>
  <si>
    <t>87.21</t>
  </si>
  <si>
    <t>405.90000000000003</t>
  </si>
  <si>
    <t>1148.55</t>
  </si>
  <si>
    <t>556.2</t>
  </si>
  <si>
    <t>1619.75</t>
  </si>
  <si>
    <t>70.2</t>
  </si>
  <si>
    <t>248.89999999999998</t>
  </si>
  <si>
    <t>407.7</t>
  </si>
  <si>
    <t>414.2</t>
  </si>
  <si>
    <t>1400.4</t>
  </si>
  <si>
    <t>947.75</t>
  </si>
  <si>
    <t>769.5</t>
  </si>
  <si>
    <t>511.09999999999997</t>
  </si>
  <si>
    <t>264.6</t>
  </si>
  <si>
    <t>81.9</t>
  </si>
  <si>
    <t>1421.2</t>
  </si>
  <si>
    <t>1144.0</t>
  </si>
  <si>
    <t>240.3</t>
  </si>
  <si>
    <t>442.8</t>
  </si>
  <si>
    <t>1126.25</t>
  </si>
  <si>
    <t>2337.0</t>
  </si>
  <si>
    <t>1976.0</t>
  </si>
  <si>
    <t>1166.6</t>
  </si>
  <si>
    <t>473.40000000000003</t>
  </si>
  <si>
    <t>1448.3999999999999</t>
  </si>
  <si>
    <t>269.8</t>
  </si>
  <si>
    <t>815.0999999999999</t>
  </si>
  <si>
    <t>1435.5</t>
  </si>
  <si>
    <t>331.2</t>
  </si>
  <si>
    <t>1147.5</t>
  </si>
  <si>
    <t>61.199999999999996</t>
  </si>
  <si>
    <t>1168.0</t>
  </si>
  <si>
    <t>435.09999999999997</t>
  </si>
  <si>
    <t>837.0</t>
  </si>
  <si>
    <t>1710.0</t>
  </si>
  <si>
    <t>1121.0</t>
  </si>
  <si>
    <t>374.40000000000003</t>
  </si>
  <si>
    <t>835.2</t>
  </si>
  <si>
    <t>201.0</t>
  </si>
  <si>
    <t>1482.0</t>
  </si>
  <si>
    <t>581.4</t>
  </si>
  <si>
    <t>249.0</t>
  </si>
  <si>
    <t>527.25</t>
  </si>
  <si>
    <t>968.0</t>
  </si>
  <si>
    <t>1462.5</t>
  </si>
  <si>
    <t>1095.48</t>
  </si>
  <si>
    <t>1020.0</t>
  </si>
  <si>
    <t>121.0</t>
  </si>
  <si>
    <t>448.2</t>
  </si>
  <si>
    <t>1362.0</t>
  </si>
  <si>
    <t>358.15</t>
  </si>
  <si>
    <t>473.0</t>
  </si>
  <si>
    <t>1865.0</t>
  </si>
  <si>
    <t>702.0</t>
  </si>
  <si>
    <t>598.5</t>
  </si>
  <si>
    <t>496.4</t>
  </si>
  <si>
    <t>345.09999999999997</t>
  </si>
  <si>
    <t>564.3</t>
  </si>
  <si>
    <t>1577.0</t>
  </si>
  <si>
    <t>931.0</t>
  </si>
  <si>
    <t>910.8000000000001</t>
  </si>
  <si>
    <t>1037.0</t>
  </si>
  <si>
    <t>414.8</t>
  </si>
  <si>
    <t>342.0</t>
  </si>
  <si>
    <t>1404.0</t>
  </si>
  <si>
    <t>123.3</t>
  </si>
  <si>
    <t>418.0</t>
  </si>
  <si>
    <t>290.0</t>
  </si>
  <si>
    <t>663.0</t>
  </si>
  <si>
    <t>1653.0</t>
  </si>
  <si>
    <t>153.85</t>
  </si>
  <si>
    <t>583.3</t>
  </si>
  <si>
    <t>1620.0</t>
  </si>
  <si>
    <t>425.59999999999997</t>
  </si>
  <si>
    <t>183.0</t>
  </si>
  <si>
    <t>1395.0</t>
  </si>
  <si>
    <t>1581.0</t>
  </si>
  <si>
    <t>50.4</t>
  </si>
  <si>
    <t>545.0</t>
  </si>
  <si>
    <t>976.0</t>
  </si>
  <si>
    <t>473.09999999999997</t>
  </si>
  <si>
    <t>1740.0</t>
  </si>
  <si>
    <t>925.0</t>
  </si>
  <si>
    <t>353.4</t>
  </si>
  <si>
    <t>1782.1999999999998</t>
  </si>
  <si>
    <t>1110.0</t>
  </si>
  <si>
    <t>197.2</t>
  </si>
  <si>
    <t>431.29999999999995</t>
  </si>
  <si>
    <t>1975.5</t>
  </si>
  <si>
    <t>1326.0</t>
  </si>
  <si>
    <t>874.8000000000001</t>
  </si>
  <si>
    <t>747.0</t>
  </si>
  <si>
    <t>562.6999999999999</t>
  </si>
  <si>
    <t>1176.0</t>
  </si>
  <si>
    <t>1792.0</t>
  </si>
  <si>
    <t>955.8000000000001</t>
  </si>
  <si>
    <t>655.5</t>
  </si>
  <si>
    <t>1368.0</t>
  </si>
  <si>
    <t>632.4</t>
  </si>
  <si>
    <t>697.0</t>
  </si>
  <si>
    <t>2025.0</t>
  </si>
  <si>
    <t>251.1</t>
  </si>
  <si>
    <t>1205.8200000000002</t>
  </si>
  <si>
    <t>354.6</t>
  </si>
  <si>
    <t>150.3</t>
  </si>
  <si>
    <t>345.0</t>
  </si>
  <si>
    <t>324.9</t>
  </si>
  <si>
    <t>461.89</t>
  </si>
  <si>
    <t>224.4</t>
  </si>
  <si>
    <t>731.5</t>
  </si>
  <si>
    <t>286.11</t>
  </si>
  <si>
    <t>1145.7</t>
  </si>
  <si>
    <t>165.0</t>
  </si>
  <si>
    <t>468.34999999999997</t>
  </si>
  <si>
    <t>1189.3999999999999</t>
  </si>
  <si>
    <t>1496.0</t>
  </si>
  <si>
    <t>2261.0</t>
  </si>
  <si>
    <t>1104.0</t>
  </si>
  <si>
    <t>205.0</t>
  </si>
  <si>
    <t>1415.5</t>
  </si>
  <si>
    <t>532.0</t>
  </si>
  <si>
    <t>1071.6</t>
  </si>
  <si>
    <t>2065.5</t>
  </si>
  <si>
    <t>276.25</t>
  </si>
  <si>
    <t>463.0</t>
  </si>
  <si>
    <t>1590.0</t>
  </si>
  <si>
    <t>1062.0</t>
  </si>
  <si>
    <t>420.75</t>
  </si>
  <si>
    <t>472.0</t>
  </si>
  <si>
    <t>51.0</t>
  </si>
  <si>
    <t>1597.5</t>
  </si>
  <si>
    <t>619.2</t>
  </si>
  <si>
    <t>1088.0</t>
  </si>
  <si>
    <t>1162.8</t>
  </si>
  <si>
    <t>391.0</t>
  </si>
  <si>
    <t>207.0</t>
  </si>
  <si>
    <t>760.0</t>
  </si>
  <si>
    <t>408.0</t>
  </si>
  <si>
    <t>780.9</t>
  </si>
  <si>
    <t>1624.5</t>
  </si>
  <si>
    <t>164.70000000000002</t>
  </si>
  <si>
    <t>36.9</t>
  </si>
  <si>
    <t>1340.0</t>
  </si>
  <si>
    <t>525.3</t>
  </si>
  <si>
    <t>43.699999999999996</t>
  </si>
  <si>
    <t>210.0</t>
  </si>
  <si>
    <t>432.0</t>
  </si>
  <si>
    <t>1736.0</t>
  </si>
  <si>
    <t>268.59999999999997</t>
  </si>
  <si>
    <t>446.0</t>
  </si>
  <si>
    <t>1596.76</t>
  </si>
  <si>
    <t>1853.0</t>
  </si>
  <si>
    <t>851.1999999999999</t>
  </si>
  <si>
    <t>1424.0</t>
  </si>
  <si>
    <t>338.58000000000004</t>
  </si>
  <si>
    <t>373.34999999999997</t>
  </si>
  <si>
    <t>823.5</t>
  </si>
  <si>
    <t>1836.0</t>
  </si>
  <si>
    <t>277.95</t>
  </si>
  <si>
    <t>335.7</t>
  </si>
  <si>
    <t>625.0</t>
  </si>
  <si>
    <t>1219.75</t>
  </si>
  <si>
    <t>127.5</t>
  </si>
  <si>
    <t>786.5999999999999</t>
  </si>
  <si>
    <t>561.33</t>
  </si>
  <si>
    <t>613.6999999999999</t>
  </si>
  <si>
    <t>157.25</t>
  </si>
  <si>
    <t>979.2</t>
  </si>
  <si>
    <t>1505.0</t>
  </si>
  <si>
    <t>877.5</t>
  </si>
  <si>
    <t>754.2</t>
  </si>
  <si>
    <t>427.5</t>
  </si>
  <si>
    <t>551.0</t>
  </si>
  <si>
    <t>187.0</t>
  </si>
  <si>
    <t>200.70000000000002</t>
  </si>
  <si>
    <t>222.3</t>
  </si>
  <si>
    <t>363.6</t>
  </si>
  <si>
    <t>665.0</t>
  </si>
  <si>
    <t>521.9</t>
  </si>
  <si>
    <t>413.95</t>
  </si>
  <si>
    <t>957.0</t>
  </si>
  <si>
    <t>68.85</t>
  </si>
  <si>
    <t>308.55</t>
  </si>
  <si>
    <t>1396.5</t>
  </si>
  <si>
    <t>34.199999999999996</t>
  </si>
  <si>
    <t>307.8</t>
  </si>
  <si>
    <t>154.7</t>
  </si>
  <si>
    <t>213.35</t>
  </si>
  <si>
    <t>52.699999999999996</t>
  </si>
  <si>
    <t>339.3</t>
  </si>
  <si>
    <t>118.8</t>
  </si>
  <si>
    <t>98.0</t>
  </si>
  <si>
    <t>68.39999999999999</t>
  </si>
  <si>
    <t>997.05</t>
  </si>
  <si>
    <t>247.0</t>
  </si>
  <si>
    <t>ClientID1</t>
  </si>
  <si>
    <t>Année</t>
  </si>
  <si>
    <t>Mois</t>
  </si>
  <si>
    <t>CA</t>
  </si>
  <si>
    <t>Remise_nett</t>
  </si>
  <si>
    <t>Categorie_nett</t>
  </si>
  <si>
    <t>Total_Nett</t>
  </si>
  <si>
    <t>CA_retour</t>
  </si>
  <si>
    <t>Moyenne_client</t>
  </si>
  <si>
    <t>NoteClient_Nette</t>
  </si>
  <si>
    <t>NoteClient_nett1</t>
  </si>
  <si>
    <t>Region</t>
  </si>
  <si>
    <t>Type_Client</t>
  </si>
  <si>
    <t>Mois_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</si>
</sst>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3" borderId="0" xfId="0" applyFont="1" applyFill="1"/>
    <xf numFmtId="0" fontId="0" fillId="0" borderId="0" xfId="0" applyFont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NumberFormat="1" applyFont="1" applyBorder="1"/>
    <xf numFmtId="14" fontId="0" fillId="3" borderId="2" xfId="0" applyNumberFormat="1" applyFont="1" applyFill="1" applyBorder="1"/>
    <xf numFmtId="0" fontId="0" fillId="3" borderId="2" xfId="0" applyNumberFormat="1" applyFont="1" applyFill="1" applyBorder="1"/>
    <xf numFmtId="0" fontId="0" fillId="0" borderId="2" xfId="0" applyFont="1" applyBorder="1"/>
    <xf numFmtId="0" fontId="0" fillId="0" borderId="0" xfId="0" applyNumberFormat="1" applyFont="1"/>
    <xf numFmtId="14" fontId="0" fillId="3" borderId="0" xfId="0" applyNumberFormat="1" applyFont="1" applyFill="1"/>
    <xf numFmtId="0" fontId="0" fillId="3" borderId="0" xfId="0" applyNumberFormat="1" applyFont="1" applyFill="1"/>
    <xf numFmtId="0" fontId="0" fillId="0" borderId="1" xfId="0" applyNumberFormat="1" applyFont="1" applyBorder="1"/>
    <xf numFmtId="14" fontId="0" fillId="3" borderId="1" xfId="0" applyNumberFormat="1" applyFont="1" applyFill="1" applyBorder="1"/>
    <xf numFmtId="0" fontId="0" fillId="3" borderId="1" xfId="0" applyNumberFormat="1" applyFont="1" applyFill="1" applyBorder="1"/>
  </cellXfs>
  <cellStyles count="1">
    <cellStyle name="Normal" xfId="0" builtinId="0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connections" Target="connection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4E6584D-86BF-4587-B60D-08284E8BC8C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B38878-3243-4E59-B57C-301EE8BE045A}" name="Tbl_ventes" displayName="Tbl_ventes" ref="A1:X1001" totalsRowShown="0">
  <autoFilter ref="A1:X1001" xr:uid="{34B38878-3243-4E59-B57C-301EE8BE045A}"/>
  <tableColumns count="24">
    <tableColumn id="1" xr3:uid="{0D7559BD-38D3-4DA2-9F40-0B95D7AF92AC}" name="OrderID" dataDxfId="12"/>
    <tableColumn id="2" xr3:uid="{821D7D2A-A511-4856-8C8C-83B1B7330C41}" name="ClientID" dataDxfId="11"/>
    <tableColumn id="3" xr3:uid="{19F3CA17-8CAE-4A60-8003-D052D43483A0}" name="DateVente" dataDxfId="10"/>
    <tableColumn id="4" xr3:uid="{33E8A0E3-C3EA-4A78-8538-50517313EAF9}" name="Magasin" dataDxfId="9"/>
    <tableColumn id="5" xr3:uid="{5BBDFF01-3003-4E1C-B2A3-BAC3F780DA7B}" name="Produit" dataDxfId="8"/>
    <tableColumn id="6" xr3:uid="{1198BD73-1FB6-4972-B14E-8B77011D018F}" name="Categorie" dataDxfId="7"/>
    <tableColumn id="7" xr3:uid="{67CEC7EF-BAF5-4216-AF5D-7A700815CDC7}" name="Quantité" dataDxfId="6"/>
    <tableColumn id="8" xr3:uid="{F3DE7D63-6DE2-4609-8D72-91A9C4C1850B}" name="PrixUnitaire" dataDxfId="5"/>
    <tableColumn id="9" xr3:uid="{17104E45-DB71-4C74-9693-877404D9B244}" name="Remise" dataDxfId="4"/>
    <tableColumn id="10" xr3:uid="{213DDDD5-E70E-437D-AF1B-B407F770840D}" name="Total" dataDxfId="3"/>
    <tableColumn id="11" xr3:uid="{F1EA23ED-FDB7-433D-A02A-3A11C82F5A2A}" name="Retour" dataDxfId="2"/>
    <tableColumn id="12" xr3:uid="{FC58E4D6-E1B8-4225-928A-376AA6EF113F}" name="NoteClient" dataDxfId="1"/>
    <tableColumn id="13" xr3:uid="{A68F3310-CB5F-4DB5-9648-304C9D967884}" name="Année">
      <calculatedColumnFormula>YEAR(VentesMagasins!$C2)</calculatedColumnFormula>
    </tableColumn>
    <tableColumn id="14" xr3:uid="{60F9C8B1-C545-4AD5-9D59-5B5288F26523}" name="Mois" dataDxfId="0">
      <calculatedColumnFormula array="1">MONTH(DateVente)</calculatedColumnFormula>
    </tableColumn>
    <tableColumn id="15" xr3:uid="{2E023EA8-8D0E-48E1-9AA1-88E90136F889}" name="Categorie_nett">
      <calculatedColumnFormula>PROPER(VentesMagasins!$F2)</calculatedColumnFormula>
    </tableColumn>
    <tableColumn id="16" xr3:uid="{04918492-3616-46F4-AE54-62AEB35DA300}" name="Remise_nett">
      <calculatedColumnFormula>VALUE(CLEAN(TRIM(SUBSTITUTE(VentesMagasins!$I2,".",","))))</calculatedColumnFormula>
    </tableColumn>
    <tableColumn id="17" xr3:uid="{2D6F0341-61DF-4B69-B1E8-5DE066874B41}" name="Total_Nett">
      <calculatedColumnFormula>VALUE(TRIM(SUBSTITUTE(VentesMagasins!$J2,".",",")))</calculatedColumnFormula>
    </tableColumn>
    <tableColumn id="18" xr3:uid="{0E448460-6898-4E00-A645-47FBD90E748C}" name="CA">
      <calculatedColumnFormula>Q2*(1-P2)</calculatedColumnFormula>
    </tableColumn>
    <tableColumn id="19" xr3:uid="{93131EA9-DD33-460B-838C-73B5955AD459}" name="CA_retour">
      <calculatedColumnFormula>IF(VentesMagasins!$K2=1,(-1)*R2,R2)</calculatedColumnFormula>
    </tableColumn>
    <tableColumn id="20" xr3:uid="{CBFCD7B3-05FD-44B4-807A-E516B5B320CF}" name="NoteClient_Nette">
      <calculatedColumnFormula>IFERROR(VALUE(TRIM(SUBSTITUTE(VentesMagasins!$L2,".",","))),0)</calculatedColumnFormula>
    </tableColumn>
    <tableColumn id="21" xr3:uid="{260090F6-CD65-4713-98CA-12ECB9CDFC2C}" name="NoteClient_nett1">
      <calculatedColumnFormula>ROUND(IF(T2=0,AVERAGE(T2:T1001),T2),0)</calculatedColumnFormula>
    </tableColumn>
    <tableColumn id="22" xr3:uid="{E94354EB-106E-4E53-A276-D2FD28CB7B53}" name="Moyenne_client">
      <calculatedColumnFormula>IF(AND(U2&gt;0,U2&lt;=2),"faible",IF(AND(U2&gt;=3,U2&lt;=4),"moyenne",IF(U2=5,"élévé",0)))</calculatedColumnFormula>
    </tableColumn>
    <tableColumn id="23" xr3:uid="{C97CF553-0CA9-41D9-B08C-2D6D525142CB}" name="Region">
      <calculatedColumnFormula>_xlfn.XLOOKUP(VentesMagasins!$B2,Clients!ClientID,Région)</calculatedColumnFormula>
    </tableColumn>
    <tableColumn id="24" xr3:uid="{DA8D7E51-B592-4FA8-89F0-C53DBD72DF30}" name="Type_Client">
      <calculatedColumnFormula>INDEX(TypeClient,MATCH(VentesMagasins!$B2,Clients!ClientID))</calculatedColumnFormula>
    </tableColumn>
  </tableColumns>
  <tableStyleInfo name="TableStyleMedium17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C10C7-E0D7-4253-A110-BEE1DA2C1FCD}" name="Tbl_Clients" displayName="Tbl_Clients" ref="A1:C301" tableType="queryTable" totalsRowShown="0">
  <autoFilter ref="A1:C301" xr:uid="{C79C10C7-E0D7-4253-A110-BEE1DA2C1FCD}"/>
  <tableColumns count="3">
    <tableColumn id="1" xr3:uid="{2DDB352E-DE65-4B85-9A4E-7814D64CEF56}" uniqueName="1" name="ClientID1" queryTableFieldId="1" dataDxfId="15"/>
    <tableColumn id="2" xr3:uid="{4A352FBC-7471-421C-AEC8-72AE460FC26B}" uniqueName="2" name="Région" queryTableFieldId="2" dataDxfId="14"/>
    <tableColumn id="3" xr3:uid="{69EAB40B-F5A6-483C-85BC-F533DC374BF6}" uniqueName="3" name="TypeClient" queryTableFieldId="3" dataDxfId="13"/>
  </tableColumns>
  <tableStyleInfo name="TableStyleMedium17" showFirstColumn="0" showLastColumn="0" showRowStripes="0" showColumnStripes="1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575D-D5D6-469B-B97E-80817FF03B6D}">
  <dimension ref="A1:Y1001"/>
  <sheetViews>
    <sheetView tabSelected="1" workbookViewId="0">
      <selection activeCell="W2" sqref="W2"/>
    </sheetView>
  </sheetViews>
  <sheetFormatPr baseColWidth="10" defaultRowHeight="15" x14ac:dyDescent="0.25"/>
  <cols>
    <col min="1" max="1" width="15.28515625" customWidth="1"/>
    <col min="2" max="2" width="16.28515625" customWidth="1"/>
    <col min="3" max="3" width="14.140625" customWidth="1"/>
    <col min="4" max="4" width="14.42578125" customWidth="1"/>
    <col min="5" max="5" width="12.140625" bestFit="1" customWidth="1"/>
    <col min="6" max="6" width="15.7109375" hidden="1" customWidth="1"/>
    <col min="7" max="7" width="13.85546875" hidden="1" customWidth="1"/>
    <col min="8" max="8" width="13.7109375" hidden="1" customWidth="1"/>
    <col min="9" max="9" width="11.140625" hidden="1" customWidth="1"/>
    <col min="10" max="10" width="18.140625" hidden="1" customWidth="1"/>
    <col min="11" max="11" width="9.85546875" hidden="1" customWidth="1"/>
    <col min="12" max="12" width="13.28515625" hidden="1" customWidth="1"/>
    <col min="13" max="13" width="16.5703125" customWidth="1"/>
    <col min="14" max="14" width="23.140625" customWidth="1"/>
    <col min="15" max="15" width="16.5703125" customWidth="1"/>
    <col min="16" max="16" width="14.5703125" customWidth="1"/>
    <col min="17" max="17" width="14.5703125" hidden="1" customWidth="1"/>
    <col min="18" max="18" width="0" hidden="1" customWidth="1"/>
    <col min="19" max="19" width="12.140625" customWidth="1"/>
    <col min="20" max="20" width="19.140625" hidden="1" customWidth="1"/>
    <col min="21" max="21" width="18.7109375" hidden="1" customWidth="1"/>
    <col min="22" max="22" width="17.42578125" customWidth="1"/>
    <col min="24" max="24" width="13.85546875" customWidth="1"/>
  </cols>
  <sheetData>
    <row r="1" spans="1:25" ht="15.75" thickBot="1" x14ac:dyDescent="0.3">
      <c r="A1" s="6" t="s">
        <v>311</v>
      </c>
      <c r="B1" s="6" t="s">
        <v>0</v>
      </c>
      <c r="C1" s="6" t="s">
        <v>312</v>
      </c>
      <c r="D1" s="6" t="s">
        <v>313</v>
      </c>
      <c r="E1" s="6" t="s">
        <v>314</v>
      </c>
      <c r="F1" s="6" t="s">
        <v>315</v>
      </c>
      <c r="G1" s="6" t="s">
        <v>316</v>
      </c>
      <c r="H1" s="6" t="s">
        <v>317</v>
      </c>
      <c r="I1" s="6" t="s">
        <v>318</v>
      </c>
      <c r="J1" s="6" t="s">
        <v>319</v>
      </c>
      <c r="K1" s="6" t="s">
        <v>320</v>
      </c>
      <c r="L1" s="6" t="s">
        <v>321</v>
      </c>
      <c r="M1" t="s">
        <v>1235</v>
      </c>
      <c r="N1" t="s">
        <v>1236</v>
      </c>
      <c r="O1" t="s">
        <v>1239</v>
      </c>
      <c r="P1" t="s">
        <v>1238</v>
      </c>
      <c r="Q1" t="s">
        <v>1240</v>
      </c>
      <c r="R1" t="s">
        <v>1237</v>
      </c>
      <c r="S1" t="s">
        <v>1241</v>
      </c>
      <c r="T1" t="s">
        <v>1243</v>
      </c>
      <c r="U1" t="s">
        <v>1244</v>
      </c>
      <c r="V1" t="s">
        <v>1242</v>
      </c>
      <c r="W1" t="s">
        <v>1245</v>
      </c>
      <c r="X1" t="s">
        <v>1246</v>
      </c>
      <c r="Y1" t="s">
        <v>1247</v>
      </c>
    </row>
    <row r="2" spans="1:25" x14ac:dyDescent="0.25">
      <c r="A2" s="7">
        <v>1</v>
      </c>
      <c r="B2" s="8" t="s">
        <v>302</v>
      </c>
      <c r="C2" s="9">
        <v>45686</v>
      </c>
      <c r="D2" s="8" t="s">
        <v>322</v>
      </c>
      <c r="E2" s="10" t="s">
        <v>323</v>
      </c>
      <c r="F2" s="8" t="s">
        <v>324</v>
      </c>
      <c r="G2" s="7">
        <v>2</v>
      </c>
      <c r="H2" s="11">
        <v>130</v>
      </c>
      <c r="I2" s="10" t="s">
        <v>325</v>
      </c>
      <c r="J2" s="8" t="s">
        <v>326</v>
      </c>
      <c r="K2" s="7">
        <v>0</v>
      </c>
      <c r="L2" s="8" t="s">
        <v>327</v>
      </c>
      <c r="M2">
        <f>YEAR(VentesMagasins!$C2)</f>
        <v>2025</v>
      </c>
      <c r="N2" t="e" cm="1" vm="1">
        <f t="array" aca="1" ref="N2" ca="1">MONTH(DateVente)</f>
        <v>#VALUE!</v>
      </c>
      <c r="O2" t="str">
        <f>PROPER(VentesMagasins!$F2)</f>
        <v>Électronique</v>
      </c>
      <c r="P2">
        <f>VALUE(CLEAN(TRIM(SUBSTITUTE(VentesMagasins!$I2,".",","))))</f>
        <v>0.15</v>
      </c>
      <c r="Q2">
        <f>VALUE(TRIM(SUBSTITUTE(VentesMagasins!$J2,".",",")))</f>
        <v>221</v>
      </c>
      <c r="R2">
        <f>Q2*(1-P2)</f>
        <v>187.85</v>
      </c>
      <c r="S2">
        <f>IF(VentesMagasins!$K2=1,(-1)*R2,R2)</f>
        <v>187.85</v>
      </c>
      <c r="T2">
        <f>IFERROR(VALUE(TRIM(SUBSTITUTE(VentesMagasins!$L2,".",","))),0)</f>
        <v>5</v>
      </c>
      <c r="U2">
        <f>ROUND(IF(T2=0,AVERAGE(T2:T1001),T2),0)</f>
        <v>5</v>
      </c>
      <c r="V2" t="str">
        <f>IF(AND(U2&gt;0,U2&lt;=2),"faible",IF(AND(U2&gt;=3,U2&lt;=4),"moyenne",IF(U2=5,"élévé",0)))</f>
        <v>élévé</v>
      </c>
      <c r="W2" t="str">
        <f>_xlfn.XLOOKUP(VentesMagasins!$B2,Clients!ClientID,Région)</f>
        <v>Est</v>
      </c>
      <c r="X2" t="str">
        <f>INDEX(TypeClient,MATCH(VentesMagasins!$B2,Clients!ClientID))</f>
        <v>Fidèle</v>
      </c>
      <c r="Y2" t="str" cm="1">
        <f t="array" ref="Y2:Y1001">TEXT(DateVente,"mmm")</f>
        <v>janv</v>
      </c>
    </row>
    <row r="3" spans="1:25" x14ac:dyDescent="0.25">
      <c r="A3" s="2">
        <v>2</v>
      </c>
      <c r="B3" s="12" t="s">
        <v>252</v>
      </c>
      <c r="C3" s="13">
        <v>45234</v>
      </c>
      <c r="D3" s="12" t="s">
        <v>328</v>
      </c>
      <c r="E3" s="14" t="s">
        <v>329</v>
      </c>
      <c r="F3" s="12" t="s">
        <v>330</v>
      </c>
      <c r="G3" s="2">
        <v>1</v>
      </c>
      <c r="H3" s="3">
        <v>70</v>
      </c>
      <c r="I3" s="14" t="s">
        <v>325</v>
      </c>
      <c r="J3" s="12" t="s">
        <v>331</v>
      </c>
      <c r="K3" s="2">
        <v>0</v>
      </c>
      <c r="L3" s="12" t="s">
        <v>332</v>
      </c>
      <c r="M3">
        <f>YEAR(VentesMagasins!$C3)</f>
        <v>2023</v>
      </c>
      <c r="N3" t="e" cm="1" vm="1">
        <f t="array" aca="1" ref="N3" ca="1">MONTH(DateVente)</f>
        <v>#VALUE!</v>
      </c>
      <c r="O3" t="str">
        <f>PROPER(VentesMagasins!$F3)</f>
        <v>Décoration</v>
      </c>
      <c r="P3">
        <f>VALUE(CLEAN(TRIM(SUBSTITUTE(VentesMagasins!$I3,".",","))))</f>
        <v>0.15</v>
      </c>
      <c r="Q3">
        <f>VALUE(TRIM(SUBSTITUTE(VentesMagasins!$J3,".",",")))</f>
        <v>59.5</v>
      </c>
      <c r="R3">
        <f t="shared" ref="R3:R66" si="0">Q3*(1-P3)</f>
        <v>50.574999999999996</v>
      </c>
      <c r="S3">
        <f>IF(VentesMagasins!$K3=1,(-1)*R3,R3)</f>
        <v>50.574999999999996</v>
      </c>
      <c r="T3">
        <f>IFERROR(VALUE(TRIM(SUBSTITUTE(VentesMagasins!$L3,".",","))),0)</f>
        <v>4</v>
      </c>
      <c r="U3">
        <f t="shared" ref="U3:U66" si="1">ROUND(IF(T3=0,AVERAGE(T3:T1002),T3),0)</f>
        <v>4</v>
      </c>
      <c r="V3" t="str">
        <f t="shared" ref="V3:V66" si="2">IF(AND(U3&gt;0,U3&lt;=2),"faible",IF(AND(U3&gt;=3,U3&lt;=4),"moyenne",IF(U3=5,"élévé",0)))</f>
        <v>moyenne</v>
      </c>
      <c r="W3" t="str">
        <f>_xlfn.XLOOKUP(VentesMagasins!$B3,Clients!ClientID,Région)</f>
        <v>Centre</v>
      </c>
      <c r="X3" t="str">
        <f>INDEX(TypeClient,MATCH(VentesMagasins!$B3,Clients!ClientID))</f>
        <v>Occasionnel</v>
      </c>
      <c r="Y3" t="str">
        <v>nov</v>
      </c>
    </row>
    <row r="4" spans="1:25" x14ac:dyDescent="0.25">
      <c r="A4" s="2">
        <v>3</v>
      </c>
      <c r="B4" s="12" t="s">
        <v>233</v>
      </c>
      <c r="C4" s="13">
        <v>45482</v>
      </c>
      <c r="D4" s="12" t="s">
        <v>333</v>
      </c>
      <c r="E4" s="14" t="s">
        <v>334</v>
      </c>
      <c r="F4" s="12" t="s">
        <v>330</v>
      </c>
      <c r="G4" s="2">
        <v>4</v>
      </c>
      <c r="H4" s="3">
        <v>93</v>
      </c>
      <c r="I4" s="14" t="s">
        <v>335</v>
      </c>
      <c r="J4" s="12" t="s">
        <v>336</v>
      </c>
      <c r="K4" s="2">
        <v>1</v>
      </c>
      <c r="L4" s="12" t="s">
        <v>337</v>
      </c>
      <c r="M4">
        <f>YEAR(VentesMagasins!$C4)</f>
        <v>2024</v>
      </c>
      <c r="N4" t="e" cm="1" vm="1">
        <f t="array" aca="1" ref="N4" ca="1">MONTH(DateVente)</f>
        <v>#VALUE!</v>
      </c>
      <c r="O4" t="str">
        <f>PROPER(VentesMagasins!$F4)</f>
        <v>Décoration</v>
      </c>
      <c r="P4">
        <f>VALUE(CLEAN(TRIM(SUBSTITUTE(VentesMagasins!$I4,".",","))))</f>
        <v>0</v>
      </c>
      <c r="Q4">
        <f>VALUE(TRIM(SUBSTITUTE(VentesMagasins!$J4,".",",")))</f>
        <v>372</v>
      </c>
      <c r="R4">
        <f t="shared" si="0"/>
        <v>372</v>
      </c>
      <c r="S4">
        <f>IF(VentesMagasins!$K4=1,(-1)*R4,R4)</f>
        <v>-372</v>
      </c>
      <c r="T4">
        <f>IFERROR(VALUE(TRIM(SUBSTITUTE(VentesMagasins!$L4,".",","))),0)</f>
        <v>3</v>
      </c>
      <c r="U4">
        <f t="shared" si="1"/>
        <v>3</v>
      </c>
      <c r="V4" t="str">
        <f t="shared" si="2"/>
        <v>moyenne</v>
      </c>
      <c r="W4" t="str">
        <f>_xlfn.XLOOKUP(VentesMagasins!$B4,Clients!ClientID,Région)</f>
        <v>Est</v>
      </c>
      <c r="X4" t="str">
        <f>INDEX(TypeClient,MATCH(VentesMagasins!$B4,Clients!ClientID))</f>
        <v>Fidèle</v>
      </c>
      <c r="Y4" t="str">
        <v>juil</v>
      </c>
    </row>
    <row r="5" spans="1:25" x14ac:dyDescent="0.25">
      <c r="A5" s="2">
        <v>4</v>
      </c>
      <c r="B5" s="12" t="s">
        <v>68</v>
      </c>
      <c r="C5" s="13">
        <v>45062</v>
      </c>
      <c r="D5" s="12" t="s">
        <v>338</v>
      </c>
      <c r="E5" s="14" t="s">
        <v>339</v>
      </c>
      <c r="F5" s="12" t="s">
        <v>330</v>
      </c>
      <c r="G5" s="2">
        <v>1</v>
      </c>
      <c r="H5" s="3">
        <v>114</v>
      </c>
      <c r="I5" s="14" t="s">
        <v>325</v>
      </c>
      <c r="J5" s="12" t="s">
        <v>340</v>
      </c>
      <c r="K5" s="2">
        <v>0</v>
      </c>
      <c r="L5" s="12" t="s">
        <v>332</v>
      </c>
      <c r="M5">
        <f>YEAR(VentesMagasins!$C5)</f>
        <v>2023</v>
      </c>
      <c r="N5" t="e" cm="1" vm="1">
        <f t="array" aca="1" ref="N5" ca="1">MONTH(DateVente)</f>
        <v>#VALUE!</v>
      </c>
      <c r="O5" t="str">
        <f>PROPER(VentesMagasins!$F5)</f>
        <v>Décoration</v>
      </c>
      <c r="P5">
        <f>VALUE(CLEAN(TRIM(SUBSTITUTE(VentesMagasins!$I5,".",","))))</f>
        <v>0.15</v>
      </c>
      <c r="Q5">
        <f>VALUE(TRIM(SUBSTITUTE(VentesMagasins!$J5,".",",")))</f>
        <v>96.899999999999906</v>
      </c>
      <c r="R5">
        <f t="shared" si="0"/>
        <v>82.364999999999924</v>
      </c>
      <c r="S5">
        <f>IF(VentesMagasins!$K5=1,(-1)*R5,R5)</f>
        <v>82.364999999999924</v>
      </c>
      <c r="T5">
        <f>IFERROR(VALUE(TRIM(SUBSTITUTE(VentesMagasins!$L5,".",","))),0)</f>
        <v>4</v>
      </c>
      <c r="U5">
        <f t="shared" si="1"/>
        <v>4</v>
      </c>
      <c r="V5" t="str">
        <f t="shared" si="2"/>
        <v>moyenne</v>
      </c>
      <c r="W5" t="str">
        <f>_xlfn.XLOOKUP(VentesMagasins!$B5,Clients!ClientID,Région)</f>
        <v>Nord</v>
      </c>
      <c r="X5" t="str">
        <f>INDEX(TypeClient,MATCH(VentesMagasins!$B5,Clients!ClientID))</f>
        <v>Occasionnel</v>
      </c>
      <c r="Y5" t="str">
        <v>mai</v>
      </c>
    </row>
    <row r="6" spans="1:25" x14ac:dyDescent="0.25">
      <c r="A6" s="2">
        <v>5</v>
      </c>
      <c r="B6" s="12" t="s">
        <v>69</v>
      </c>
      <c r="C6" s="13">
        <v>45414</v>
      </c>
      <c r="D6" s="12" t="s">
        <v>333</v>
      </c>
      <c r="E6" s="14" t="s">
        <v>334</v>
      </c>
      <c r="F6" s="12" t="s">
        <v>341</v>
      </c>
      <c r="G6" s="2">
        <v>4</v>
      </c>
      <c r="H6" s="3">
        <v>38</v>
      </c>
      <c r="I6" s="14" t="s">
        <v>342</v>
      </c>
      <c r="J6" s="12" t="s">
        <v>343</v>
      </c>
      <c r="K6" s="2">
        <v>0</v>
      </c>
      <c r="L6" s="12" t="s">
        <v>344</v>
      </c>
      <c r="M6">
        <f>YEAR(VentesMagasins!$C6)</f>
        <v>2024</v>
      </c>
      <c r="N6" t="e" cm="1" vm="1">
        <f t="array" aca="1" ref="N6" ca="1">MONTH(DateVente)</f>
        <v>#VALUE!</v>
      </c>
      <c r="O6" t="str">
        <f>PROPER(VentesMagasins!$F6)</f>
        <v>Meuble</v>
      </c>
      <c r="P6">
        <f>VALUE(CLEAN(TRIM(SUBSTITUTE(VentesMagasins!$I6,".",","))))</f>
        <v>0.05</v>
      </c>
      <c r="Q6">
        <f>VALUE(TRIM(SUBSTITUTE(VentesMagasins!$J6,".",",")))</f>
        <v>144.4</v>
      </c>
      <c r="R6">
        <f t="shared" si="0"/>
        <v>137.18</v>
      </c>
      <c r="S6">
        <f>IF(VentesMagasins!$K6=1,(-1)*R6,R6)</f>
        <v>137.18</v>
      </c>
      <c r="T6">
        <f>IFERROR(VALUE(TRIM(SUBSTITUTE(VentesMagasins!$L6,".",","))),0)</f>
        <v>2</v>
      </c>
      <c r="U6">
        <f t="shared" si="1"/>
        <v>2</v>
      </c>
      <c r="V6" t="str">
        <f t="shared" si="2"/>
        <v>faible</v>
      </c>
      <c r="W6" t="str">
        <f>_xlfn.XLOOKUP(VentesMagasins!$B6,Clients!ClientID,Région)</f>
        <v>Centre</v>
      </c>
      <c r="X6" t="str">
        <f>INDEX(TypeClient,MATCH(VentesMagasins!$B6,Clients!ClientID))</f>
        <v>Nouveau</v>
      </c>
      <c r="Y6" t="str">
        <v>mai</v>
      </c>
    </row>
    <row r="7" spans="1:25" x14ac:dyDescent="0.25">
      <c r="A7" s="2">
        <v>6</v>
      </c>
      <c r="B7" s="12" t="s">
        <v>149</v>
      </c>
      <c r="C7" s="13">
        <v>45439</v>
      </c>
      <c r="D7" s="12" t="s">
        <v>328</v>
      </c>
      <c r="E7" s="14" t="s">
        <v>345</v>
      </c>
      <c r="F7" s="12" t="s">
        <v>330</v>
      </c>
      <c r="G7" s="2">
        <v>3</v>
      </c>
      <c r="H7" s="3">
        <v>234</v>
      </c>
      <c r="I7" s="14" t="s">
        <v>342</v>
      </c>
      <c r="J7" s="12" t="s">
        <v>346</v>
      </c>
      <c r="K7" s="2">
        <v>0</v>
      </c>
      <c r="L7" s="12" t="s">
        <v>337</v>
      </c>
      <c r="M7">
        <f>YEAR(VentesMagasins!$C7)</f>
        <v>2024</v>
      </c>
      <c r="N7" t="e" cm="1" vm="1">
        <f t="array" aca="1" ref="N7" ca="1">MONTH(DateVente)</f>
        <v>#VALUE!</v>
      </c>
      <c r="O7" t="str">
        <f>PROPER(VentesMagasins!$F7)</f>
        <v>Décoration</v>
      </c>
      <c r="P7">
        <f>VALUE(CLEAN(TRIM(SUBSTITUTE(VentesMagasins!$I7,".",","))))</f>
        <v>0.05</v>
      </c>
      <c r="Q7">
        <f>VALUE(TRIM(SUBSTITUTE(VentesMagasins!$J7,".",",")))</f>
        <v>666.9</v>
      </c>
      <c r="R7">
        <f t="shared" si="0"/>
        <v>633.55499999999995</v>
      </c>
      <c r="S7">
        <f>IF(VentesMagasins!$K7=1,(-1)*R7,R7)</f>
        <v>633.55499999999995</v>
      </c>
      <c r="T7">
        <f>IFERROR(VALUE(TRIM(SUBSTITUTE(VentesMagasins!$L7,".",","))),0)</f>
        <v>3</v>
      </c>
      <c r="U7">
        <f t="shared" si="1"/>
        <v>3</v>
      </c>
      <c r="V7" t="str">
        <f t="shared" si="2"/>
        <v>moyenne</v>
      </c>
      <c r="W7" t="str">
        <f>_xlfn.XLOOKUP(VentesMagasins!$B7,Clients!ClientID,Région)</f>
        <v>Centre</v>
      </c>
      <c r="X7" t="str">
        <f>INDEX(TypeClient,MATCH(VentesMagasins!$B7,Clients!ClientID))</f>
        <v>Nouveau</v>
      </c>
      <c r="Y7" t="str">
        <v>mai</v>
      </c>
    </row>
    <row r="8" spans="1:25" x14ac:dyDescent="0.25">
      <c r="A8" s="2">
        <v>7</v>
      </c>
      <c r="B8" s="12" t="s">
        <v>105</v>
      </c>
      <c r="C8" s="13">
        <v>45046</v>
      </c>
      <c r="D8" s="12" t="s">
        <v>322</v>
      </c>
      <c r="E8" s="14" t="s">
        <v>339</v>
      </c>
      <c r="F8" s="12" t="s">
        <v>324</v>
      </c>
      <c r="G8" s="2">
        <v>3</v>
      </c>
      <c r="H8" s="3">
        <v>85</v>
      </c>
      <c r="I8" s="14" t="s">
        <v>335</v>
      </c>
      <c r="J8" s="12" t="s">
        <v>347</v>
      </c>
      <c r="K8" s="2">
        <v>0</v>
      </c>
      <c r="L8" s="12" t="s">
        <v>332</v>
      </c>
      <c r="M8">
        <f>YEAR(VentesMagasins!$C8)</f>
        <v>2023</v>
      </c>
      <c r="N8" t="e" cm="1" vm="1">
        <f t="array" aca="1" ref="N8" ca="1">MONTH(DateVente)</f>
        <v>#VALUE!</v>
      </c>
      <c r="O8" t="str">
        <f>PROPER(VentesMagasins!$F8)</f>
        <v>Électronique</v>
      </c>
      <c r="P8">
        <f>VALUE(CLEAN(TRIM(SUBSTITUTE(VentesMagasins!$I8,".",","))))</f>
        <v>0</v>
      </c>
      <c r="Q8">
        <f>VALUE(TRIM(SUBSTITUTE(VentesMagasins!$J8,".",",")))</f>
        <v>255</v>
      </c>
      <c r="R8">
        <f t="shared" si="0"/>
        <v>255</v>
      </c>
      <c r="S8">
        <f>IF(VentesMagasins!$K8=1,(-1)*R8,R8)</f>
        <v>255</v>
      </c>
      <c r="T8">
        <f>IFERROR(VALUE(TRIM(SUBSTITUTE(VentesMagasins!$L8,".",","))),0)</f>
        <v>4</v>
      </c>
      <c r="U8">
        <f t="shared" si="1"/>
        <v>4</v>
      </c>
      <c r="V8" t="str">
        <f t="shared" si="2"/>
        <v>moyenne</v>
      </c>
      <c r="W8" t="str">
        <f>_xlfn.XLOOKUP(VentesMagasins!$B8,Clients!ClientID,Région)</f>
        <v>Centre</v>
      </c>
      <c r="X8" t="str">
        <f>INDEX(TypeClient,MATCH(VentesMagasins!$B8,Clients!ClientID))</f>
        <v>Nouveau</v>
      </c>
      <c r="Y8" t="str">
        <v>avr</v>
      </c>
    </row>
    <row r="9" spans="1:25" x14ac:dyDescent="0.25">
      <c r="A9" s="2">
        <v>8</v>
      </c>
      <c r="B9" s="12" t="s">
        <v>155</v>
      </c>
      <c r="C9" s="13">
        <v>45312</v>
      </c>
      <c r="D9" s="12" t="s">
        <v>338</v>
      </c>
      <c r="E9" s="14" t="s">
        <v>348</v>
      </c>
      <c r="F9" s="12" t="s">
        <v>330</v>
      </c>
      <c r="G9" s="2">
        <v>4</v>
      </c>
      <c r="H9" s="3">
        <v>78</v>
      </c>
      <c r="I9" s="14" t="s">
        <v>335</v>
      </c>
      <c r="J9" s="12" t="s">
        <v>349</v>
      </c>
      <c r="K9" s="2">
        <v>0</v>
      </c>
      <c r="L9" s="12" t="s">
        <v>332</v>
      </c>
      <c r="M9">
        <f>YEAR(VentesMagasins!$C9)</f>
        <v>2024</v>
      </c>
      <c r="N9" t="e" cm="1" vm="1">
        <f t="array" aca="1" ref="N9" ca="1">MONTH(DateVente)</f>
        <v>#VALUE!</v>
      </c>
      <c r="O9" t="str">
        <f>PROPER(VentesMagasins!$F9)</f>
        <v>Décoration</v>
      </c>
      <c r="P9">
        <f>VALUE(CLEAN(TRIM(SUBSTITUTE(VentesMagasins!$I9,".",","))))</f>
        <v>0</v>
      </c>
      <c r="Q9">
        <f>VALUE(TRIM(SUBSTITUTE(VentesMagasins!$J9,".",",")))</f>
        <v>312</v>
      </c>
      <c r="R9">
        <f t="shared" si="0"/>
        <v>312</v>
      </c>
      <c r="S9">
        <f>IF(VentesMagasins!$K9=1,(-1)*R9,R9)</f>
        <v>312</v>
      </c>
      <c r="T9">
        <f>IFERROR(VALUE(TRIM(SUBSTITUTE(VentesMagasins!$L9,".",","))),0)</f>
        <v>4</v>
      </c>
      <c r="U9">
        <f t="shared" si="1"/>
        <v>4</v>
      </c>
      <c r="V9" t="str">
        <f t="shared" si="2"/>
        <v>moyenne</v>
      </c>
      <c r="W9" t="str">
        <f>_xlfn.XLOOKUP(VentesMagasins!$B9,Clients!ClientID,Région)</f>
        <v>Sud</v>
      </c>
      <c r="X9" t="str">
        <f>INDEX(TypeClient,MATCH(VentesMagasins!$B9,Clients!ClientID))</f>
        <v>Nouveau</v>
      </c>
      <c r="Y9" t="str">
        <v>janv</v>
      </c>
    </row>
    <row r="10" spans="1:25" x14ac:dyDescent="0.25">
      <c r="A10" s="2">
        <v>9</v>
      </c>
      <c r="B10" s="12" t="s">
        <v>146</v>
      </c>
      <c r="C10" s="13">
        <v>45947</v>
      </c>
      <c r="D10" s="12" t="s">
        <v>350</v>
      </c>
      <c r="E10" s="14" t="s">
        <v>345</v>
      </c>
      <c r="F10" s="12" t="s">
        <v>341</v>
      </c>
      <c r="G10" s="2">
        <v>2</v>
      </c>
      <c r="H10" s="3">
        <v>143</v>
      </c>
      <c r="I10" s="14" t="s">
        <v>335</v>
      </c>
      <c r="J10" s="12" t="s">
        <v>351</v>
      </c>
      <c r="K10" s="2">
        <v>0</v>
      </c>
      <c r="L10" s="12" t="s">
        <v>352</v>
      </c>
      <c r="M10">
        <f>YEAR(VentesMagasins!$C10)</f>
        <v>2025</v>
      </c>
      <c r="N10" t="e" cm="1" vm="1">
        <f t="array" aca="1" ref="N10" ca="1">MONTH(DateVente)</f>
        <v>#VALUE!</v>
      </c>
      <c r="O10" t="str">
        <f>PROPER(VentesMagasins!$F10)</f>
        <v>Meuble</v>
      </c>
      <c r="P10">
        <f>VALUE(CLEAN(TRIM(SUBSTITUTE(VentesMagasins!$I10,".",","))))</f>
        <v>0</v>
      </c>
      <c r="Q10">
        <f>VALUE(TRIM(SUBSTITUTE(VentesMagasins!$J10,".",",")))</f>
        <v>286</v>
      </c>
      <c r="R10">
        <f t="shared" si="0"/>
        <v>286</v>
      </c>
      <c r="S10">
        <f>IF(VentesMagasins!$K10=1,(-1)*R10,R10)</f>
        <v>286</v>
      </c>
      <c r="T10">
        <f>IFERROR(VALUE(TRIM(SUBSTITUTE(VentesMagasins!$L10,".",","))),0)</f>
        <v>0</v>
      </c>
      <c r="U10">
        <f t="shared" si="1"/>
        <v>3</v>
      </c>
      <c r="V10" t="str">
        <f t="shared" si="2"/>
        <v>moyenne</v>
      </c>
      <c r="W10" t="str">
        <f>_xlfn.XLOOKUP(VentesMagasins!$B10,Clients!ClientID,Région)</f>
        <v>Est</v>
      </c>
      <c r="X10" t="str">
        <f>INDEX(TypeClient,MATCH(VentesMagasins!$B10,Clients!ClientID))</f>
        <v>Occasionnel</v>
      </c>
      <c r="Y10" t="str">
        <v>oct</v>
      </c>
    </row>
    <row r="11" spans="1:25" x14ac:dyDescent="0.25">
      <c r="A11" s="2">
        <v>10</v>
      </c>
      <c r="B11" s="12" t="s">
        <v>306</v>
      </c>
      <c r="C11" s="13">
        <v>45557</v>
      </c>
      <c r="D11" s="12" t="s">
        <v>322</v>
      </c>
      <c r="E11" s="14" t="s">
        <v>339</v>
      </c>
      <c r="F11" s="12" t="s">
        <v>330</v>
      </c>
      <c r="G11" s="2">
        <v>1</v>
      </c>
      <c r="H11" s="3">
        <v>363</v>
      </c>
      <c r="I11" s="14" t="s">
        <v>335</v>
      </c>
      <c r="J11" s="12" t="s">
        <v>353</v>
      </c>
      <c r="K11" s="2">
        <v>0</v>
      </c>
      <c r="L11" s="12" t="s">
        <v>337</v>
      </c>
      <c r="M11">
        <f>YEAR(VentesMagasins!$C11)</f>
        <v>2024</v>
      </c>
      <c r="N11" t="e" cm="1" vm="1">
        <f t="array" aca="1" ref="N11" ca="1">MONTH(DateVente)</f>
        <v>#VALUE!</v>
      </c>
      <c r="O11" t="str">
        <f>PROPER(VentesMagasins!$F11)</f>
        <v>Décoration</v>
      </c>
      <c r="P11">
        <f>VALUE(CLEAN(TRIM(SUBSTITUTE(VentesMagasins!$I11,".",","))))</f>
        <v>0</v>
      </c>
      <c r="Q11">
        <f>VALUE(TRIM(SUBSTITUTE(VentesMagasins!$J11,".",",")))</f>
        <v>363</v>
      </c>
      <c r="R11">
        <f t="shared" si="0"/>
        <v>363</v>
      </c>
      <c r="S11">
        <f>IF(VentesMagasins!$K11=1,(-1)*R11,R11)</f>
        <v>363</v>
      </c>
      <c r="T11">
        <f>IFERROR(VALUE(TRIM(SUBSTITUTE(VentesMagasins!$L11,".",","))),0)</f>
        <v>3</v>
      </c>
      <c r="U11">
        <f t="shared" si="1"/>
        <v>3</v>
      </c>
      <c r="V11" t="str">
        <f t="shared" si="2"/>
        <v>moyenne</v>
      </c>
      <c r="W11" t="str">
        <f>_xlfn.XLOOKUP(VentesMagasins!$B11,Clients!ClientID,Région)</f>
        <v>Sud</v>
      </c>
      <c r="X11" t="str">
        <f>INDEX(TypeClient,MATCH(VentesMagasins!$B11,Clients!ClientID))</f>
        <v>Nouveau</v>
      </c>
      <c r="Y11" t="str">
        <v>sept</v>
      </c>
    </row>
    <row r="12" spans="1:25" x14ac:dyDescent="0.25">
      <c r="A12" s="2">
        <v>11</v>
      </c>
      <c r="B12" s="12" t="s">
        <v>70</v>
      </c>
      <c r="C12" s="13">
        <v>45257</v>
      </c>
      <c r="D12" s="12" t="s">
        <v>328</v>
      </c>
      <c r="E12" s="14" t="s">
        <v>323</v>
      </c>
      <c r="F12" s="12" t="s">
        <v>341</v>
      </c>
      <c r="G12" s="2">
        <v>3</v>
      </c>
      <c r="H12" s="3">
        <v>278</v>
      </c>
      <c r="I12" s="14" t="s">
        <v>342</v>
      </c>
      <c r="J12" s="12" t="s">
        <v>354</v>
      </c>
      <c r="K12" s="2">
        <v>1</v>
      </c>
      <c r="L12" s="12" t="s">
        <v>332</v>
      </c>
      <c r="M12">
        <f>YEAR(VentesMagasins!$C12)</f>
        <v>2023</v>
      </c>
      <c r="N12" t="e" cm="1" vm="1">
        <f t="array" aca="1" ref="N12" ca="1">MONTH(DateVente)</f>
        <v>#VALUE!</v>
      </c>
      <c r="O12" t="str">
        <f>PROPER(VentesMagasins!$F12)</f>
        <v>Meuble</v>
      </c>
      <c r="P12">
        <f>VALUE(CLEAN(TRIM(SUBSTITUTE(VentesMagasins!$I12,".",","))))</f>
        <v>0.05</v>
      </c>
      <c r="Q12">
        <f>VALUE(TRIM(SUBSTITUTE(VentesMagasins!$J12,".",",")))</f>
        <v>792.3</v>
      </c>
      <c r="R12">
        <f t="shared" si="0"/>
        <v>752.68499999999995</v>
      </c>
      <c r="S12">
        <f>IF(VentesMagasins!$K12=1,(-1)*R12,R12)</f>
        <v>-752.68499999999995</v>
      </c>
      <c r="T12">
        <f>IFERROR(VALUE(TRIM(SUBSTITUTE(VentesMagasins!$L12,".",","))),0)</f>
        <v>4</v>
      </c>
      <c r="U12">
        <f t="shared" si="1"/>
        <v>4</v>
      </c>
      <c r="V12" t="str">
        <f t="shared" si="2"/>
        <v>moyenne</v>
      </c>
      <c r="W12" t="str">
        <f>_xlfn.XLOOKUP(VentesMagasins!$B12,Clients!ClientID,Région)</f>
        <v>Ouest</v>
      </c>
      <c r="X12" t="str">
        <f>INDEX(TypeClient,MATCH(VentesMagasins!$B12,Clients!ClientID))</f>
        <v>Nouveau</v>
      </c>
      <c r="Y12" t="str">
        <v>nov</v>
      </c>
    </row>
    <row r="13" spans="1:25" x14ac:dyDescent="0.25">
      <c r="A13" s="2">
        <v>12</v>
      </c>
      <c r="B13" s="12" t="s">
        <v>11</v>
      </c>
      <c r="C13" s="13">
        <v>45501</v>
      </c>
      <c r="D13" s="12" t="s">
        <v>328</v>
      </c>
      <c r="E13" s="14" t="s">
        <v>329</v>
      </c>
      <c r="F13" s="12" t="s">
        <v>324</v>
      </c>
      <c r="G13" s="2">
        <v>5</v>
      </c>
      <c r="H13" s="3">
        <v>73</v>
      </c>
      <c r="I13" s="14" t="s">
        <v>355</v>
      </c>
      <c r="J13" s="12" t="s">
        <v>356</v>
      </c>
      <c r="K13" s="2">
        <v>1</v>
      </c>
      <c r="L13" s="12" t="s">
        <v>344</v>
      </c>
      <c r="M13">
        <f>YEAR(VentesMagasins!$C13)</f>
        <v>2024</v>
      </c>
      <c r="N13" t="e" cm="1" vm="1">
        <f t="array" aca="1" ref="N13" ca="1">MONTH(DateVente)</f>
        <v>#VALUE!</v>
      </c>
      <c r="O13" t="str">
        <f>PROPER(VentesMagasins!$F13)</f>
        <v>Électronique</v>
      </c>
      <c r="P13">
        <f>VALUE(CLEAN(TRIM(SUBSTITUTE(VentesMagasins!$I13,".",","))))</f>
        <v>0.1</v>
      </c>
      <c r="Q13">
        <f>VALUE(TRIM(SUBSTITUTE(VentesMagasins!$J13,".",",")))</f>
        <v>328.5</v>
      </c>
      <c r="R13">
        <f t="shared" si="0"/>
        <v>295.65000000000003</v>
      </c>
      <c r="S13">
        <f>IF(VentesMagasins!$K13=1,(-1)*R13,R13)</f>
        <v>-295.65000000000003</v>
      </c>
      <c r="T13">
        <f>IFERROR(VALUE(TRIM(SUBSTITUTE(VentesMagasins!$L13,".",","))),0)</f>
        <v>2</v>
      </c>
      <c r="U13">
        <f t="shared" si="1"/>
        <v>2</v>
      </c>
      <c r="V13" t="str">
        <f t="shared" si="2"/>
        <v>faible</v>
      </c>
      <c r="W13" t="str">
        <f>_xlfn.XLOOKUP(VentesMagasins!$B13,Clients!ClientID,Région)</f>
        <v>Centre</v>
      </c>
      <c r="X13" t="str">
        <f>INDEX(TypeClient,MATCH(VentesMagasins!$B13,Clients!ClientID))</f>
        <v>Fidèle</v>
      </c>
      <c r="Y13" t="str">
        <v>juil</v>
      </c>
    </row>
    <row r="14" spans="1:25" x14ac:dyDescent="0.25">
      <c r="A14" s="2">
        <v>13</v>
      </c>
      <c r="B14" s="12" t="s">
        <v>60</v>
      </c>
      <c r="C14" s="13">
        <v>45819</v>
      </c>
      <c r="D14" s="12" t="s">
        <v>333</v>
      </c>
      <c r="E14" s="14" t="s">
        <v>329</v>
      </c>
      <c r="F14" s="12" t="s">
        <v>330</v>
      </c>
      <c r="G14" s="2">
        <v>3</v>
      </c>
      <c r="H14" s="3">
        <v>294</v>
      </c>
      <c r="I14" s="14" t="s">
        <v>325</v>
      </c>
      <c r="J14" s="12" t="s">
        <v>357</v>
      </c>
      <c r="K14" s="2">
        <v>0</v>
      </c>
      <c r="L14" s="12" t="s">
        <v>327</v>
      </c>
      <c r="M14">
        <f>YEAR(VentesMagasins!$C14)</f>
        <v>2025</v>
      </c>
      <c r="N14" t="e" cm="1" vm="1">
        <f t="array" aca="1" ref="N14" ca="1">MONTH(DateVente)</f>
        <v>#VALUE!</v>
      </c>
      <c r="O14" t="str">
        <f>PROPER(VentesMagasins!$F14)</f>
        <v>Décoration</v>
      </c>
      <c r="P14">
        <f>VALUE(CLEAN(TRIM(SUBSTITUTE(VentesMagasins!$I14,".",","))))</f>
        <v>0.15</v>
      </c>
      <c r="Q14">
        <f>VALUE(TRIM(SUBSTITUTE(VentesMagasins!$J14,".",",")))</f>
        <v>749.69999999999902</v>
      </c>
      <c r="R14">
        <f t="shared" si="0"/>
        <v>637.24499999999921</v>
      </c>
      <c r="S14">
        <f>IF(VentesMagasins!$K14=1,(-1)*R14,R14)</f>
        <v>637.24499999999921</v>
      </c>
      <c r="T14">
        <f>IFERROR(VALUE(TRIM(SUBSTITUTE(VentesMagasins!$L14,".",","))),0)</f>
        <v>5</v>
      </c>
      <c r="U14">
        <f t="shared" si="1"/>
        <v>5</v>
      </c>
      <c r="V14" t="str">
        <f t="shared" si="2"/>
        <v>élévé</v>
      </c>
      <c r="W14" t="str">
        <f>_xlfn.XLOOKUP(VentesMagasins!$B14,Clients!ClientID,Région)</f>
        <v>Centre</v>
      </c>
      <c r="X14" t="str">
        <f>INDEX(TypeClient,MATCH(VentesMagasins!$B14,Clients!ClientID))</f>
        <v>Fidèle</v>
      </c>
      <c r="Y14" t="str">
        <v>juin</v>
      </c>
    </row>
    <row r="15" spans="1:25" x14ac:dyDescent="0.25">
      <c r="A15" s="2">
        <v>14</v>
      </c>
      <c r="B15" s="12" t="s">
        <v>161</v>
      </c>
      <c r="C15" s="13">
        <v>45343</v>
      </c>
      <c r="D15" s="12" t="s">
        <v>338</v>
      </c>
      <c r="E15" s="14" t="s">
        <v>323</v>
      </c>
      <c r="F15" s="12" t="s">
        <v>358</v>
      </c>
      <c r="G15" s="2">
        <v>1</v>
      </c>
      <c r="H15" s="3">
        <v>171</v>
      </c>
      <c r="I15" s="14" t="s">
        <v>355</v>
      </c>
      <c r="J15" s="12" t="s">
        <v>359</v>
      </c>
      <c r="K15" s="2">
        <v>0</v>
      </c>
      <c r="L15" s="12" t="s">
        <v>352</v>
      </c>
      <c r="M15">
        <f>YEAR(VentesMagasins!$C15)</f>
        <v>2024</v>
      </c>
      <c r="N15" t="e" cm="1" vm="1">
        <f t="array" aca="1" ref="N15" ca="1">MONTH(DateVente)</f>
        <v>#VALUE!</v>
      </c>
      <c r="O15" t="str">
        <f>PROPER(VentesMagasins!$F15)</f>
        <v>Électronique</v>
      </c>
      <c r="P15">
        <f>VALUE(CLEAN(TRIM(SUBSTITUTE(VentesMagasins!$I15,".",","))))</f>
        <v>0.1</v>
      </c>
      <c r="Q15">
        <f>VALUE(TRIM(SUBSTITUTE(VentesMagasins!$J15,".",",")))</f>
        <v>153.9</v>
      </c>
      <c r="R15">
        <f t="shared" si="0"/>
        <v>138.51000000000002</v>
      </c>
      <c r="S15">
        <f>IF(VentesMagasins!$K15=1,(-1)*R15,R15)</f>
        <v>138.51000000000002</v>
      </c>
      <c r="T15">
        <f>IFERROR(VALUE(TRIM(SUBSTITUTE(VentesMagasins!$L15,".",","))),0)</f>
        <v>0</v>
      </c>
      <c r="U15">
        <f t="shared" si="1"/>
        <v>3</v>
      </c>
      <c r="V15" t="str">
        <f t="shared" si="2"/>
        <v>moyenne</v>
      </c>
      <c r="W15" t="str">
        <f>_xlfn.XLOOKUP(VentesMagasins!$B15,Clients!ClientID,Région)</f>
        <v>Centre</v>
      </c>
      <c r="X15" t="str">
        <f>INDEX(TypeClient,MATCH(VentesMagasins!$B15,Clients!ClientID))</f>
        <v>Nouveau</v>
      </c>
      <c r="Y15" t="str">
        <v>févr</v>
      </c>
    </row>
    <row r="16" spans="1:25" x14ac:dyDescent="0.25">
      <c r="A16" s="2">
        <v>15</v>
      </c>
      <c r="B16" s="12" t="s">
        <v>139</v>
      </c>
      <c r="C16" s="13">
        <v>45934</v>
      </c>
      <c r="D16" s="12" t="s">
        <v>360</v>
      </c>
      <c r="E16" s="14" t="s">
        <v>323</v>
      </c>
      <c r="F16" s="12" t="s">
        <v>330</v>
      </c>
      <c r="G16" s="2">
        <v>3</v>
      </c>
      <c r="H16" s="3">
        <v>350</v>
      </c>
      <c r="I16" s="14" t="s">
        <v>355</v>
      </c>
      <c r="J16" s="12" t="s">
        <v>361</v>
      </c>
      <c r="K16" s="2">
        <v>0</v>
      </c>
      <c r="L16" s="12" t="s">
        <v>327</v>
      </c>
      <c r="M16">
        <f>YEAR(VentesMagasins!$C16)</f>
        <v>2025</v>
      </c>
      <c r="N16" t="e" cm="1" vm="1">
        <f t="array" aca="1" ref="N16" ca="1">MONTH(DateVente)</f>
        <v>#VALUE!</v>
      </c>
      <c r="O16" t="str">
        <f>PROPER(VentesMagasins!$F16)</f>
        <v>Décoration</v>
      </c>
      <c r="P16">
        <f>VALUE(CLEAN(TRIM(SUBSTITUTE(VentesMagasins!$I16,".",","))))</f>
        <v>0.1</v>
      </c>
      <c r="Q16">
        <f>VALUE(TRIM(SUBSTITUTE(VentesMagasins!$J16,".",",")))</f>
        <v>945</v>
      </c>
      <c r="R16">
        <f t="shared" si="0"/>
        <v>850.5</v>
      </c>
      <c r="S16">
        <f>IF(VentesMagasins!$K16=1,(-1)*R16,R16)</f>
        <v>850.5</v>
      </c>
      <c r="T16">
        <f>IFERROR(VALUE(TRIM(SUBSTITUTE(VentesMagasins!$L16,".",","))),0)</f>
        <v>5</v>
      </c>
      <c r="U16">
        <f t="shared" si="1"/>
        <v>5</v>
      </c>
      <c r="V16" t="str">
        <f t="shared" si="2"/>
        <v>élévé</v>
      </c>
      <c r="W16" t="str">
        <f>_xlfn.XLOOKUP(VentesMagasins!$B16,Clients!ClientID,Région)</f>
        <v>Sud</v>
      </c>
      <c r="X16" t="str">
        <f>INDEX(TypeClient,MATCH(VentesMagasins!$B16,Clients!ClientID))</f>
        <v>Nouveau</v>
      </c>
      <c r="Y16" t="str">
        <v>oct</v>
      </c>
    </row>
    <row r="17" spans="1:25" x14ac:dyDescent="0.25">
      <c r="A17" s="2">
        <v>16</v>
      </c>
      <c r="B17" s="12" t="s">
        <v>243</v>
      </c>
      <c r="C17" s="13">
        <v>45011</v>
      </c>
      <c r="D17" s="12" t="s">
        <v>328</v>
      </c>
      <c r="E17" s="14" t="s">
        <v>362</v>
      </c>
      <c r="F17" s="12" t="s">
        <v>330</v>
      </c>
      <c r="G17" s="2">
        <v>5</v>
      </c>
      <c r="H17" s="3">
        <v>146</v>
      </c>
      <c r="I17" s="14" t="s">
        <v>335</v>
      </c>
      <c r="J17" s="12" t="s">
        <v>363</v>
      </c>
      <c r="K17" s="2">
        <v>0</v>
      </c>
      <c r="L17" s="12" t="s">
        <v>332</v>
      </c>
      <c r="M17">
        <f>YEAR(VentesMagasins!$C17)</f>
        <v>2023</v>
      </c>
      <c r="N17" t="e" cm="1" vm="1">
        <f t="array" aca="1" ref="N17" ca="1">MONTH(DateVente)</f>
        <v>#VALUE!</v>
      </c>
      <c r="O17" t="str">
        <f>PROPER(VentesMagasins!$F17)</f>
        <v>Décoration</v>
      </c>
      <c r="P17">
        <f>VALUE(CLEAN(TRIM(SUBSTITUTE(VentesMagasins!$I17,".",","))))</f>
        <v>0</v>
      </c>
      <c r="Q17">
        <f>VALUE(TRIM(SUBSTITUTE(VentesMagasins!$J17,".",",")))</f>
        <v>730</v>
      </c>
      <c r="R17">
        <f t="shared" si="0"/>
        <v>730</v>
      </c>
      <c r="S17">
        <f>IF(VentesMagasins!$K17=1,(-1)*R17,R17)</f>
        <v>730</v>
      </c>
      <c r="T17">
        <f>IFERROR(VALUE(TRIM(SUBSTITUTE(VentesMagasins!$L17,".",","))),0)</f>
        <v>4</v>
      </c>
      <c r="U17">
        <f t="shared" si="1"/>
        <v>4</v>
      </c>
      <c r="V17" t="str">
        <f t="shared" si="2"/>
        <v>moyenne</v>
      </c>
      <c r="W17" t="str">
        <f>_xlfn.XLOOKUP(VentesMagasins!$B17,Clients!ClientID,Région)</f>
        <v>Nord</v>
      </c>
      <c r="X17" t="str">
        <f>INDEX(TypeClient,MATCH(VentesMagasins!$B17,Clients!ClientID))</f>
        <v>Fidèle</v>
      </c>
      <c r="Y17" t="str">
        <v>mars</v>
      </c>
    </row>
    <row r="18" spans="1:25" x14ac:dyDescent="0.25">
      <c r="A18" s="2">
        <v>17</v>
      </c>
      <c r="B18" s="12" t="s">
        <v>115</v>
      </c>
      <c r="C18" s="13">
        <v>45669</v>
      </c>
      <c r="D18" s="12" t="s">
        <v>328</v>
      </c>
      <c r="E18" s="14" t="s">
        <v>364</v>
      </c>
      <c r="F18" s="12" t="s">
        <v>341</v>
      </c>
      <c r="G18" s="2">
        <v>5</v>
      </c>
      <c r="H18" s="3">
        <v>456</v>
      </c>
      <c r="I18" s="14" t="s">
        <v>355</v>
      </c>
      <c r="J18" s="12" t="s">
        <v>365</v>
      </c>
      <c r="K18" s="2">
        <v>0</v>
      </c>
      <c r="L18" s="12" t="s">
        <v>327</v>
      </c>
      <c r="M18">
        <f>YEAR(VentesMagasins!$C18)</f>
        <v>2025</v>
      </c>
      <c r="N18" t="e" cm="1" vm="1">
        <f t="array" aca="1" ref="N18" ca="1">MONTH(DateVente)</f>
        <v>#VALUE!</v>
      </c>
      <c r="O18" t="str">
        <f>PROPER(VentesMagasins!$F18)</f>
        <v>Meuble</v>
      </c>
      <c r="P18">
        <f>VALUE(CLEAN(TRIM(SUBSTITUTE(VentesMagasins!$I18,".",","))))</f>
        <v>0.1</v>
      </c>
      <c r="Q18">
        <f>VALUE(TRIM(SUBSTITUTE(VentesMagasins!$J18,".",",")))</f>
        <v>2052</v>
      </c>
      <c r="R18">
        <f t="shared" si="0"/>
        <v>1846.8</v>
      </c>
      <c r="S18">
        <f>IF(VentesMagasins!$K18=1,(-1)*R18,R18)</f>
        <v>1846.8</v>
      </c>
      <c r="T18">
        <f>IFERROR(VALUE(TRIM(SUBSTITUTE(VentesMagasins!$L18,".",","))),0)</f>
        <v>5</v>
      </c>
      <c r="U18">
        <f t="shared" si="1"/>
        <v>5</v>
      </c>
      <c r="V18" t="str">
        <f t="shared" si="2"/>
        <v>élévé</v>
      </c>
      <c r="W18" t="str">
        <f>_xlfn.XLOOKUP(VentesMagasins!$B18,Clients!ClientID,Région)</f>
        <v>Centre</v>
      </c>
      <c r="X18" t="str">
        <f>INDEX(TypeClient,MATCH(VentesMagasins!$B18,Clients!ClientID))</f>
        <v>Fidèle</v>
      </c>
      <c r="Y18" t="str">
        <v>janv</v>
      </c>
    </row>
    <row r="19" spans="1:25" x14ac:dyDescent="0.25">
      <c r="A19" s="2">
        <v>18</v>
      </c>
      <c r="B19" s="12" t="s">
        <v>194</v>
      </c>
      <c r="C19" s="13">
        <v>45669</v>
      </c>
      <c r="D19" s="12" t="s">
        <v>322</v>
      </c>
      <c r="E19" s="14" t="s">
        <v>345</v>
      </c>
      <c r="F19" s="12" t="s">
        <v>324</v>
      </c>
      <c r="G19" s="2">
        <v>4</v>
      </c>
      <c r="H19" s="3">
        <v>184</v>
      </c>
      <c r="I19" s="14" t="s">
        <v>325</v>
      </c>
      <c r="J19" s="12" t="s">
        <v>366</v>
      </c>
      <c r="K19" s="2">
        <v>0</v>
      </c>
      <c r="L19" s="12" t="s">
        <v>327</v>
      </c>
      <c r="M19">
        <f>YEAR(VentesMagasins!$C19)</f>
        <v>2025</v>
      </c>
      <c r="N19" t="e" cm="1" vm="1">
        <f t="array" aca="1" ref="N19" ca="1">MONTH(DateVente)</f>
        <v>#VALUE!</v>
      </c>
      <c r="O19" t="str">
        <f>PROPER(VentesMagasins!$F19)</f>
        <v>Électronique</v>
      </c>
      <c r="P19">
        <f>VALUE(CLEAN(TRIM(SUBSTITUTE(VentesMagasins!$I19,".",","))))</f>
        <v>0.15</v>
      </c>
      <c r="Q19">
        <f>VALUE(TRIM(SUBSTITUTE(VentesMagasins!$J19,".",",")))</f>
        <v>625.6</v>
      </c>
      <c r="R19">
        <f t="shared" si="0"/>
        <v>531.76</v>
      </c>
      <c r="S19">
        <f>IF(VentesMagasins!$K19=1,(-1)*R19,R19)</f>
        <v>531.76</v>
      </c>
      <c r="T19">
        <f>IFERROR(VALUE(TRIM(SUBSTITUTE(VentesMagasins!$L19,".",","))),0)</f>
        <v>5</v>
      </c>
      <c r="U19">
        <f t="shared" si="1"/>
        <v>5</v>
      </c>
      <c r="V19" t="str">
        <f t="shared" si="2"/>
        <v>élévé</v>
      </c>
      <c r="W19" t="str">
        <f>_xlfn.XLOOKUP(VentesMagasins!$B19,Clients!ClientID,Région)</f>
        <v>Centre</v>
      </c>
      <c r="X19" t="str">
        <f>INDEX(TypeClient,MATCH(VentesMagasins!$B19,Clients!ClientID))</f>
        <v>Fidèle</v>
      </c>
      <c r="Y19" t="str">
        <v>janv</v>
      </c>
    </row>
    <row r="20" spans="1:25" x14ac:dyDescent="0.25">
      <c r="A20" s="2">
        <v>19</v>
      </c>
      <c r="B20" s="12" t="s">
        <v>193</v>
      </c>
      <c r="C20" s="13">
        <v>45299</v>
      </c>
      <c r="D20" s="12" t="s">
        <v>328</v>
      </c>
      <c r="E20" s="14" t="s">
        <v>334</v>
      </c>
      <c r="F20" s="12" t="s">
        <v>324</v>
      </c>
      <c r="G20" s="2">
        <v>3</v>
      </c>
      <c r="H20" s="3">
        <v>141</v>
      </c>
      <c r="I20" s="14" t="s">
        <v>355</v>
      </c>
      <c r="J20" s="12" t="s">
        <v>367</v>
      </c>
      <c r="K20" s="2">
        <v>0</v>
      </c>
      <c r="L20" s="12" t="s">
        <v>332</v>
      </c>
      <c r="M20">
        <f>YEAR(VentesMagasins!$C20)</f>
        <v>2024</v>
      </c>
      <c r="N20" t="e" cm="1" vm="1">
        <f t="array" aca="1" ref="N20" ca="1">MONTH(DateVente)</f>
        <v>#VALUE!</v>
      </c>
      <c r="O20" t="str">
        <f>PROPER(VentesMagasins!$F20)</f>
        <v>Électronique</v>
      </c>
      <c r="P20">
        <f>VALUE(CLEAN(TRIM(SUBSTITUTE(VentesMagasins!$I20,".",","))))</f>
        <v>0.1</v>
      </c>
      <c r="Q20">
        <f>VALUE(TRIM(SUBSTITUTE(VentesMagasins!$J20,".",",")))</f>
        <v>380.7</v>
      </c>
      <c r="R20">
        <f t="shared" si="0"/>
        <v>342.63</v>
      </c>
      <c r="S20">
        <f>IF(VentesMagasins!$K20=1,(-1)*R20,R20)</f>
        <v>342.63</v>
      </c>
      <c r="T20">
        <f>IFERROR(VALUE(TRIM(SUBSTITUTE(VentesMagasins!$L20,".",","))),0)</f>
        <v>4</v>
      </c>
      <c r="U20">
        <f t="shared" si="1"/>
        <v>4</v>
      </c>
      <c r="V20" t="str">
        <f t="shared" si="2"/>
        <v>moyenne</v>
      </c>
      <c r="W20" t="str">
        <f>_xlfn.XLOOKUP(VentesMagasins!$B20,Clients!ClientID,Région)</f>
        <v>Sud</v>
      </c>
      <c r="X20" t="str">
        <f>INDEX(TypeClient,MATCH(VentesMagasins!$B20,Clients!ClientID))</f>
        <v>Occasionnel</v>
      </c>
      <c r="Y20" t="str">
        <v>janv</v>
      </c>
    </row>
    <row r="21" spans="1:25" x14ac:dyDescent="0.25">
      <c r="A21" s="2">
        <v>20</v>
      </c>
      <c r="B21" s="12" t="s">
        <v>244</v>
      </c>
      <c r="C21" s="13">
        <v>45404</v>
      </c>
      <c r="D21" s="12" t="s">
        <v>338</v>
      </c>
      <c r="E21" s="14" t="s">
        <v>329</v>
      </c>
      <c r="F21" s="12" t="s">
        <v>341</v>
      </c>
      <c r="G21" s="2">
        <v>3</v>
      </c>
      <c r="H21" s="3">
        <v>330</v>
      </c>
      <c r="I21" s="14" t="s">
        <v>325</v>
      </c>
      <c r="J21" s="12" t="s">
        <v>368</v>
      </c>
      <c r="K21" s="2">
        <v>0</v>
      </c>
      <c r="L21" s="12" t="s">
        <v>369</v>
      </c>
      <c r="M21">
        <f>YEAR(VentesMagasins!$C21)</f>
        <v>2024</v>
      </c>
      <c r="N21" t="e" cm="1" vm="1">
        <f t="array" aca="1" ref="N21" ca="1">MONTH(DateVente)</f>
        <v>#VALUE!</v>
      </c>
      <c r="O21" t="str">
        <f>PROPER(VentesMagasins!$F21)</f>
        <v>Meuble</v>
      </c>
      <c r="P21">
        <f>VALUE(CLEAN(TRIM(SUBSTITUTE(VentesMagasins!$I21,".",","))))</f>
        <v>0.15</v>
      </c>
      <c r="Q21">
        <f>VALUE(TRIM(SUBSTITUTE(VentesMagasins!$J21,".",",")))</f>
        <v>841.5</v>
      </c>
      <c r="R21">
        <f t="shared" si="0"/>
        <v>715.27499999999998</v>
      </c>
      <c r="S21">
        <f>IF(VentesMagasins!$K21=1,(-1)*R21,R21)</f>
        <v>715.27499999999998</v>
      </c>
      <c r="T21">
        <f>IFERROR(VALUE(TRIM(SUBSTITUTE(VentesMagasins!$L21,".",","))),0)</f>
        <v>1</v>
      </c>
      <c r="U21">
        <f t="shared" si="1"/>
        <v>1</v>
      </c>
      <c r="V21" t="str">
        <f t="shared" si="2"/>
        <v>faible</v>
      </c>
      <c r="W21" t="str">
        <f>_xlfn.XLOOKUP(VentesMagasins!$B21,Clients!ClientID,Région)</f>
        <v>Sud</v>
      </c>
      <c r="X21" t="str">
        <f>INDEX(TypeClient,MATCH(VentesMagasins!$B21,Clients!ClientID))</f>
        <v>Occasionnel</v>
      </c>
      <c r="Y21" t="str">
        <v>avr</v>
      </c>
    </row>
    <row r="22" spans="1:25" x14ac:dyDescent="0.25">
      <c r="A22" s="2">
        <v>21</v>
      </c>
      <c r="B22" s="12" t="s">
        <v>301</v>
      </c>
      <c r="C22" s="13">
        <v>45318</v>
      </c>
      <c r="D22" s="12" t="s">
        <v>350</v>
      </c>
      <c r="E22" s="14" t="s">
        <v>334</v>
      </c>
      <c r="F22" s="12" t="s">
        <v>330</v>
      </c>
      <c r="G22" s="2">
        <v>4</v>
      </c>
      <c r="H22" s="3">
        <v>443</v>
      </c>
      <c r="I22" s="14" t="s">
        <v>325</v>
      </c>
      <c r="J22" s="12" t="s">
        <v>370</v>
      </c>
      <c r="K22" s="2">
        <v>0</v>
      </c>
      <c r="L22" s="12" t="s">
        <v>332</v>
      </c>
      <c r="M22">
        <f>YEAR(VentesMagasins!$C22)</f>
        <v>2024</v>
      </c>
      <c r="N22" t="e" cm="1" vm="1">
        <f t="array" aca="1" ref="N22" ca="1">MONTH(DateVente)</f>
        <v>#VALUE!</v>
      </c>
      <c r="O22" t="str">
        <f>PROPER(VentesMagasins!$F22)</f>
        <v>Décoration</v>
      </c>
      <c r="P22">
        <f>VALUE(CLEAN(TRIM(SUBSTITUTE(VentesMagasins!$I22,".",","))))</f>
        <v>0.15</v>
      </c>
      <c r="Q22">
        <f>VALUE(TRIM(SUBSTITUTE(VentesMagasins!$J22,".",",")))</f>
        <v>1506.2</v>
      </c>
      <c r="R22">
        <f t="shared" si="0"/>
        <v>1280.27</v>
      </c>
      <c r="S22">
        <f>IF(VentesMagasins!$K22=1,(-1)*R22,R22)</f>
        <v>1280.27</v>
      </c>
      <c r="T22">
        <f>IFERROR(VALUE(TRIM(SUBSTITUTE(VentesMagasins!$L22,".",","))),0)</f>
        <v>4</v>
      </c>
      <c r="U22">
        <f t="shared" si="1"/>
        <v>4</v>
      </c>
      <c r="V22" t="str">
        <f t="shared" si="2"/>
        <v>moyenne</v>
      </c>
      <c r="W22" t="str">
        <f>_xlfn.XLOOKUP(VentesMagasins!$B22,Clients!ClientID,Région)</f>
        <v>Nord</v>
      </c>
      <c r="X22" t="str">
        <f>INDEX(TypeClient,MATCH(VentesMagasins!$B22,Clients!ClientID))</f>
        <v>Fidèle</v>
      </c>
      <c r="Y22" t="str">
        <v>janv</v>
      </c>
    </row>
    <row r="23" spans="1:25" x14ac:dyDescent="0.25">
      <c r="A23" s="2">
        <v>22</v>
      </c>
      <c r="B23" s="12" t="s">
        <v>225</v>
      </c>
      <c r="C23" s="13">
        <v>45877</v>
      </c>
      <c r="D23" s="12" t="s">
        <v>328</v>
      </c>
      <c r="E23" s="14" t="s">
        <v>362</v>
      </c>
      <c r="F23" s="12" t="s">
        <v>324</v>
      </c>
      <c r="G23" s="2">
        <v>3</v>
      </c>
      <c r="H23" s="3">
        <v>342</v>
      </c>
      <c r="I23" s="14" t="s">
        <v>342</v>
      </c>
      <c r="J23" s="12" t="s">
        <v>371</v>
      </c>
      <c r="K23" s="2">
        <v>1</v>
      </c>
      <c r="L23" s="12" t="s">
        <v>337</v>
      </c>
      <c r="M23">
        <f>YEAR(VentesMagasins!$C23)</f>
        <v>2025</v>
      </c>
      <c r="N23" t="e" cm="1" vm="1">
        <f t="array" aca="1" ref="N23" ca="1">MONTH(DateVente)</f>
        <v>#VALUE!</v>
      </c>
      <c r="O23" t="str">
        <f>PROPER(VentesMagasins!$F23)</f>
        <v>Électronique</v>
      </c>
      <c r="P23">
        <f>VALUE(CLEAN(TRIM(SUBSTITUTE(VentesMagasins!$I23,".",","))))</f>
        <v>0.05</v>
      </c>
      <c r="Q23">
        <f>VALUE(TRIM(SUBSTITUTE(VentesMagasins!$J23,".",",")))</f>
        <v>974.69999999999902</v>
      </c>
      <c r="R23">
        <f t="shared" si="0"/>
        <v>925.96499999999901</v>
      </c>
      <c r="S23">
        <f>IF(VentesMagasins!$K23=1,(-1)*R23,R23)</f>
        <v>-925.96499999999901</v>
      </c>
      <c r="T23">
        <f>IFERROR(VALUE(TRIM(SUBSTITUTE(VentesMagasins!$L23,".",","))),0)</f>
        <v>3</v>
      </c>
      <c r="U23">
        <f t="shared" si="1"/>
        <v>3</v>
      </c>
      <c r="V23" t="str">
        <f t="shared" si="2"/>
        <v>moyenne</v>
      </c>
      <c r="W23" t="str">
        <f>_xlfn.XLOOKUP(VentesMagasins!$B23,Clients!ClientID,Région)</f>
        <v>Est</v>
      </c>
      <c r="X23" t="str">
        <f>INDEX(TypeClient,MATCH(VentesMagasins!$B23,Clients!ClientID))</f>
        <v>Fidèle</v>
      </c>
      <c r="Y23" t="str">
        <v>août</v>
      </c>
    </row>
    <row r="24" spans="1:25" x14ac:dyDescent="0.25">
      <c r="A24" s="2">
        <v>23</v>
      </c>
      <c r="B24" s="12" t="s">
        <v>70</v>
      </c>
      <c r="C24" s="13">
        <v>45916</v>
      </c>
      <c r="D24" s="12" t="s">
        <v>338</v>
      </c>
      <c r="E24" s="14" t="s">
        <v>362</v>
      </c>
      <c r="F24" s="12" t="s">
        <v>324</v>
      </c>
      <c r="G24" s="2">
        <v>1</v>
      </c>
      <c r="H24" s="3">
        <v>55</v>
      </c>
      <c r="I24" s="14" t="s">
        <v>355</v>
      </c>
      <c r="J24" s="12" t="s">
        <v>372</v>
      </c>
      <c r="K24" s="2">
        <v>1</v>
      </c>
      <c r="L24" s="12" t="s">
        <v>332</v>
      </c>
      <c r="M24">
        <f>YEAR(VentesMagasins!$C24)</f>
        <v>2025</v>
      </c>
      <c r="N24" t="e" cm="1" vm="1">
        <f t="array" aca="1" ref="N24" ca="1">MONTH(DateVente)</f>
        <v>#VALUE!</v>
      </c>
      <c r="O24" t="str">
        <f>PROPER(VentesMagasins!$F24)</f>
        <v>Électronique</v>
      </c>
      <c r="P24">
        <f>VALUE(CLEAN(TRIM(SUBSTITUTE(VentesMagasins!$I24,".",","))))</f>
        <v>0.1</v>
      </c>
      <c r="Q24">
        <f>VALUE(TRIM(SUBSTITUTE(VentesMagasins!$J24,".",",")))</f>
        <v>49.5</v>
      </c>
      <c r="R24">
        <f t="shared" si="0"/>
        <v>44.550000000000004</v>
      </c>
      <c r="S24">
        <f>IF(VentesMagasins!$K24=1,(-1)*R24,R24)</f>
        <v>-44.550000000000004</v>
      </c>
      <c r="T24">
        <f>IFERROR(VALUE(TRIM(SUBSTITUTE(VentesMagasins!$L24,".",","))),0)</f>
        <v>4</v>
      </c>
      <c r="U24">
        <f t="shared" si="1"/>
        <v>4</v>
      </c>
      <c r="V24" t="str">
        <f t="shared" si="2"/>
        <v>moyenne</v>
      </c>
      <c r="W24" t="str">
        <f>_xlfn.XLOOKUP(VentesMagasins!$B24,Clients!ClientID,Région)</f>
        <v>Ouest</v>
      </c>
      <c r="X24" t="str">
        <f>INDEX(TypeClient,MATCH(VentesMagasins!$B24,Clients!ClientID))</f>
        <v>Nouveau</v>
      </c>
      <c r="Y24" t="str">
        <v>sept</v>
      </c>
    </row>
    <row r="25" spans="1:25" x14ac:dyDescent="0.25">
      <c r="A25" s="2">
        <v>24</v>
      </c>
      <c r="B25" s="12" t="s">
        <v>151</v>
      </c>
      <c r="C25" s="13">
        <v>45352</v>
      </c>
      <c r="D25" s="12" t="s">
        <v>328</v>
      </c>
      <c r="E25" s="14" t="s">
        <v>323</v>
      </c>
      <c r="F25" s="12" t="s">
        <v>330</v>
      </c>
      <c r="G25" s="2">
        <v>5</v>
      </c>
      <c r="H25" s="3">
        <v>102</v>
      </c>
      <c r="I25" s="14" t="s">
        <v>335</v>
      </c>
      <c r="J25" s="12" t="s">
        <v>373</v>
      </c>
      <c r="K25" s="2">
        <v>1</v>
      </c>
      <c r="L25" s="12" t="s">
        <v>369</v>
      </c>
      <c r="M25">
        <f>YEAR(VentesMagasins!$C25)</f>
        <v>2024</v>
      </c>
      <c r="N25" t="e" cm="1" vm="1">
        <f t="array" aca="1" ref="N25" ca="1">MONTH(DateVente)</f>
        <v>#VALUE!</v>
      </c>
      <c r="O25" t="str">
        <f>PROPER(VentesMagasins!$F25)</f>
        <v>Décoration</v>
      </c>
      <c r="P25">
        <f>VALUE(CLEAN(TRIM(SUBSTITUTE(VentesMagasins!$I25,".",","))))</f>
        <v>0</v>
      </c>
      <c r="Q25">
        <f>VALUE(TRIM(SUBSTITUTE(VentesMagasins!$J25,".",",")))</f>
        <v>510</v>
      </c>
      <c r="R25">
        <f t="shared" si="0"/>
        <v>510</v>
      </c>
      <c r="S25">
        <f>IF(VentesMagasins!$K25=1,(-1)*R25,R25)</f>
        <v>-510</v>
      </c>
      <c r="T25">
        <f>IFERROR(VALUE(TRIM(SUBSTITUTE(VentesMagasins!$L25,".",","))),0)</f>
        <v>1</v>
      </c>
      <c r="U25">
        <f t="shared" si="1"/>
        <v>1</v>
      </c>
      <c r="V25" t="str">
        <f t="shared" si="2"/>
        <v>faible</v>
      </c>
      <c r="W25" t="str">
        <f>_xlfn.XLOOKUP(VentesMagasins!$B25,Clients!ClientID,Région)</f>
        <v>Centre</v>
      </c>
      <c r="X25" t="str">
        <f>INDEX(TypeClient,MATCH(VentesMagasins!$B25,Clients!ClientID))</f>
        <v>Nouveau</v>
      </c>
      <c r="Y25" t="str">
        <v>mars</v>
      </c>
    </row>
    <row r="26" spans="1:25" x14ac:dyDescent="0.25">
      <c r="A26" s="2">
        <v>25</v>
      </c>
      <c r="B26" s="12" t="s">
        <v>296</v>
      </c>
      <c r="C26" s="13">
        <v>45229</v>
      </c>
      <c r="D26" s="12" t="s">
        <v>322</v>
      </c>
      <c r="E26" s="14" t="s">
        <v>345</v>
      </c>
      <c r="F26" s="12" t="s">
        <v>330</v>
      </c>
      <c r="G26" s="2">
        <v>5</v>
      </c>
      <c r="H26" s="3">
        <v>298</v>
      </c>
      <c r="I26" s="14" t="s">
        <v>325</v>
      </c>
      <c r="J26" s="12" t="s">
        <v>374</v>
      </c>
      <c r="K26" s="2">
        <v>0</v>
      </c>
      <c r="L26" s="12" t="s">
        <v>327</v>
      </c>
      <c r="M26">
        <f>YEAR(VentesMagasins!$C26)</f>
        <v>2023</v>
      </c>
      <c r="N26" t="e" cm="1" vm="1">
        <f t="array" aca="1" ref="N26" ca="1">MONTH(DateVente)</f>
        <v>#VALUE!</v>
      </c>
      <c r="O26" t="str">
        <f>PROPER(VentesMagasins!$F26)</f>
        <v>Décoration</v>
      </c>
      <c r="P26">
        <f>VALUE(CLEAN(TRIM(SUBSTITUTE(VentesMagasins!$I26,".",","))))</f>
        <v>0.15</v>
      </c>
      <c r="Q26">
        <f>VALUE(TRIM(SUBSTITUTE(VentesMagasins!$J26,".",",")))</f>
        <v>1266.5</v>
      </c>
      <c r="R26">
        <f t="shared" si="0"/>
        <v>1076.5249999999999</v>
      </c>
      <c r="S26">
        <f>IF(VentesMagasins!$K26=1,(-1)*R26,R26)</f>
        <v>1076.5249999999999</v>
      </c>
      <c r="T26">
        <f>IFERROR(VALUE(TRIM(SUBSTITUTE(VentesMagasins!$L26,".",","))),0)</f>
        <v>5</v>
      </c>
      <c r="U26">
        <f t="shared" si="1"/>
        <v>5</v>
      </c>
      <c r="V26" t="str">
        <f t="shared" si="2"/>
        <v>élévé</v>
      </c>
      <c r="W26" t="str">
        <f>_xlfn.XLOOKUP(VentesMagasins!$B26,Clients!ClientID,Région)</f>
        <v>Ouest</v>
      </c>
      <c r="X26" t="str">
        <f>INDEX(TypeClient,MATCH(VentesMagasins!$B26,Clients!ClientID))</f>
        <v>Fidèle</v>
      </c>
      <c r="Y26" t="str">
        <v>oct</v>
      </c>
    </row>
    <row r="27" spans="1:25" x14ac:dyDescent="0.25">
      <c r="A27" s="2">
        <v>26</v>
      </c>
      <c r="B27" s="12" t="s">
        <v>193</v>
      </c>
      <c r="C27" s="13">
        <v>45235</v>
      </c>
      <c r="D27" s="12" t="s">
        <v>322</v>
      </c>
      <c r="E27" s="14" t="s">
        <v>329</v>
      </c>
      <c r="F27" s="12" t="s">
        <v>341</v>
      </c>
      <c r="G27" s="2">
        <v>1</v>
      </c>
      <c r="H27" s="3">
        <v>207</v>
      </c>
      <c r="I27" s="14" t="s">
        <v>355</v>
      </c>
      <c r="J27" s="12" t="s">
        <v>375</v>
      </c>
      <c r="K27" s="2">
        <v>0</v>
      </c>
      <c r="L27" s="12" t="s">
        <v>332</v>
      </c>
      <c r="M27">
        <f>YEAR(VentesMagasins!$C27)</f>
        <v>2023</v>
      </c>
      <c r="N27" t="e" cm="1" vm="1">
        <f t="array" aca="1" ref="N27" ca="1">MONTH(DateVente)</f>
        <v>#VALUE!</v>
      </c>
      <c r="O27" t="str">
        <f>PROPER(VentesMagasins!$F27)</f>
        <v>Meuble</v>
      </c>
      <c r="P27">
        <f>VALUE(CLEAN(TRIM(SUBSTITUTE(VentesMagasins!$I27,".",","))))</f>
        <v>0.1</v>
      </c>
      <c r="Q27">
        <f>VALUE(TRIM(SUBSTITUTE(VentesMagasins!$J27,".",",")))</f>
        <v>186.3</v>
      </c>
      <c r="R27">
        <f t="shared" si="0"/>
        <v>167.67000000000002</v>
      </c>
      <c r="S27">
        <f>IF(VentesMagasins!$K27=1,(-1)*R27,R27)</f>
        <v>167.67000000000002</v>
      </c>
      <c r="T27">
        <f>IFERROR(VALUE(TRIM(SUBSTITUTE(VentesMagasins!$L27,".",","))),0)</f>
        <v>4</v>
      </c>
      <c r="U27">
        <f t="shared" si="1"/>
        <v>4</v>
      </c>
      <c r="V27" t="str">
        <f t="shared" si="2"/>
        <v>moyenne</v>
      </c>
      <c r="W27" t="str">
        <f>_xlfn.XLOOKUP(VentesMagasins!$B27,Clients!ClientID,Région)</f>
        <v>Sud</v>
      </c>
      <c r="X27" t="str">
        <f>INDEX(TypeClient,MATCH(VentesMagasins!$B27,Clients!ClientID))</f>
        <v>Occasionnel</v>
      </c>
      <c r="Y27" t="str">
        <v>nov</v>
      </c>
    </row>
    <row r="28" spans="1:25" x14ac:dyDescent="0.25">
      <c r="A28" s="2">
        <v>27</v>
      </c>
      <c r="B28" s="12" t="s">
        <v>117</v>
      </c>
      <c r="C28" s="13">
        <v>45920</v>
      </c>
      <c r="D28" s="12" t="s">
        <v>338</v>
      </c>
      <c r="E28" s="14" t="s">
        <v>348</v>
      </c>
      <c r="F28" s="12" t="s">
        <v>330</v>
      </c>
      <c r="G28" s="2">
        <v>5</v>
      </c>
      <c r="H28" s="3">
        <v>211</v>
      </c>
      <c r="I28" s="14" t="s">
        <v>325</v>
      </c>
      <c r="J28" s="12" t="s">
        <v>376</v>
      </c>
      <c r="K28" s="2">
        <v>1</v>
      </c>
      <c r="L28" s="12" t="s">
        <v>352</v>
      </c>
      <c r="M28">
        <f>YEAR(VentesMagasins!$C28)</f>
        <v>2025</v>
      </c>
      <c r="N28" t="e" cm="1" vm="1">
        <f t="array" aca="1" ref="N28" ca="1">MONTH(DateVente)</f>
        <v>#VALUE!</v>
      </c>
      <c r="O28" t="str">
        <f>PROPER(VentesMagasins!$F28)</f>
        <v>Décoration</v>
      </c>
      <c r="P28">
        <f>VALUE(CLEAN(TRIM(SUBSTITUTE(VentesMagasins!$I28,".",","))))</f>
        <v>0.15</v>
      </c>
      <c r="Q28">
        <f>VALUE(TRIM(SUBSTITUTE(VentesMagasins!$J28,".",",")))</f>
        <v>896.75</v>
      </c>
      <c r="R28">
        <f t="shared" si="0"/>
        <v>762.23749999999995</v>
      </c>
      <c r="S28">
        <f>IF(VentesMagasins!$K28=1,(-1)*R28,R28)</f>
        <v>-762.23749999999995</v>
      </c>
      <c r="T28">
        <f>IFERROR(VALUE(TRIM(SUBSTITUTE(VentesMagasins!$L28,".",","))),0)</f>
        <v>0</v>
      </c>
      <c r="U28">
        <f t="shared" si="1"/>
        <v>2</v>
      </c>
      <c r="V28" t="str">
        <f t="shared" si="2"/>
        <v>faible</v>
      </c>
      <c r="W28" t="str">
        <f>_xlfn.XLOOKUP(VentesMagasins!$B28,Clients!ClientID,Région)</f>
        <v>Nord</v>
      </c>
      <c r="X28" t="str">
        <f>INDEX(TypeClient,MATCH(VentesMagasins!$B28,Clients!ClientID))</f>
        <v>Nouveau</v>
      </c>
      <c r="Y28" t="str">
        <v>sept</v>
      </c>
    </row>
    <row r="29" spans="1:25" x14ac:dyDescent="0.25">
      <c r="A29" s="2">
        <v>28</v>
      </c>
      <c r="B29" s="12" t="s">
        <v>293</v>
      </c>
      <c r="C29" s="13">
        <v>45867</v>
      </c>
      <c r="D29" s="12" t="s">
        <v>338</v>
      </c>
      <c r="E29" s="14" t="s">
        <v>362</v>
      </c>
      <c r="F29" s="12" t="s">
        <v>324</v>
      </c>
      <c r="G29" s="2">
        <v>4</v>
      </c>
      <c r="H29" s="3">
        <v>103</v>
      </c>
      <c r="I29" s="14" t="s">
        <v>335</v>
      </c>
      <c r="J29" s="12" t="s">
        <v>377</v>
      </c>
      <c r="K29" s="2">
        <v>0</v>
      </c>
      <c r="L29" s="12" t="s">
        <v>327</v>
      </c>
      <c r="M29">
        <f>YEAR(VentesMagasins!$C29)</f>
        <v>2025</v>
      </c>
      <c r="N29" t="e" cm="1" vm="1">
        <f t="array" aca="1" ref="N29" ca="1">MONTH(DateVente)</f>
        <v>#VALUE!</v>
      </c>
      <c r="O29" t="str">
        <f>PROPER(VentesMagasins!$F29)</f>
        <v>Électronique</v>
      </c>
      <c r="P29">
        <f>VALUE(CLEAN(TRIM(SUBSTITUTE(VentesMagasins!$I29,".",","))))</f>
        <v>0</v>
      </c>
      <c r="Q29">
        <f>VALUE(TRIM(SUBSTITUTE(VentesMagasins!$J29,".",",")))</f>
        <v>412</v>
      </c>
      <c r="R29">
        <f t="shared" si="0"/>
        <v>412</v>
      </c>
      <c r="S29">
        <f>IF(VentesMagasins!$K29=1,(-1)*R29,R29)</f>
        <v>412</v>
      </c>
      <c r="T29">
        <f>IFERROR(VALUE(TRIM(SUBSTITUTE(VentesMagasins!$L29,".",","))),0)</f>
        <v>5</v>
      </c>
      <c r="U29">
        <f t="shared" si="1"/>
        <v>5</v>
      </c>
      <c r="V29" t="str">
        <f t="shared" si="2"/>
        <v>élévé</v>
      </c>
      <c r="W29" t="str">
        <f>_xlfn.XLOOKUP(VentesMagasins!$B29,Clients!ClientID,Région)</f>
        <v>Sud</v>
      </c>
      <c r="X29" t="str">
        <f>INDEX(TypeClient,MATCH(VentesMagasins!$B29,Clients!ClientID))</f>
        <v>Fidèle</v>
      </c>
      <c r="Y29" t="str">
        <v>juil</v>
      </c>
    </row>
    <row r="30" spans="1:25" x14ac:dyDescent="0.25">
      <c r="A30" s="2">
        <v>29</v>
      </c>
      <c r="B30" s="12" t="s">
        <v>105</v>
      </c>
      <c r="C30" s="13">
        <v>45547</v>
      </c>
      <c r="D30" s="12" t="s">
        <v>338</v>
      </c>
      <c r="E30" s="14" t="s">
        <v>348</v>
      </c>
      <c r="F30" s="12" t="s">
        <v>324</v>
      </c>
      <c r="G30" s="2">
        <v>5</v>
      </c>
      <c r="H30" s="3">
        <v>428</v>
      </c>
      <c r="I30" s="14" t="s">
        <v>355</v>
      </c>
      <c r="J30" s="12" t="s">
        <v>378</v>
      </c>
      <c r="K30" s="2">
        <v>0</v>
      </c>
      <c r="L30" s="12" t="s">
        <v>344</v>
      </c>
      <c r="M30">
        <f>YEAR(VentesMagasins!$C30)</f>
        <v>2024</v>
      </c>
      <c r="N30" t="e" cm="1" vm="1">
        <f t="array" aca="1" ref="N30" ca="1">MONTH(DateVente)</f>
        <v>#VALUE!</v>
      </c>
      <c r="O30" t="str">
        <f>PROPER(VentesMagasins!$F30)</f>
        <v>Électronique</v>
      </c>
      <c r="P30">
        <f>VALUE(CLEAN(TRIM(SUBSTITUTE(VentesMagasins!$I30,".",","))))</f>
        <v>0.1</v>
      </c>
      <c r="Q30">
        <f>VALUE(TRIM(SUBSTITUTE(VentesMagasins!$J30,".",",")))</f>
        <v>1926</v>
      </c>
      <c r="R30">
        <f t="shared" si="0"/>
        <v>1733.4</v>
      </c>
      <c r="S30">
        <f>IF(VentesMagasins!$K30=1,(-1)*R30,R30)</f>
        <v>1733.4</v>
      </c>
      <c r="T30">
        <f>IFERROR(VALUE(TRIM(SUBSTITUTE(VentesMagasins!$L30,".",","))),0)</f>
        <v>2</v>
      </c>
      <c r="U30">
        <f t="shared" si="1"/>
        <v>2</v>
      </c>
      <c r="V30" t="str">
        <f t="shared" si="2"/>
        <v>faible</v>
      </c>
      <c r="W30" t="str">
        <f>_xlfn.XLOOKUP(VentesMagasins!$B30,Clients!ClientID,Région)</f>
        <v>Centre</v>
      </c>
      <c r="X30" t="str">
        <f>INDEX(TypeClient,MATCH(VentesMagasins!$B30,Clients!ClientID))</f>
        <v>Nouveau</v>
      </c>
      <c r="Y30" t="str">
        <v>sept</v>
      </c>
    </row>
    <row r="31" spans="1:25" x14ac:dyDescent="0.25">
      <c r="A31" s="2">
        <v>30</v>
      </c>
      <c r="B31" s="12" t="s">
        <v>152</v>
      </c>
      <c r="C31" s="13">
        <v>45536</v>
      </c>
      <c r="D31" s="12" t="s">
        <v>338</v>
      </c>
      <c r="E31" s="14" t="s">
        <v>364</v>
      </c>
      <c r="F31" s="12" t="s">
        <v>330</v>
      </c>
      <c r="G31" s="2">
        <v>3</v>
      </c>
      <c r="H31" s="3">
        <v>123</v>
      </c>
      <c r="I31" s="14" t="s">
        <v>325</v>
      </c>
      <c r="J31" s="12" t="s">
        <v>379</v>
      </c>
      <c r="K31" s="2">
        <v>0</v>
      </c>
      <c r="L31" s="12" t="s">
        <v>344</v>
      </c>
      <c r="M31">
        <f>YEAR(VentesMagasins!$C31)</f>
        <v>2024</v>
      </c>
      <c r="N31" t="e" cm="1" vm="1">
        <f t="array" aca="1" ref="N31" ca="1">MONTH(DateVente)</f>
        <v>#VALUE!</v>
      </c>
      <c r="O31" t="str">
        <f>PROPER(VentesMagasins!$F31)</f>
        <v>Décoration</v>
      </c>
      <c r="P31">
        <f>VALUE(CLEAN(TRIM(SUBSTITUTE(VentesMagasins!$I31,".",","))))</f>
        <v>0.15</v>
      </c>
      <c r="Q31">
        <f>VALUE(TRIM(SUBSTITUTE(VentesMagasins!$J31,".",",")))</f>
        <v>313.64999999999998</v>
      </c>
      <c r="R31">
        <f t="shared" si="0"/>
        <v>266.60249999999996</v>
      </c>
      <c r="S31">
        <f>IF(VentesMagasins!$K31=1,(-1)*R31,R31)</f>
        <v>266.60249999999996</v>
      </c>
      <c r="T31">
        <f>IFERROR(VALUE(TRIM(SUBSTITUTE(VentesMagasins!$L31,".",","))),0)</f>
        <v>2</v>
      </c>
      <c r="U31">
        <f t="shared" si="1"/>
        <v>2</v>
      </c>
      <c r="V31" t="str">
        <f t="shared" si="2"/>
        <v>faible</v>
      </c>
      <c r="W31" t="str">
        <f>_xlfn.XLOOKUP(VentesMagasins!$B31,Clients!ClientID,Région)</f>
        <v>Est</v>
      </c>
      <c r="X31" t="str">
        <f>INDEX(TypeClient,MATCH(VentesMagasins!$B31,Clients!ClientID))</f>
        <v>Fidèle</v>
      </c>
      <c r="Y31" t="str">
        <v>sept</v>
      </c>
    </row>
    <row r="32" spans="1:25" x14ac:dyDescent="0.25">
      <c r="A32" s="2">
        <v>31</v>
      </c>
      <c r="B32" s="12" t="s">
        <v>306</v>
      </c>
      <c r="C32" s="13">
        <v>44944</v>
      </c>
      <c r="D32" s="12" t="s">
        <v>333</v>
      </c>
      <c r="E32" s="14" t="s">
        <v>323</v>
      </c>
      <c r="F32" s="12" t="s">
        <v>330</v>
      </c>
      <c r="G32" s="2">
        <v>2</v>
      </c>
      <c r="H32" s="3">
        <v>151</v>
      </c>
      <c r="I32" s="14" t="s">
        <v>355</v>
      </c>
      <c r="J32" s="12" t="s">
        <v>380</v>
      </c>
      <c r="K32" s="2">
        <v>0</v>
      </c>
      <c r="L32" s="12" t="s">
        <v>369</v>
      </c>
      <c r="M32">
        <f>YEAR(VentesMagasins!$C32)</f>
        <v>2023</v>
      </c>
      <c r="N32" t="e" cm="1" vm="1">
        <f t="array" aca="1" ref="N32" ca="1">MONTH(DateVente)</f>
        <v>#VALUE!</v>
      </c>
      <c r="O32" t="str">
        <f>PROPER(VentesMagasins!$F32)</f>
        <v>Décoration</v>
      </c>
      <c r="P32">
        <f>VALUE(CLEAN(TRIM(SUBSTITUTE(VentesMagasins!$I32,".",","))))</f>
        <v>0.1</v>
      </c>
      <c r="Q32">
        <f>VALUE(TRIM(SUBSTITUTE(VentesMagasins!$J32,".",",")))</f>
        <v>271.8</v>
      </c>
      <c r="R32">
        <f t="shared" si="0"/>
        <v>244.62</v>
      </c>
      <c r="S32">
        <f>IF(VentesMagasins!$K32=1,(-1)*R32,R32)</f>
        <v>244.62</v>
      </c>
      <c r="T32">
        <f>IFERROR(VALUE(TRIM(SUBSTITUTE(VentesMagasins!$L32,".",","))),0)</f>
        <v>1</v>
      </c>
      <c r="U32">
        <f t="shared" si="1"/>
        <v>1</v>
      </c>
      <c r="V32" t="str">
        <f t="shared" si="2"/>
        <v>faible</v>
      </c>
      <c r="W32" t="str">
        <f>_xlfn.XLOOKUP(VentesMagasins!$B32,Clients!ClientID,Région)</f>
        <v>Sud</v>
      </c>
      <c r="X32" t="str">
        <f>INDEX(TypeClient,MATCH(VentesMagasins!$B32,Clients!ClientID))</f>
        <v>Nouveau</v>
      </c>
      <c r="Y32" t="str">
        <v>janv</v>
      </c>
    </row>
    <row r="33" spans="1:25" x14ac:dyDescent="0.25">
      <c r="A33" s="2">
        <v>32</v>
      </c>
      <c r="B33" s="12" t="s">
        <v>106</v>
      </c>
      <c r="C33" s="13">
        <v>44990</v>
      </c>
      <c r="D33" s="12" t="s">
        <v>328</v>
      </c>
      <c r="E33" s="14" t="s">
        <v>323</v>
      </c>
      <c r="F33" s="12" t="s">
        <v>324</v>
      </c>
      <c r="G33" s="2">
        <v>5</v>
      </c>
      <c r="H33" s="3">
        <v>36</v>
      </c>
      <c r="I33" s="14" t="s">
        <v>335</v>
      </c>
      <c r="J33" s="12" t="s">
        <v>381</v>
      </c>
      <c r="K33" s="2">
        <v>0</v>
      </c>
      <c r="L33" s="12" t="s">
        <v>352</v>
      </c>
      <c r="M33">
        <f>YEAR(VentesMagasins!$C33)</f>
        <v>2023</v>
      </c>
      <c r="N33" t="e" cm="1" vm="1">
        <f t="array" aca="1" ref="N33" ca="1">MONTH(DateVente)</f>
        <v>#VALUE!</v>
      </c>
      <c r="O33" t="str">
        <f>PROPER(VentesMagasins!$F33)</f>
        <v>Électronique</v>
      </c>
      <c r="P33">
        <f>VALUE(CLEAN(TRIM(SUBSTITUTE(VentesMagasins!$I33,".",","))))</f>
        <v>0</v>
      </c>
      <c r="Q33">
        <f>VALUE(TRIM(SUBSTITUTE(VentesMagasins!$J33,".",",")))</f>
        <v>162</v>
      </c>
      <c r="R33">
        <f t="shared" si="0"/>
        <v>162</v>
      </c>
      <c r="S33">
        <f>IF(VentesMagasins!$K33=1,(-1)*R33,R33)</f>
        <v>162</v>
      </c>
      <c r="T33">
        <f>IFERROR(VALUE(TRIM(SUBSTITUTE(VentesMagasins!$L33,".",","))),0)</f>
        <v>0</v>
      </c>
      <c r="U33">
        <f t="shared" si="1"/>
        <v>2</v>
      </c>
      <c r="V33" t="str">
        <f t="shared" si="2"/>
        <v>faible</v>
      </c>
      <c r="W33" t="str">
        <f>_xlfn.XLOOKUP(VentesMagasins!$B33,Clients!ClientID,Région)</f>
        <v>Est</v>
      </c>
      <c r="X33" t="str">
        <f>INDEX(TypeClient,MATCH(VentesMagasins!$B33,Clients!ClientID))</f>
        <v>Fidèle</v>
      </c>
      <c r="Y33" t="str">
        <v>mars</v>
      </c>
    </row>
    <row r="34" spans="1:25" x14ac:dyDescent="0.25">
      <c r="A34" s="2">
        <v>33</v>
      </c>
      <c r="B34" s="12" t="s">
        <v>58</v>
      </c>
      <c r="C34" s="13">
        <v>45872</v>
      </c>
      <c r="D34" s="12" t="s">
        <v>350</v>
      </c>
      <c r="E34" s="14" t="s">
        <v>348</v>
      </c>
      <c r="F34" s="12" t="s">
        <v>341</v>
      </c>
      <c r="G34" s="2">
        <v>5</v>
      </c>
      <c r="H34" s="3">
        <v>478</v>
      </c>
      <c r="I34" s="14" t="s">
        <v>335</v>
      </c>
      <c r="J34" s="12" t="s">
        <v>382</v>
      </c>
      <c r="K34" s="2">
        <v>0</v>
      </c>
      <c r="L34" s="12" t="s">
        <v>352</v>
      </c>
      <c r="M34">
        <f>YEAR(VentesMagasins!$C34)</f>
        <v>2025</v>
      </c>
      <c r="N34" t="e" cm="1" vm="1">
        <f t="array" aca="1" ref="N34" ca="1">MONTH(DateVente)</f>
        <v>#VALUE!</v>
      </c>
      <c r="O34" t="str">
        <f>PROPER(VentesMagasins!$F34)</f>
        <v>Meuble</v>
      </c>
      <c r="P34">
        <f>VALUE(CLEAN(TRIM(SUBSTITUTE(VentesMagasins!$I34,".",","))))</f>
        <v>0</v>
      </c>
      <c r="Q34">
        <f>VALUE(TRIM(SUBSTITUTE(VentesMagasins!$J34,".",",")))</f>
        <v>2390</v>
      </c>
      <c r="R34">
        <f t="shared" si="0"/>
        <v>2390</v>
      </c>
      <c r="S34">
        <f>IF(VentesMagasins!$K34=1,(-1)*R34,R34)</f>
        <v>2390</v>
      </c>
      <c r="T34">
        <f>IFERROR(VALUE(TRIM(SUBSTITUTE(VentesMagasins!$L34,".",","))),0)</f>
        <v>0</v>
      </c>
      <c r="U34">
        <f t="shared" si="1"/>
        <v>2</v>
      </c>
      <c r="V34" t="str">
        <f t="shared" si="2"/>
        <v>faible</v>
      </c>
      <c r="W34" t="str">
        <f>_xlfn.XLOOKUP(VentesMagasins!$B34,Clients!ClientID,Région)</f>
        <v>Est</v>
      </c>
      <c r="X34" t="str">
        <f>INDEX(TypeClient,MATCH(VentesMagasins!$B34,Clients!ClientID))</f>
        <v>Occasionnel</v>
      </c>
      <c r="Y34" t="str">
        <v>août</v>
      </c>
    </row>
    <row r="35" spans="1:25" x14ac:dyDescent="0.25">
      <c r="A35" s="2">
        <v>34</v>
      </c>
      <c r="B35" s="12" t="s">
        <v>226</v>
      </c>
      <c r="C35" s="13">
        <v>45164</v>
      </c>
      <c r="D35" s="12" t="s">
        <v>328</v>
      </c>
      <c r="E35" s="14" t="s">
        <v>329</v>
      </c>
      <c r="F35" s="12" t="s">
        <v>330</v>
      </c>
      <c r="G35" s="2">
        <v>2</v>
      </c>
      <c r="H35" s="3">
        <v>354</v>
      </c>
      <c r="I35" s="14" t="s">
        <v>325</v>
      </c>
      <c r="J35" s="12" t="s">
        <v>383</v>
      </c>
      <c r="K35" s="2">
        <v>0</v>
      </c>
      <c r="L35" s="12" t="s">
        <v>369</v>
      </c>
      <c r="M35">
        <f>YEAR(VentesMagasins!$C35)</f>
        <v>2023</v>
      </c>
      <c r="N35" t="e" cm="1" vm="1">
        <f t="array" aca="1" ref="N35" ca="1">MONTH(DateVente)</f>
        <v>#VALUE!</v>
      </c>
      <c r="O35" t="str">
        <f>PROPER(VentesMagasins!$F35)</f>
        <v>Décoration</v>
      </c>
      <c r="P35">
        <f>VALUE(CLEAN(TRIM(SUBSTITUTE(VentesMagasins!$I35,".",","))))</f>
        <v>0.15</v>
      </c>
      <c r="Q35">
        <f>VALUE(TRIM(SUBSTITUTE(VentesMagasins!$J35,".",",")))</f>
        <v>541.62</v>
      </c>
      <c r="R35">
        <f t="shared" si="0"/>
        <v>460.37700000000001</v>
      </c>
      <c r="S35">
        <f>IF(VentesMagasins!$K35=1,(-1)*R35,R35)</f>
        <v>460.37700000000001</v>
      </c>
      <c r="T35">
        <f>IFERROR(VALUE(TRIM(SUBSTITUTE(VentesMagasins!$L35,".",","))),0)</f>
        <v>1</v>
      </c>
      <c r="U35">
        <f t="shared" si="1"/>
        <v>1</v>
      </c>
      <c r="V35" t="str">
        <f t="shared" si="2"/>
        <v>faible</v>
      </c>
      <c r="W35" t="str">
        <f>_xlfn.XLOOKUP(VentesMagasins!$B35,Clients!ClientID,Région)</f>
        <v>Est</v>
      </c>
      <c r="X35" t="str">
        <f>INDEX(TypeClient,MATCH(VentesMagasins!$B35,Clients!ClientID))</f>
        <v>Occasionnel</v>
      </c>
      <c r="Y35" t="str">
        <v>août</v>
      </c>
    </row>
    <row r="36" spans="1:25" x14ac:dyDescent="0.25">
      <c r="A36" s="2">
        <v>35</v>
      </c>
      <c r="B36" s="12" t="s">
        <v>69</v>
      </c>
      <c r="C36" s="13">
        <v>45091</v>
      </c>
      <c r="D36" s="12" t="s">
        <v>322</v>
      </c>
      <c r="E36" s="14" t="s">
        <v>329</v>
      </c>
      <c r="F36" s="12" t="s">
        <v>324</v>
      </c>
      <c r="G36" s="2">
        <v>2</v>
      </c>
      <c r="H36" s="3">
        <v>270</v>
      </c>
      <c r="I36" s="14" t="s">
        <v>342</v>
      </c>
      <c r="J36" s="12" t="s">
        <v>384</v>
      </c>
      <c r="K36" s="2">
        <v>1</v>
      </c>
      <c r="L36" s="12" t="s">
        <v>369</v>
      </c>
      <c r="M36">
        <f>YEAR(VentesMagasins!$C36)</f>
        <v>2023</v>
      </c>
      <c r="N36" t="e" cm="1" vm="1">
        <f t="array" aca="1" ref="N36" ca="1">MONTH(DateVente)</f>
        <v>#VALUE!</v>
      </c>
      <c r="O36" t="str">
        <f>PROPER(VentesMagasins!$F36)</f>
        <v>Électronique</v>
      </c>
      <c r="P36">
        <f>VALUE(CLEAN(TRIM(SUBSTITUTE(VentesMagasins!$I36,".",","))))</f>
        <v>0.05</v>
      </c>
      <c r="Q36">
        <f>VALUE(TRIM(SUBSTITUTE(VentesMagasins!$J36,".",",")))</f>
        <v>513</v>
      </c>
      <c r="R36">
        <f t="shared" si="0"/>
        <v>487.34999999999997</v>
      </c>
      <c r="S36">
        <f>IF(VentesMagasins!$K36=1,(-1)*R36,R36)</f>
        <v>-487.34999999999997</v>
      </c>
      <c r="T36">
        <f>IFERROR(VALUE(TRIM(SUBSTITUTE(VentesMagasins!$L36,".",","))),0)</f>
        <v>1</v>
      </c>
      <c r="U36">
        <f t="shared" si="1"/>
        <v>1</v>
      </c>
      <c r="V36" t="str">
        <f t="shared" si="2"/>
        <v>faible</v>
      </c>
      <c r="W36" t="str">
        <f>_xlfn.XLOOKUP(VentesMagasins!$B36,Clients!ClientID,Région)</f>
        <v>Centre</v>
      </c>
      <c r="X36" t="str">
        <f>INDEX(TypeClient,MATCH(VentesMagasins!$B36,Clients!ClientID))</f>
        <v>Nouveau</v>
      </c>
      <c r="Y36" t="str">
        <v>juin</v>
      </c>
    </row>
    <row r="37" spans="1:25" x14ac:dyDescent="0.25">
      <c r="A37" s="2">
        <v>36</v>
      </c>
      <c r="B37" s="12" t="s">
        <v>267</v>
      </c>
      <c r="C37" s="13">
        <v>45571</v>
      </c>
      <c r="D37" s="12" t="s">
        <v>338</v>
      </c>
      <c r="E37" s="14" t="s">
        <v>323</v>
      </c>
      <c r="F37" s="12" t="s">
        <v>330</v>
      </c>
      <c r="G37" s="2">
        <v>5</v>
      </c>
      <c r="H37" s="3">
        <v>199</v>
      </c>
      <c r="I37" s="14" t="s">
        <v>355</v>
      </c>
      <c r="J37" s="12" t="s">
        <v>385</v>
      </c>
      <c r="K37" s="2">
        <v>0</v>
      </c>
      <c r="L37" s="12" t="s">
        <v>327</v>
      </c>
      <c r="M37">
        <f>YEAR(VentesMagasins!$C37)</f>
        <v>2024</v>
      </c>
      <c r="N37" t="e" cm="1" vm="1">
        <f t="array" aca="1" ref="N37" ca="1">MONTH(DateVente)</f>
        <v>#VALUE!</v>
      </c>
      <c r="O37" t="str">
        <f>PROPER(VentesMagasins!$F37)</f>
        <v>Décoration</v>
      </c>
      <c r="P37">
        <f>VALUE(CLEAN(TRIM(SUBSTITUTE(VentesMagasins!$I37,".",","))))</f>
        <v>0.1</v>
      </c>
      <c r="Q37">
        <f>VALUE(TRIM(SUBSTITUTE(VentesMagasins!$J37,".",",")))</f>
        <v>895.5</v>
      </c>
      <c r="R37">
        <f t="shared" si="0"/>
        <v>805.95</v>
      </c>
      <c r="S37">
        <f>IF(VentesMagasins!$K37=1,(-1)*R37,R37)</f>
        <v>805.95</v>
      </c>
      <c r="T37">
        <f>IFERROR(VALUE(TRIM(SUBSTITUTE(VentesMagasins!$L37,".",","))),0)</f>
        <v>5</v>
      </c>
      <c r="U37">
        <f t="shared" si="1"/>
        <v>5</v>
      </c>
      <c r="V37" t="str">
        <f t="shared" si="2"/>
        <v>élévé</v>
      </c>
      <c r="W37" t="str">
        <f>_xlfn.XLOOKUP(VentesMagasins!$B37,Clients!ClientID,Région)</f>
        <v>Est</v>
      </c>
      <c r="X37" t="str">
        <f>INDEX(TypeClient,MATCH(VentesMagasins!$B37,Clients!ClientID))</f>
        <v>Nouveau</v>
      </c>
      <c r="Y37" t="str">
        <v>oct</v>
      </c>
    </row>
    <row r="38" spans="1:25" x14ac:dyDescent="0.25">
      <c r="A38" s="2">
        <v>37</v>
      </c>
      <c r="B38" s="12" t="s">
        <v>22</v>
      </c>
      <c r="C38" s="13">
        <v>45679</v>
      </c>
      <c r="D38" s="12" t="s">
        <v>333</v>
      </c>
      <c r="E38" s="14" t="s">
        <v>329</v>
      </c>
      <c r="F38" s="12" t="s">
        <v>330</v>
      </c>
      <c r="G38" s="2">
        <v>1</v>
      </c>
      <c r="H38" s="3">
        <v>329</v>
      </c>
      <c r="I38" s="14" t="s">
        <v>342</v>
      </c>
      <c r="J38" s="12" t="s">
        <v>386</v>
      </c>
      <c r="K38" s="2">
        <v>0</v>
      </c>
      <c r="L38" s="12" t="s">
        <v>352</v>
      </c>
      <c r="M38">
        <f>YEAR(VentesMagasins!$C38)</f>
        <v>2025</v>
      </c>
      <c r="N38" t="e" cm="1" vm="1">
        <f t="array" aca="1" ref="N38" ca="1">MONTH(DateVente)</f>
        <v>#VALUE!</v>
      </c>
      <c r="O38" t="str">
        <f>PROPER(VentesMagasins!$F38)</f>
        <v>Décoration</v>
      </c>
      <c r="P38">
        <f>VALUE(CLEAN(TRIM(SUBSTITUTE(VentesMagasins!$I38,".",","))))</f>
        <v>0.05</v>
      </c>
      <c r="Q38">
        <f>VALUE(TRIM(SUBSTITUTE(VentesMagasins!$J38,".",",")))</f>
        <v>312.55</v>
      </c>
      <c r="R38">
        <f t="shared" si="0"/>
        <v>296.92250000000001</v>
      </c>
      <c r="S38">
        <f>IF(VentesMagasins!$K38=1,(-1)*R38,R38)</f>
        <v>296.92250000000001</v>
      </c>
      <c r="T38">
        <f>IFERROR(VALUE(TRIM(SUBSTITUTE(VentesMagasins!$L38,".",","))),0)</f>
        <v>0</v>
      </c>
      <c r="U38">
        <f t="shared" si="1"/>
        <v>3</v>
      </c>
      <c r="V38" t="str">
        <f t="shared" si="2"/>
        <v>moyenne</v>
      </c>
      <c r="W38" t="str">
        <f>_xlfn.XLOOKUP(VentesMagasins!$B38,Clients!ClientID,Région)</f>
        <v>Ouest</v>
      </c>
      <c r="X38" t="str">
        <f>INDEX(TypeClient,MATCH(VentesMagasins!$B38,Clients!ClientID))</f>
        <v>Nouveau</v>
      </c>
      <c r="Y38" t="str">
        <v>janv</v>
      </c>
    </row>
    <row r="39" spans="1:25" x14ac:dyDescent="0.25">
      <c r="A39" s="2">
        <v>38</v>
      </c>
      <c r="B39" s="12" t="s">
        <v>218</v>
      </c>
      <c r="C39" s="13">
        <v>45165</v>
      </c>
      <c r="D39" s="12" t="s">
        <v>338</v>
      </c>
      <c r="E39" s="14" t="s">
        <v>345</v>
      </c>
      <c r="F39" s="12" t="s">
        <v>330</v>
      </c>
      <c r="G39" s="2">
        <v>4</v>
      </c>
      <c r="H39" s="3">
        <v>311</v>
      </c>
      <c r="I39" s="14" t="s">
        <v>342</v>
      </c>
      <c r="J39" s="12" t="s">
        <v>387</v>
      </c>
      <c r="K39" s="2">
        <v>0</v>
      </c>
      <c r="L39" s="12" t="s">
        <v>327</v>
      </c>
      <c r="M39">
        <f>YEAR(VentesMagasins!$C39)</f>
        <v>2023</v>
      </c>
      <c r="N39" t="e" cm="1" vm="1">
        <f t="array" aca="1" ref="N39" ca="1">MONTH(DateVente)</f>
        <v>#VALUE!</v>
      </c>
      <c r="O39" t="str">
        <f>PROPER(VentesMagasins!$F39)</f>
        <v>Décoration</v>
      </c>
      <c r="P39">
        <f>VALUE(CLEAN(TRIM(SUBSTITUTE(VentesMagasins!$I39,".",","))))</f>
        <v>0.05</v>
      </c>
      <c r="Q39">
        <f>VALUE(TRIM(SUBSTITUTE(VentesMagasins!$J39,".",",")))</f>
        <v>1181.8</v>
      </c>
      <c r="R39">
        <f t="shared" si="0"/>
        <v>1122.7099999999998</v>
      </c>
      <c r="S39">
        <f>IF(VentesMagasins!$K39=1,(-1)*R39,R39)</f>
        <v>1122.7099999999998</v>
      </c>
      <c r="T39">
        <f>IFERROR(VALUE(TRIM(SUBSTITUTE(VentesMagasins!$L39,".",","))),0)</f>
        <v>5</v>
      </c>
      <c r="U39">
        <f t="shared" si="1"/>
        <v>5</v>
      </c>
      <c r="V39" t="str">
        <f t="shared" si="2"/>
        <v>élévé</v>
      </c>
      <c r="W39" t="str">
        <f>_xlfn.XLOOKUP(VentesMagasins!$B39,Clients!ClientID,Région)</f>
        <v>Est</v>
      </c>
      <c r="X39" t="str">
        <f>INDEX(TypeClient,MATCH(VentesMagasins!$B39,Clients!ClientID))</f>
        <v>Fidèle</v>
      </c>
      <c r="Y39" t="str">
        <v>août</v>
      </c>
    </row>
    <row r="40" spans="1:25" x14ac:dyDescent="0.25">
      <c r="A40" s="2">
        <v>39</v>
      </c>
      <c r="B40" s="12" t="s">
        <v>100</v>
      </c>
      <c r="C40" s="13">
        <v>46003</v>
      </c>
      <c r="D40" s="12" t="s">
        <v>333</v>
      </c>
      <c r="E40" s="14" t="s">
        <v>329</v>
      </c>
      <c r="F40" s="12" t="s">
        <v>330</v>
      </c>
      <c r="G40" s="2">
        <v>3</v>
      </c>
      <c r="H40" s="3">
        <v>46</v>
      </c>
      <c r="I40" s="14" t="s">
        <v>342</v>
      </c>
      <c r="J40" s="12" t="s">
        <v>388</v>
      </c>
      <c r="K40" s="2">
        <v>0</v>
      </c>
      <c r="L40" s="12" t="s">
        <v>337</v>
      </c>
      <c r="M40">
        <f>YEAR(VentesMagasins!$C40)</f>
        <v>2025</v>
      </c>
      <c r="N40" t="e" cm="1" vm="1">
        <f t="array" aca="1" ref="N40" ca="1">MONTH(DateVente)</f>
        <v>#VALUE!</v>
      </c>
      <c r="O40" t="str">
        <f>PROPER(VentesMagasins!$F40)</f>
        <v>Décoration</v>
      </c>
      <c r="P40">
        <f>VALUE(CLEAN(TRIM(SUBSTITUTE(VentesMagasins!$I40,".",","))))</f>
        <v>0.05</v>
      </c>
      <c r="Q40">
        <f>VALUE(TRIM(SUBSTITUTE(VentesMagasins!$J40,".",",")))</f>
        <v>131.1</v>
      </c>
      <c r="R40">
        <f t="shared" si="0"/>
        <v>124.54499999999999</v>
      </c>
      <c r="S40">
        <f>IF(VentesMagasins!$K40=1,(-1)*R40,R40)</f>
        <v>124.54499999999999</v>
      </c>
      <c r="T40">
        <f>IFERROR(VALUE(TRIM(SUBSTITUTE(VentesMagasins!$L40,".",","))),0)</f>
        <v>3</v>
      </c>
      <c r="U40">
        <f t="shared" si="1"/>
        <v>3</v>
      </c>
      <c r="V40" t="str">
        <f t="shared" si="2"/>
        <v>moyenne</v>
      </c>
      <c r="W40" t="str">
        <f>_xlfn.XLOOKUP(VentesMagasins!$B40,Clients!ClientID,Région)</f>
        <v>Centre</v>
      </c>
      <c r="X40" t="str">
        <f>INDEX(TypeClient,MATCH(VentesMagasins!$B40,Clients!ClientID))</f>
        <v>Occasionnel</v>
      </c>
      <c r="Y40" t="str">
        <v>déc</v>
      </c>
    </row>
    <row r="41" spans="1:25" x14ac:dyDescent="0.25">
      <c r="A41" s="2">
        <v>40</v>
      </c>
      <c r="B41" s="12" t="s">
        <v>9</v>
      </c>
      <c r="C41" s="13">
        <v>45679</v>
      </c>
      <c r="D41" s="12" t="s">
        <v>389</v>
      </c>
      <c r="E41" s="14" t="s">
        <v>362</v>
      </c>
      <c r="F41" s="12" t="s">
        <v>330</v>
      </c>
      <c r="G41" s="2">
        <v>1</v>
      </c>
      <c r="H41" s="3">
        <v>136</v>
      </c>
      <c r="I41" s="14" t="s">
        <v>342</v>
      </c>
      <c r="J41" s="12" t="s">
        <v>390</v>
      </c>
      <c r="K41" s="2">
        <v>0</v>
      </c>
      <c r="L41" s="12" t="s">
        <v>337</v>
      </c>
      <c r="M41">
        <f>YEAR(VentesMagasins!$C41)</f>
        <v>2025</v>
      </c>
      <c r="N41" t="e" cm="1" vm="1">
        <f t="array" aca="1" ref="N41" ca="1">MONTH(DateVente)</f>
        <v>#VALUE!</v>
      </c>
      <c r="O41" t="str">
        <f>PROPER(VentesMagasins!$F41)</f>
        <v>Décoration</v>
      </c>
      <c r="P41">
        <f>VALUE(CLEAN(TRIM(SUBSTITUTE(VentesMagasins!$I41,".",","))))</f>
        <v>0.05</v>
      </c>
      <c r="Q41">
        <f>VALUE(TRIM(SUBSTITUTE(VentesMagasins!$J41,".",",")))</f>
        <v>129.19999999999999</v>
      </c>
      <c r="R41">
        <f t="shared" si="0"/>
        <v>122.73999999999998</v>
      </c>
      <c r="S41">
        <f>IF(VentesMagasins!$K41=1,(-1)*R41,R41)</f>
        <v>122.73999999999998</v>
      </c>
      <c r="T41">
        <f>IFERROR(VALUE(TRIM(SUBSTITUTE(VentesMagasins!$L41,".",","))),0)</f>
        <v>3</v>
      </c>
      <c r="U41">
        <f t="shared" si="1"/>
        <v>3</v>
      </c>
      <c r="V41" t="str">
        <f t="shared" si="2"/>
        <v>moyenne</v>
      </c>
      <c r="W41" t="str">
        <f>_xlfn.XLOOKUP(VentesMagasins!$B41,Clients!ClientID,Région)</f>
        <v>Nord</v>
      </c>
      <c r="X41" t="str">
        <f>INDEX(TypeClient,MATCH(VentesMagasins!$B41,Clients!ClientID))</f>
        <v>Occasionnel</v>
      </c>
      <c r="Y41" t="str">
        <v>janv</v>
      </c>
    </row>
    <row r="42" spans="1:25" x14ac:dyDescent="0.25">
      <c r="A42" s="2">
        <v>41</v>
      </c>
      <c r="B42" s="12" t="s">
        <v>155</v>
      </c>
      <c r="C42" s="13">
        <v>45908</v>
      </c>
      <c r="D42" s="12" t="s">
        <v>333</v>
      </c>
      <c r="E42" s="14" t="s">
        <v>348</v>
      </c>
      <c r="F42" s="12" t="s">
        <v>324</v>
      </c>
      <c r="G42" s="2">
        <v>3</v>
      </c>
      <c r="H42" s="3">
        <v>424</v>
      </c>
      <c r="I42" s="14" t="s">
        <v>335</v>
      </c>
      <c r="J42" s="12" t="s">
        <v>391</v>
      </c>
      <c r="K42" s="2">
        <v>1</v>
      </c>
      <c r="L42" s="12" t="s">
        <v>332</v>
      </c>
      <c r="M42">
        <f>YEAR(VentesMagasins!$C42)</f>
        <v>2025</v>
      </c>
      <c r="N42" t="e" cm="1" vm="1">
        <f t="array" aca="1" ref="N42" ca="1">MONTH(DateVente)</f>
        <v>#VALUE!</v>
      </c>
      <c r="O42" t="str">
        <f>PROPER(VentesMagasins!$F42)</f>
        <v>Électronique</v>
      </c>
      <c r="P42">
        <f>VALUE(CLEAN(TRIM(SUBSTITUTE(VentesMagasins!$I42,".",","))))</f>
        <v>0</v>
      </c>
      <c r="Q42">
        <f>VALUE(TRIM(SUBSTITUTE(VentesMagasins!$J42,".",",")))</f>
        <v>1272</v>
      </c>
      <c r="R42">
        <f t="shared" si="0"/>
        <v>1272</v>
      </c>
      <c r="S42">
        <f>IF(VentesMagasins!$K42=1,(-1)*R42,R42)</f>
        <v>-1272</v>
      </c>
      <c r="T42">
        <f>IFERROR(VALUE(TRIM(SUBSTITUTE(VentesMagasins!$L42,".",","))),0)</f>
        <v>4</v>
      </c>
      <c r="U42">
        <f t="shared" si="1"/>
        <v>4</v>
      </c>
      <c r="V42" t="str">
        <f t="shared" si="2"/>
        <v>moyenne</v>
      </c>
      <c r="W42" t="str">
        <f>_xlfn.XLOOKUP(VentesMagasins!$B42,Clients!ClientID,Région)</f>
        <v>Sud</v>
      </c>
      <c r="X42" t="str">
        <f>INDEX(TypeClient,MATCH(VentesMagasins!$B42,Clients!ClientID))</f>
        <v>Nouveau</v>
      </c>
      <c r="Y42" t="str">
        <v>sept</v>
      </c>
    </row>
    <row r="43" spans="1:25" x14ac:dyDescent="0.25">
      <c r="A43" s="2">
        <v>42</v>
      </c>
      <c r="B43" s="12" t="s">
        <v>192</v>
      </c>
      <c r="C43" s="13">
        <v>45527</v>
      </c>
      <c r="D43" s="12" t="s">
        <v>350</v>
      </c>
      <c r="E43" s="14" t="s">
        <v>323</v>
      </c>
      <c r="F43" s="12" t="s">
        <v>330</v>
      </c>
      <c r="G43" s="2">
        <v>4</v>
      </c>
      <c r="H43" s="3">
        <v>468</v>
      </c>
      <c r="I43" s="14" t="s">
        <v>355</v>
      </c>
      <c r="J43" s="12" t="s">
        <v>392</v>
      </c>
      <c r="K43" s="2">
        <v>0</v>
      </c>
      <c r="L43" s="12" t="s">
        <v>337</v>
      </c>
      <c r="M43">
        <f>YEAR(VentesMagasins!$C43)</f>
        <v>2024</v>
      </c>
      <c r="N43" t="e" cm="1" vm="1">
        <f t="array" aca="1" ref="N43" ca="1">MONTH(DateVente)</f>
        <v>#VALUE!</v>
      </c>
      <c r="O43" t="str">
        <f>PROPER(VentesMagasins!$F43)</f>
        <v>Décoration</v>
      </c>
      <c r="P43">
        <f>VALUE(CLEAN(TRIM(SUBSTITUTE(VentesMagasins!$I43,".",","))))</f>
        <v>0.1</v>
      </c>
      <c r="Q43">
        <f>VALUE(TRIM(SUBSTITUTE(VentesMagasins!$J43,".",",")))</f>
        <v>1684.8</v>
      </c>
      <c r="R43">
        <f t="shared" si="0"/>
        <v>1516.32</v>
      </c>
      <c r="S43">
        <f>IF(VentesMagasins!$K43=1,(-1)*R43,R43)</f>
        <v>1516.32</v>
      </c>
      <c r="T43">
        <f>IFERROR(VALUE(TRIM(SUBSTITUTE(VentesMagasins!$L43,".",","))),0)</f>
        <v>3</v>
      </c>
      <c r="U43">
        <f t="shared" si="1"/>
        <v>3</v>
      </c>
      <c r="V43" t="str">
        <f t="shared" si="2"/>
        <v>moyenne</v>
      </c>
      <c r="W43" t="str">
        <f>_xlfn.XLOOKUP(VentesMagasins!$B43,Clients!ClientID,Région)</f>
        <v>Ouest</v>
      </c>
      <c r="X43" t="str">
        <f>INDEX(TypeClient,MATCH(VentesMagasins!$B43,Clients!ClientID))</f>
        <v>Fidèle</v>
      </c>
      <c r="Y43" t="str">
        <v>août</v>
      </c>
    </row>
    <row r="44" spans="1:25" x14ac:dyDescent="0.25">
      <c r="A44" s="2">
        <v>43</v>
      </c>
      <c r="B44" s="12" t="s">
        <v>243</v>
      </c>
      <c r="C44" s="13">
        <v>45625</v>
      </c>
      <c r="D44" s="12" t="s">
        <v>333</v>
      </c>
      <c r="E44" s="14" t="s">
        <v>364</v>
      </c>
      <c r="F44" s="12" t="s">
        <v>330</v>
      </c>
      <c r="G44" s="2">
        <v>5</v>
      </c>
      <c r="H44" s="3">
        <v>428</v>
      </c>
      <c r="I44" s="14" t="s">
        <v>355</v>
      </c>
      <c r="J44" s="12" t="s">
        <v>378</v>
      </c>
      <c r="K44" s="2">
        <v>0</v>
      </c>
      <c r="L44" s="12" t="s">
        <v>352</v>
      </c>
      <c r="M44">
        <f>YEAR(VentesMagasins!$C44)</f>
        <v>2024</v>
      </c>
      <c r="N44" t="e" cm="1" vm="1">
        <f t="array" aca="1" ref="N44" ca="1">MONTH(DateVente)</f>
        <v>#VALUE!</v>
      </c>
      <c r="O44" t="str">
        <f>PROPER(VentesMagasins!$F44)</f>
        <v>Décoration</v>
      </c>
      <c r="P44">
        <f>VALUE(CLEAN(TRIM(SUBSTITUTE(VentesMagasins!$I44,".",","))))</f>
        <v>0.1</v>
      </c>
      <c r="Q44">
        <f>VALUE(TRIM(SUBSTITUTE(VentesMagasins!$J44,".",",")))</f>
        <v>1926</v>
      </c>
      <c r="R44">
        <f t="shared" si="0"/>
        <v>1733.4</v>
      </c>
      <c r="S44">
        <f>IF(VentesMagasins!$K44=1,(-1)*R44,R44)</f>
        <v>1733.4</v>
      </c>
      <c r="T44">
        <f>IFERROR(VALUE(TRIM(SUBSTITUTE(VentesMagasins!$L44,".",","))),0)</f>
        <v>0</v>
      </c>
      <c r="U44">
        <f t="shared" si="1"/>
        <v>2</v>
      </c>
      <c r="V44" t="str">
        <f t="shared" si="2"/>
        <v>faible</v>
      </c>
      <c r="W44" t="str">
        <f>_xlfn.XLOOKUP(VentesMagasins!$B44,Clients!ClientID,Région)</f>
        <v>Nord</v>
      </c>
      <c r="X44" t="str">
        <f>INDEX(TypeClient,MATCH(VentesMagasins!$B44,Clients!ClientID))</f>
        <v>Fidèle</v>
      </c>
      <c r="Y44" t="str">
        <v>nov</v>
      </c>
    </row>
    <row r="45" spans="1:25" x14ac:dyDescent="0.25">
      <c r="A45" s="2">
        <v>44</v>
      </c>
      <c r="B45" s="12" t="s">
        <v>184</v>
      </c>
      <c r="C45" s="13">
        <v>45455</v>
      </c>
      <c r="D45" s="12" t="s">
        <v>350</v>
      </c>
      <c r="E45" s="14" t="s">
        <v>334</v>
      </c>
      <c r="F45" s="12" t="s">
        <v>324</v>
      </c>
      <c r="G45" s="2">
        <v>4</v>
      </c>
      <c r="H45" s="3">
        <v>454</v>
      </c>
      <c r="I45" s="14" t="s">
        <v>342</v>
      </c>
      <c r="J45" s="12" t="s">
        <v>393</v>
      </c>
      <c r="K45" s="2">
        <v>0</v>
      </c>
      <c r="L45" s="12" t="s">
        <v>352</v>
      </c>
      <c r="M45">
        <f>YEAR(VentesMagasins!$C45)</f>
        <v>2024</v>
      </c>
      <c r="N45" t="e" cm="1" vm="1">
        <f t="array" aca="1" ref="N45" ca="1">MONTH(DateVente)</f>
        <v>#VALUE!</v>
      </c>
      <c r="O45" t="str">
        <f>PROPER(VentesMagasins!$F45)</f>
        <v>Électronique</v>
      </c>
      <c r="P45">
        <f>VALUE(CLEAN(TRIM(SUBSTITUTE(VentesMagasins!$I45,".",","))))</f>
        <v>0.05</v>
      </c>
      <c r="Q45">
        <f>VALUE(TRIM(SUBSTITUTE(VentesMagasins!$J45,".",",")))</f>
        <v>1725.19999999999</v>
      </c>
      <c r="R45">
        <f t="shared" si="0"/>
        <v>1638.9399999999905</v>
      </c>
      <c r="S45">
        <f>IF(VentesMagasins!$K45=1,(-1)*R45,R45)</f>
        <v>1638.9399999999905</v>
      </c>
      <c r="T45">
        <f>IFERROR(VALUE(TRIM(SUBSTITUTE(VentesMagasins!$L45,".",","))),0)</f>
        <v>0</v>
      </c>
      <c r="U45">
        <f t="shared" si="1"/>
        <v>3</v>
      </c>
      <c r="V45" t="str">
        <f t="shared" si="2"/>
        <v>moyenne</v>
      </c>
      <c r="W45" t="str">
        <f>_xlfn.XLOOKUP(VentesMagasins!$B45,Clients!ClientID,Région)</f>
        <v>Sud</v>
      </c>
      <c r="X45" t="str">
        <f>INDEX(TypeClient,MATCH(VentesMagasins!$B45,Clients!ClientID))</f>
        <v>Nouveau</v>
      </c>
      <c r="Y45" t="str">
        <v>juin</v>
      </c>
    </row>
    <row r="46" spans="1:25" x14ac:dyDescent="0.25">
      <c r="A46" s="2">
        <v>45</v>
      </c>
      <c r="B46" s="12" t="s">
        <v>202</v>
      </c>
      <c r="C46" s="13">
        <v>45459</v>
      </c>
      <c r="D46" s="12" t="s">
        <v>350</v>
      </c>
      <c r="E46" s="14" t="s">
        <v>334</v>
      </c>
      <c r="F46" s="12" t="s">
        <v>330</v>
      </c>
      <c r="G46" s="2">
        <v>1</v>
      </c>
      <c r="H46" s="3">
        <v>254</v>
      </c>
      <c r="I46" s="14" t="s">
        <v>355</v>
      </c>
      <c r="J46" s="12" t="s">
        <v>394</v>
      </c>
      <c r="K46" s="2">
        <v>1</v>
      </c>
      <c r="L46" s="12" t="s">
        <v>352</v>
      </c>
      <c r="M46">
        <f>YEAR(VentesMagasins!$C46)</f>
        <v>2024</v>
      </c>
      <c r="N46" t="e" cm="1" vm="1">
        <f t="array" aca="1" ref="N46" ca="1">MONTH(DateVente)</f>
        <v>#VALUE!</v>
      </c>
      <c r="O46" t="str">
        <f>PROPER(VentesMagasins!$F46)</f>
        <v>Décoration</v>
      </c>
      <c r="P46">
        <f>VALUE(CLEAN(TRIM(SUBSTITUTE(VentesMagasins!$I46,".",","))))</f>
        <v>0.1</v>
      </c>
      <c r="Q46">
        <f>VALUE(TRIM(SUBSTITUTE(VentesMagasins!$J46,".",",")))</f>
        <v>228.6</v>
      </c>
      <c r="R46">
        <f t="shared" si="0"/>
        <v>205.74</v>
      </c>
      <c r="S46">
        <f>IF(VentesMagasins!$K46=1,(-1)*R46,R46)</f>
        <v>-205.74</v>
      </c>
      <c r="T46">
        <f>IFERROR(VALUE(TRIM(SUBSTITUTE(VentesMagasins!$L46,".",","))),0)</f>
        <v>0</v>
      </c>
      <c r="U46">
        <f t="shared" si="1"/>
        <v>3</v>
      </c>
      <c r="V46" t="str">
        <f t="shared" si="2"/>
        <v>moyenne</v>
      </c>
      <c r="W46" t="str">
        <f>_xlfn.XLOOKUP(VentesMagasins!$B46,Clients!ClientID,Région)</f>
        <v>Nord</v>
      </c>
      <c r="X46" t="str">
        <f>INDEX(TypeClient,MATCH(VentesMagasins!$B46,Clients!ClientID))</f>
        <v>Fidèle</v>
      </c>
      <c r="Y46" t="str">
        <v>juin</v>
      </c>
    </row>
    <row r="47" spans="1:25" x14ac:dyDescent="0.25">
      <c r="A47" s="2">
        <v>46</v>
      </c>
      <c r="B47" s="12" t="s">
        <v>291</v>
      </c>
      <c r="C47" s="13">
        <v>45136</v>
      </c>
      <c r="D47" s="12" t="s">
        <v>322</v>
      </c>
      <c r="E47" s="14" t="s">
        <v>362</v>
      </c>
      <c r="F47" s="12" t="s">
        <v>330</v>
      </c>
      <c r="G47" s="2">
        <v>5</v>
      </c>
      <c r="H47" s="3">
        <v>495</v>
      </c>
      <c r="I47" s="14" t="s">
        <v>355</v>
      </c>
      <c r="J47" s="12" t="s">
        <v>395</v>
      </c>
      <c r="K47" s="2">
        <v>1</v>
      </c>
      <c r="L47" s="12" t="s">
        <v>332</v>
      </c>
      <c r="M47">
        <f>YEAR(VentesMagasins!$C47)</f>
        <v>2023</v>
      </c>
      <c r="N47" t="e" cm="1" vm="1">
        <f t="array" aca="1" ref="N47" ca="1">MONTH(DateVente)</f>
        <v>#VALUE!</v>
      </c>
      <c r="O47" t="str">
        <f>PROPER(VentesMagasins!$F47)</f>
        <v>Décoration</v>
      </c>
      <c r="P47">
        <f>VALUE(CLEAN(TRIM(SUBSTITUTE(VentesMagasins!$I47,".",","))))</f>
        <v>0.1</v>
      </c>
      <c r="Q47">
        <f>VALUE(TRIM(SUBSTITUTE(VentesMagasins!$J47,".",",")))</f>
        <v>2227.5</v>
      </c>
      <c r="R47">
        <f t="shared" si="0"/>
        <v>2004.75</v>
      </c>
      <c r="S47">
        <f>IF(VentesMagasins!$K47=1,(-1)*R47,R47)</f>
        <v>-2004.75</v>
      </c>
      <c r="T47">
        <f>IFERROR(VALUE(TRIM(SUBSTITUTE(VentesMagasins!$L47,".",","))),0)</f>
        <v>4</v>
      </c>
      <c r="U47">
        <f t="shared" si="1"/>
        <v>4</v>
      </c>
      <c r="V47" t="str">
        <f t="shared" si="2"/>
        <v>moyenne</v>
      </c>
      <c r="W47" t="str">
        <f>_xlfn.XLOOKUP(VentesMagasins!$B47,Clients!ClientID,Région)</f>
        <v>Ouest</v>
      </c>
      <c r="X47" t="str">
        <f>INDEX(TypeClient,MATCH(VentesMagasins!$B47,Clients!ClientID))</f>
        <v>Nouveau</v>
      </c>
      <c r="Y47" t="str">
        <v>juil</v>
      </c>
    </row>
    <row r="48" spans="1:25" x14ac:dyDescent="0.25">
      <c r="A48" s="2">
        <v>47</v>
      </c>
      <c r="B48" s="12" t="s">
        <v>92</v>
      </c>
      <c r="C48" s="13">
        <v>45533</v>
      </c>
      <c r="D48" s="12" t="s">
        <v>322</v>
      </c>
      <c r="E48" s="14" t="s">
        <v>339</v>
      </c>
      <c r="F48" s="12" t="s">
        <v>341</v>
      </c>
      <c r="G48" s="2">
        <v>3</v>
      </c>
      <c r="H48" s="3">
        <v>464</v>
      </c>
      <c r="I48" s="14" t="s">
        <v>342</v>
      </c>
      <c r="J48" s="12" t="s">
        <v>396</v>
      </c>
      <c r="K48" s="2">
        <v>0</v>
      </c>
      <c r="L48" s="12" t="s">
        <v>369</v>
      </c>
      <c r="M48">
        <f>YEAR(VentesMagasins!$C48)</f>
        <v>2024</v>
      </c>
      <c r="N48" t="e" cm="1" vm="1">
        <f t="array" aca="1" ref="N48" ca="1">MONTH(DateVente)</f>
        <v>#VALUE!</v>
      </c>
      <c r="O48" t="str">
        <f>PROPER(VentesMagasins!$F48)</f>
        <v>Meuble</v>
      </c>
      <c r="P48">
        <f>VALUE(CLEAN(TRIM(SUBSTITUTE(VentesMagasins!$I48,".",","))))</f>
        <v>0.05</v>
      </c>
      <c r="Q48">
        <f>VALUE(TRIM(SUBSTITUTE(VentesMagasins!$J48,".",",")))</f>
        <v>1322.3999999999901</v>
      </c>
      <c r="R48">
        <f t="shared" si="0"/>
        <v>1256.2799999999904</v>
      </c>
      <c r="S48">
        <f>IF(VentesMagasins!$K48=1,(-1)*R48,R48)</f>
        <v>1256.2799999999904</v>
      </c>
      <c r="T48">
        <f>IFERROR(VALUE(TRIM(SUBSTITUTE(VentesMagasins!$L48,".",","))),0)</f>
        <v>1</v>
      </c>
      <c r="U48">
        <f t="shared" si="1"/>
        <v>1</v>
      </c>
      <c r="V48" t="str">
        <f t="shared" si="2"/>
        <v>faible</v>
      </c>
      <c r="W48" t="str">
        <f>_xlfn.XLOOKUP(VentesMagasins!$B48,Clients!ClientID,Région)</f>
        <v>Centre</v>
      </c>
      <c r="X48" t="str">
        <f>INDEX(TypeClient,MATCH(VentesMagasins!$B48,Clients!ClientID))</f>
        <v>Fidèle</v>
      </c>
      <c r="Y48" t="str">
        <v>août</v>
      </c>
    </row>
    <row r="49" spans="1:25" x14ac:dyDescent="0.25">
      <c r="A49" s="2">
        <v>48</v>
      </c>
      <c r="B49" s="12" t="s">
        <v>154</v>
      </c>
      <c r="C49" s="13">
        <v>45329</v>
      </c>
      <c r="D49" s="12" t="s">
        <v>328</v>
      </c>
      <c r="E49" s="14" t="s">
        <v>364</v>
      </c>
      <c r="F49" s="12" t="s">
        <v>341</v>
      </c>
      <c r="G49" s="2">
        <v>3</v>
      </c>
      <c r="H49" s="3">
        <v>473</v>
      </c>
      <c r="I49" s="14" t="s">
        <v>342</v>
      </c>
      <c r="J49" s="12" t="s">
        <v>397</v>
      </c>
      <c r="K49" s="2">
        <v>1</v>
      </c>
      <c r="L49" s="12" t="s">
        <v>352</v>
      </c>
      <c r="M49">
        <f>YEAR(VentesMagasins!$C49)</f>
        <v>2024</v>
      </c>
      <c r="N49" t="e" cm="1" vm="1">
        <f t="array" aca="1" ref="N49" ca="1">MONTH(DateVente)</f>
        <v>#VALUE!</v>
      </c>
      <c r="O49" t="str">
        <f>PROPER(VentesMagasins!$F49)</f>
        <v>Meuble</v>
      </c>
      <c r="P49">
        <f>VALUE(CLEAN(TRIM(SUBSTITUTE(VentesMagasins!$I49,".",","))))</f>
        <v>0.05</v>
      </c>
      <c r="Q49">
        <f>VALUE(TRIM(SUBSTITUTE(VentesMagasins!$J49,".",",")))</f>
        <v>1348.05</v>
      </c>
      <c r="R49">
        <f t="shared" si="0"/>
        <v>1280.6474999999998</v>
      </c>
      <c r="S49">
        <f>IF(VentesMagasins!$K49=1,(-1)*R49,R49)</f>
        <v>-1280.6474999999998</v>
      </c>
      <c r="T49">
        <f>IFERROR(VALUE(TRIM(SUBSTITUTE(VentesMagasins!$L49,".",","))),0)</f>
        <v>0</v>
      </c>
      <c r="U49">
        <f t="shared" si="1"/>
        <v>3</v>
      </c>
      <c r="V49" t="str">
        <f t="shared" si="2"/>
        <v>moyenne</v>
      </c>
      <c r="W49" t="str">
        <f>_xlfn.XLOOKUP(VentesMagasins!$B49,Clients!ClientID,Région)</f>
        <v>Centre</v>
      </c>
      <c r="X49" t="str">
        <f>INDEX(TypeClient,MATCH(VentesMagasins!$B49,Clients!ClientID))</f>
        <v>Fidèle</v>
      </c>
      <c r="Y49" t="str">
        <v>févr</v>
      </c>
    </row>
    <row r="50" spans="1:25" x14ac:dyDescent="0.25">
      <c r="A50" s="2">
        <v>49</v>
      </c>
      <c r="B50" s="12" t="s">
        <v>276</v>
      </c>
      <c r="C50" s="13">
        <v>45387</v>
      </c>
      <c r="D50" s="12" t="s">
        <v>333</v>
      </c>
      <c r="E50" s="14" t="s">
        <v>323</v>
      </c>
      <c r="F50" s="12" t="s">
        <v>341</v>
      </c>
      <c r="G50" s="2">
        <v>4</v>
      </c>
      <c r="H50" s="3">
        <v>317</v>
      </c>
      <c r="I50" s="14" t="s">
        <v>325</v>
      </c>
      <c r="J50" s="12" t="s">
        <v>398</v>
      </c>
      <c r="K50" s="2">
        <v>0</v>
      </c>
      <c r="L50" s="12" t="s">
        <v>332</v>
      </c>
      <c r="M50">
        <f>YEAR(VentesMagasins!$C50)</f>
        <v>2024</v>
      </c>
      <c r="N50" t="e" cm="1" vm="1">
        <f t="array" aca="1" ref="N50" ca="1">MONTH(DateVente)</f>
        <v>#VALUE!</v>
      </c>
      <c r="O50" t="str">
        <f>PROPER(VentesMagasins!$F50)</f>
        <v>Meuble</v>
      </c>
      <c r="P50">
        <f>VALUE(CLEAN(TRIM(SUBSTITUTE(VentesMagasins!$I50,".",","))))</f>
        <v>0.15</v>
      </c>
      <c r="Q50">
        <f>VALUE(TRIM(SUBSTITUTE(VentesMagasins!$J50,".",",")))</f>
        <v>1077.8</v>
      </c>
      <c r="R50">
        <f t="shared" si="0"/>
        <v>916.12999999999988</v>
      </c>
      <c r="S50">
        <f>IF(VentesMagasins!$K50=1,(-1)*R50,R50)</f>
        <v>916.12999999999988</v>
      </c>
      <c r="T50">
        <f>IFERROR(VALUE(TRIM(SUBSTITUTE(VentesMagasins!$L50,".",","))),0)</f>
        <v>4</v>
      </c>
      <c r="U50">
        <f t="shared" si="1"/>
        <v>4</v>
      </c>
      <c r="V50" t="str">
        <f t="shared" si="2"/>
        <v>moyenne</v>
      </c>
      <c r="W50" t="str">
        <f>_xlfn.XLOOKUP(VentesMagasins!$B50,Clients!ClientID,Région)</f>
        <v>Est</v>
      </c>
      <c r="X50" t="str">
        <f>INDEX(TypeClient,MATCH(VentesMagasins!$B50,Clients!ClientID))</f>
        <v>Nouveau</v>
      </c>
      <c r="Y50" t="str">
        <v>avr</v>
      </c>
    </row>
    <row r="51" spans="1:25" x14ac:dyDescent="0.25">
      <c r="A51" s="2">
        <v>50</v>
      </c>
      <c r="B51" s="12" t="s">
        <v>82</v>
      </c>
      <c r="C51" s="13">
        <v>45699</v>
      </c>
      <c r="D51" s="12" t="s">
        <v>338</v>
      </c>
      <c r="E51" s="14" t="s">
        <v>334</v>
      </c>
      <c r="F51" s="12" t="s">
        <v>330</v>
      </c>
      <c r="G51" s="2">
        <v>4</v>
      </c>
      <c r="H51" s="3">
        <v>295</v>
      </c>
      <c r="I51" s="14" t="s">
        <v>325</v>
      </c>
      <c r="J51" s="12" t="s">
        <v>399</v>
      </c>
      <c r="K51" s="2">
        <v>0</v>
      </c>
      <c r="L51" s="12" t="s">
        <v>337</v>
      </c>
      <c r="M51">
        <f>YEAR(VentesMagasins!$C51)</f>
        <v>2025</v>
      </c>
      <c r="N51" t="e" cm="1" vm="1">
        <f t="array" aca="1" ref="N51" ca="1">MONTH(DateVente)</f>
        <v>#VALUE!</v>
      </c>
      <c r="O51" t="str">
        <f>PROPER(VentesMagasins!$F51)</f>
        <v>Décoration</v>
      </c>
      <c r="P51">
        <f>VALUE(CLEAN(TRIM(SUBSTITUTE(VentesMagasins!$I51,".",","))))</f>
        <v>0.15</v>
      </c>
      <c r="Q51">
        <f>VALUE(TRIM(SUBSTITUTE(VentesMagasins!$J51,".",",")))</f>
        <v>1003</v>
      </c>
      <c r="R51">
        <f t="shared" si="0"/>
        <v>852.55</v>
      </c>
      <c r="S51">
        <f>IF(VentesMagasins!$K51=1,(-1)*R51,R51)</f>
        <v>852.55</v>
      </c>
      <c r="T51">
        <f>IFERROR(VALUE(TRIM(SUBSTITUTE(VentesMagasins!$L51,".",","))),0)</f>
        <v>3</v>
      </c>
      <c r="U51">
        <f t="shared" si="1"/>
        <v>3</v>
      </c>
      <c r="V51" t="str">
        <f t="shared" si="2"/>
        <v>moyenne</v>
      </c>
      <c r="W51" t="str">
        <f>_xlfn.XLOOKUP(VentesMagasins!$B51,Clients!ClientID,Région)</f>
        <v>Sud</v>
      </c>
      <c r="X51" t="str">
        <f>INDEX(TypeClient,MATCH(VentesMagasins!$B51,Clients!ClientID))</f>
        <v>Occasionnel</v>
      </c>
      <c r="Y51" t="str">
        <v>févr</v>
      </c>
    </row>
    <row r="52" spans="1:25" x14ac:dyDescent="0.25">
      <c r="A52" s="2">
        <v>51</v>
      </c>
      <c r="B52" s="12" t="s">
        <v>124</v>
      </c>
      <c r="C52" s="13">
        <v>45879</v>
      </c>
      <c r="D52" s="12" t="s">
        <v>333</v>
      </c>
      <c r="E52" s="14" t="s">
        <v>364</v>
      </c>
      <c r="F52" s="12" t="s">
        <v>330</v>
      </c>
      <c r="G52" s="2">
        <v>5</v>
      </c>
      <c r="H52" s="3">
        <v>88</v>
      </c>
      <c r="I52" s="14" t="s">
        <v>355</v>
      </c>
      <c r="J52" s="12" t="s">
        <v>400</v>
      </c>
      <c r="K52" s="2">
        <v>1</v>
      </c>
      <c r="L52" s="12" t="s">
        <v>369</v>
      </c>
      <c r="M52">
        <f>YEAR(VentesMagasins!$C52)</f>
        <v>2025</v>
      </c>
      <c r="N52" t="e" cm="1" vm="1">
        <f t="array" aca="1" ref="N52" ca="1">MONTH(DateVente)</f>
        <v>#VALUE!</v>
      </c>
      <c r="O52" t="str">
        <f>PROPER(VentesMagasins!$F52)</f>
        <v>Décoration</v>
      </c>
      <c r="P52">
        <f>VALUE(CLEAN(TRIM(SUBSTITUTE(VentesMagasins!$I52,".",","))))</f>
        <v>0.1</v>
      </c>
      <c r="Q52">
        <f>VALUE(TRIM(SUBSTITUTE(VentesMagasins!$J52,".",",")))</f>
        <v>396</v>
      </c>
      <c r="R52">
        <f t="shared" si="0"/>
        <v>356.40000000000003</v>
      </c>
      <c r="S52">
        <f>IF(VentesMagasins!$K52=1,(-1)*R52,R52)</f>
        <v>-356.40000000000003</v>
      </c>
      <c r="T52">
        <f>IFERROR(VALUE(TRIM(SUBSTITUTE(VentesMagasins!$L52,".",","))),0)</f>
        <v>1</v>
      </c>
      <c r="U52">
        <f t="shared" si="1"/>
        <v>1</v>
      </c>
      <c r="V52" t="str">
        <f t="shared" si="2"/>
        <v>faible</v>
      </c>
      <c r="W52" t="str">
        <f>_xlfn.XLOOKUP(VentesMagasins!$B52,Clients!ClientID,Région)</f>
        <v>Ouest</v>
      </c>
      <c r="X52" t="str">
        <f>INDEX(TypeClient,MATCH(VentesMagasins!$B52,Clients!ClientID))</f>
        <v>Occasionnel</v>
      </c>
      <c r="Y52" t="str">
        <v>août</v>
      </c>
    </row>
    <row r="53" spans="1:25" x14ac:dyDescent="0.25">
      <c r="A53" s="2">
        <v>52</v>
      </c>
      <c r="B53" s="12" t="s">
        <v>278</v>
      </c>
      <c r="C53" s="13">
        <v>45260</v>
      </c>
      <c r="D53" s="12" t="s">
        <v>401</v>
      </c>
      <c r="E53" s="14" t="s">
        <v>362</v>
      </c>
      <c r="F53" s="12" t="s">
        <v>341</v>
      </c>
      <c r="G53" s="2">
        <v>3</v>
      </c>
      <c r="H53" s="3">
        <v>253</v>
      </c>
      <c r="I53" s="14" t="s">
        <v>325</v>
      </c>
      <c r="J53" s="12" t="s">
        <v>402</v>
      </c>
      <c r="K53" s="2">
        <v>1</v>
      </c>
      <c r="L53" s="12" t="s">
        <v>369</v>
      </c>
      <c r="M53">
        <f>YEAR(VentesMagasins!$C53)</f>
        <v>2023</v>
      </c>
      <c r="N53" t="e" cm="1" vm="1">
        <f t="array" aca="1" ref="N53" ca="1">MONTH(DateVente)</f>
        <v>#VALUE!</v>
      </c>
      <c r="O53" t="str">
        <f>PROPER(VentesMagasins!$F53)</f>
        <v>Meuble</v>
      </c>
      <c r="P53">
        <f>VALUE(CLEAN(TRIM(SUBSTITUTE(VentesMagasins!$I53,".",","))))</f>
        <v>0.15</v>
      </c>
      <c r="Q53">
        <f>VALUE(TRIM(SUBSTITUTE(VentesMagasins!$J53,".",",")))</f>
        <v>645.15</v>
      </c>
      <c r="R53">
        <f t="shared" si="0"/>
        <v>548.37749999999994</v>
      </c>
      <c r="S53">
        <f>IF(VentesMagasins!$K53=1,(-1)*R53,R53)</f>
        <v>-548.37749999999994</v>
      </c>
      <c r="T53">
        <f>IFERROR(VALUE(TRIM(SUBSTITUTE(VentesMagasins!$L53,".",","))),0)</f>
        <v>1</v>
      </c>
      <c r="U53">
        <f t="shared" si="1"/>
        <v>1</v>
      </c>
      <c r="V53" t="str">
        <f t="shared" si="2"/>
        <v>faible</v>
      </c>
      <c r="W53" t="str">
        <f>_xlfn.XLOOKUP(VentesMagasins!$B53,Clients!ClientID,Région)</f>
        <v>Nord</v>
      </c>
      <c r="X53" t="str">
        <f>INDEX(TypeClient,MATCH(VentesMagasins!$B53,Clients!ClientID))</f>
        <v>Nouveau</v>
      </c>
      <c r="Y53" t="str">
        <v>nov</v>
      </c>
    </row>
    <row r="54" spans="1:25" x14ac:dyDescent="0.25">
      <c r="A54" s="2">
        <v>53</v>
      </c>
      <c r="B54" s="12" t="s">
        <v>270</v>
      </c>
      <c r="C54" s="13">
        <v>45185</v>
      </c>
      <c r="D54" s="12" t="s">
        <v>322</v>
      </c>
      <c r="E54" s="14" t="s">
        <v>339</v>
      </c>
      <c r="F54" s="12" t="s">
        <v>324</v>
      </c>
      <c r="G54" s="2">
        <v>3</v>
      </c>
      <c r="H54" s="3">
        <v>313</v>
      </c>
      <c r="I54" s="14" t="s">
        <v>335</v>
      </c>
      <c r="J54" s="12" t="s">
        <v>403</v>
      </c>
      <c r="K54" s="2">
        <v>0</v>
      </c>
      <c r="L54" s="12" t="s">
        <v>369</v>
      </c>
      <c r="M54">
        <f>YEAR(VentesMagasins!$C54)</f>
        <v>2023</v>
      </c>
      <c r="N54" t="e" cm="1" vm="1">
        <f t="array" aca="1" ref="N54" ca="1">MONTH(DateVente)</f>
        <v>#VALUE!</v>
      </c>
      <c r="O54" t="str">
        <f>PROPER(VentesMagasins!$F54)</f>
        <v>Électronique</v>
      </c>
      <c r="P54">
        <f>VALUE(CLEAN(TRIM(SUBSTITUTE(VentesMagasins!$I54,".",","))))</f>
        <v>0</v>
      </c>
      <c r="Q54">
        <f>VALUE(TRIM(SUBSTITUTE(VentesMagasins!$J54,".",",")))</f>
        <v>939</v>
      </c>
      <c r="R54">
        <f t="shared" si="0"/>
        <v>939</v>
      </c>
      <c r="S54">
        <f>IF(VentesMagasins!$K54=1,(-1)*R54,R54)</f>
        <v>939</v>
      </c>
      <c r="T54">
        <f>IFERROR(VALUE(TRIM(SUBSTITUTE(VentesMagasins!$L54,".",","))),0)</f>
        <v>1</v>
      </c>
      <c r="U54">
        <f t="shared" si="1"/>
        <v>1</v>
      </c>
      <c r="V54" t="str">
        <f t="shared" si="2"/>
        <v>faible</v>
      </c>
      <c r="W54" t="str">
        <f>_xlfn.XLOOKUP(VentesMagasins!$B54,Clients!ClientID,Région)</f>
        <v>Centre</v>
      </c>
      <c r="X54" t="str">
        <f>INDEX(TypeClient,MATCH(VentesMagasins!$B54,Clients!ClientID))</f>
        <v>Nouveau</v>
      </c>
      <c r="Y54" t="str">
        <v>sept</v>
      </c>
    </row>
    <row r="55" spans="1:25" x14ac:dyDescent="0.25">
      <c r="A55" s="2">
        <v>54</v>
      </c>
      <c r="B55" s="12" t="s">
        <v>216</v>
      </c>
      <c r="C55" s="13">
        <v>45303</v>
      </c>
      <c r="D55" s="12" t="s">
        <v>328</v>
      </c>
      <c r="E55" s="14" t="s">
        <v>323</v>
      </c>
      <c r="F55" s="12" t="s">
        <v>324</v>
      </c>
      <c r="G55" s="2">
        <v>2</v>
      </c>
      <c r="H55" s="3">
        <v>355</v>
      </c>
      <c r="I55" s="14" t="s">
        <v>335</v>
      </c>
      <c r="J55" s="12" t="s">
        <v>404</v>
      </c>
      <c r="K55" s="2">
        <v>0</v>
      </c>
      <c r="L55" s="12" t="s">
        <v>327</v>
      </c>
      <c r="M55">
        <f>YEAR(VentesMagasins!$C55)</f>
        <v>2024</v>
      </c>
      <c r="N55" t="e" cm="1" vm="1">
        <f t="array" aca="1" ref="N55" ca="1">MONTH(DateVente)</f>
        <v>#VALUE!</v>
      </c>
      <c r="O55" t="str">
        <f>PROPER(VentesMagasins!$F55)</f>
        <v>Électronique</v>
      </c>
      <c r="P55">
        <f>VALUE(CLEAN(TRIM(SUBSTITUTE(VentesMagasins!$I55,".",","))))</f>
        <v>0</v>
      </c>
      <c r="Q55">
        <f>VALUE(TRIM(SUBSTITUTE(VentesMagasins!$J55,".",",")))</f>
        <v>710</v>
      </c>
      <c r="R55">
        <f t="shared" si="0"/>
        <v>710</v>
      </c>
      <c r="S55">
        <f>IF(VentesMagasins!$K55=1,(-1)*R55,R55)</f>
        <v>710</v>
      </c>
      <c r="T55">
        <f>IFERROR(VALUE(TRIM(SUBSTITUTE(VentesMagasins!$L55,".",","))),0)</f>
        <v>5</v>
      </c>
      <c r="U55">
        <f t="shared" si="1"/>
        <v>5</v>
      </c>
      <c r="V55" t="str">
        <f t="shared" si="2"/>
        <v>élévé</v>
      </c>
      <c r="W55" t="str">
        <f>_xlfn.XLOOKUP(VentesMagasins!$B55,Clients!ClientID,Région)</f>
        <v>Est</v>
      </c>
      <c r="X55" t="str">
        <f>INDEX(TypeClient,MATCH(VentesMagasins!$B55,Clients!ClientID))</f>
        <v>Fidèle</v>
      </c>
      <c r="Y55" t="str">
        <v>janv</v>
      </c>
    </row>
    <row r="56" spans="1:25" x14ac:dyDescent="0.25">
      <c r="A56" s="2">
        <v>55</v>
      </c>
      <c r="B56" s="12" t="s">
        <v>163</v>
      </c>
      <c r="C56" s="13">
        <v>46020</v>
      </c>
      <c r="D56" s="12" t="s">
        <v>328</v>
      </c>
      <c r="E56" s="14" t="s">
        <v>329</v>
      </c>
      <c r="F56" s="12" t="s">
        <v>341</v>
      </c>
      <c r="G56" s="2">
        <v>1</v>
      </c>
      <c r="H56" s="3">
        <v>150</v>
      </c>
      <c r="I56" s="14" t="s">
        <v>355</v>
      </c>
      <c r="J56" s="12" t="s">
        <v>405</v>
      </c>
      <c r="K56" s="2">
        <v>0</v>
      </c>
      <c r="L56" s="12" t="s">
        <v>369</v>
      </c>
      <c r="M56">
        <f>YEAR(VentesMagasins!$C56)</f>
        <v>2025</v>
      </c>
      <c r="N56" t="e" cm="1" vm="1">
        <f t="array" aca="1" ref="N56" ca="1">MONTH(DateVente)</f>
        <v>#VALUE!</v>
      </c>
      <c r="O56" t="str">
        <f>PROPER(VentesMagasins!$F56)</f>
        <v>Meuble</v>
      </c>
      <c r="P56">
        <f>VALUE(CLEAN(TRIM(SUBSTITUTE(VentesMagasins!$I56,".",","))))</f>
        <v>0.1</v>
      </c>
      <c r="Q56">
        <f>VALUE(TRIM(SUBSTITUTE(VentesMagasins!$J56,".",",")))</f>
        <v>135</v>
      </c>
      <c r="R56">
        <f t="shared" si="0"/>
        <v>121.5</v>
      </c>
      <c r="S56">
        <f>IF(VentesMagasins!$K56=1,(-1)*R56,R56)</f>
        <v>121.5</v>
      </c>
      <c r="T56">
        <f>IFERROR(VALUE(TRIM(SUBSTITUTE(VentesMagasins!$L56,".",","))),0)</f>
        <v>1</v>
      </c>
      <c r="U56">
        <f t="shared" si="1"/>
        <v>1</v>
      </c>
      <c r="V56" t="str">
        <f t="shared" si="2"/>
        <v>faible</v>
      </c>
      <c r="W56" t="str">
        <f>_xlfn.XLOOKUP(VentesMagasins!$B56,Clients!ClientID,Région)</f>
        <v>Nord</v>
      </c>
      <c r="X56" t="str">
        <f>INDEX(TypeClient,MATCH(VentesMagasins!$B56,Clients!ClientID))</f>
        <v>Nouveau</v>
      </c>
      <c r="Y56" t="str">
        <v>déc</v>
      </c>
    </row>
    <row r="57" spans="1:25" x14ac:dyDescent="0.25">
      <c r="A57" s="2">
        <v>56</v>
      </c>
      <c r="B57" s="12" t="s">
        <v>91</v>
      </c>
      <c r="C57" s="13">
        <v>45706</v>
      </c>
      <c r="D57" s="12" t="s">
        <v>338</v>
      </c>
      <c r="E57" s="14" t="s">
        <v>334</v>
      </c>
      <c r="F57" s="12" t="s">
        <v>324</v>
      </c>
      <c r="G57" s="2">
        <v>1</v>
      </c>
      <c r="H57" s="3">
        <v>288</v>
      </c>
      <c r="I57" s="14" t="s">
        <v>342</v>
      </c>
      <c r="J57" s="12" t="s">
        <v>406</v>
      </c>
      <c r="K57" s="2">
        <v>0</v>
      </c>
      <c r="L57" s="12" t="s">
        <v>344</v>
      </c>
      <c r="M57">
        <f>YEAR(VentesMagasins!$C57)</f>
        <v>2025</v>
      </c>
      <c r="N57" t="e" cm="1" vm="1">
        <f t="array" aca="1" ref="N57" ca="1">MONTH(DateVente)</f>
        <v>#VALUE!</v>
      </c>
      <c r="O57" t="str">
        <f>PROPER(VentesMagasins!$F57)</f>
        <v>Électronique</v>
      </c>
      <c r="P57">
        <f>VALUE(CLEAN(TRIM(SUBSTITUTE(VentesMagasins!$I57,".",","))))</f>
        <v>0.05</v>
      </c>
      <c r="Q57">
        <f>VALUE(TRIM(SUBSTITUTE(VentesMagasins!$J57,".",",")))</f>
        <v>273.599999999999</v>
      </c>
      <c r="R57">
        <f t="shared" si="0"/>
        <v>259.91999999999905</v>
      </c>
      <c r="S57">
        <f>IF(VentesMagasins!$K57=1,(-1)*R57,R57)</f>
        <v>259.91999999999905</v>
      </c>
      <c r="T57">
        <f>IFERROR(VALUE(TRIM(SUBSTITUTE(VentesMagasins!$L57,".",","))),0)</f>
        <v>2</v>
      </c>
      <c r="U57">
        <f t="shared" si="1"/>
        <v>2</v>
      </c>
      <c r="V57" t="str">
        <f t="shared" si="2"/>
        <v>faible</v>
      </c>
      <c r="W57" t="str">
        <f>_xlfn.XLOOKUP(VentesMagasins!$B57,Clients!ClientID,Région)</f>
        <v>Ouest</v>
      </c>
      <c r="X57" t="str">
        <f>INDEX(TypeClient,MATCH(VentesMagasins!$B57,Clients!ClientID))</f>
        <v>Occasionnel</v>
      </c>
      <c r="Y57" t="str">
        <v>févr</v>
      </c>
    </row>
    <row r="58" spans="1:25" x14ac:dyDescent="0.25">
      <c r="A58" s="2">
        <v>57</v>
      </c>
      <c r="B58" s="12" t="s">
        <v>223</v>
      </c>
      <c r="C58" s="13">
        <v>45793</v>
      </c>
      <c r="D58" s="12" t="s">
        <v>328</v>
      </c>
      <c r="E58" s="14" t="s">
        <v>362</v>
      </c>
      <c r="F58" s="12" t="s">
        <v>330</v>
      </c>
      <c r="G58" s="2">
        <v>1</v>
      </c>
      <c r="H58" s="3">
        <v>163</v>
      </c>
      <c r="I58" s="14" t="s">
        <v>342</v>
      </c>
      <c r="J58" s="12" t="s">
        <v>407</v>
      </c>
      <c r="K58" s="2">
        <v>0</v>
      </c>
      <c r="L58" s="12" t="s">
        <v>344</v>
      </c>
      <c r="M58">
        <f>YEAR(VentesMagasins!$C58)</f>
        <v>2025</v>
      </c>
      <c r="N58" t="e" cm="1" vm="1">
        <f t="array" aca="1" ref="N58" ca="1">MONTH(DateVente)</f>
        <v>#VALUE!</v>
      </c>
      <c r="O58" t="str">
        <f>PROPER(VentesMagasins!$F58)</f>
        <v>Décoration</v>
      </c>
      <c r="P58">
        <f>VALUE(CLEAN(TRIM(SUBSTITUTE(VentesMagasins!$I58,".",","))))</f>
        <v>0.05</v>
      </c>
      <c r="Q58">
        <f>VALUE(TRIM(SUBSTITUTE(VentesMagasins!$J58,".",",")))</f>
        <v>154.85</v>
      </c>
      <c r="R58">
        <f t="shared" si="0"/>
        <v>147.10749999999999</v>
      </c>
      <c r="S58">
        <f>IF(VentesMagasins!$K58=1,(-1)*R58,R58)</f>
        <v>147.10749999999999</v>
      </c>
      <c r="T58">
        <f>IFERROR(VALUE(TRIM(SUBSTITUTE(VentesMagasins!$L58,".",","))),0)</f>
        <v>2</v>
      </c>
      <c r="U58">
        <f t="shared" si="1"/>
        <v>2</v>
      </c>
      <c r="V58" t="str">
        <f t="shared" si="2"/>
        <v>faible</v>
      </c>
      <c r="W58" t="str">
        <f>_xlfn.XLOOKUP(VentesMagasins!$B58,Clients!ClientID,Région)</f>
        <v>Nord</v>
      </c>
      <c r="X58" t="str">
        <f>INDEX(TypeClient,MATCH(VentesMagasins!$B58,Clients!ClientID))</f>
        <v>Fidèle</v>
      </c>
      <c r="Y58" t="str">
        <v>mai</v>
      </c>
    </row>
    <row r="59" spans="1:25" x14ac:dyDescent="0.25">
      <c r="A59" s="2">
        <v>58</v>
      </c>
      <c r="B59" s="12" t="s">
        <v>167</v>
      </c>
      <c r="C59" s="13">
        <v>45384</v>
      </c>
      <c r="D59" s="12" t="s">
        <v>350</v>
      </c>
      <c r="E59" s="14" t="s">
        <v>323</v>
      </c>
      <c r="F59" s="12" t="s">
        <v>341</v>
      </c>
      <c r="G59" s="2">
        <v>2</v>
      </c>
      <c r="H59" s="3">
        <v>113</v>
      </c>
      <c r="I59" s="14" t="s">
        <v>335</v>
      </c>
      <c r="J59" s="12" t="s">
        <v>408</v>
      </c>
      <c r="K59" s="2">
        <v>0</v>
      </c>
      <c r="L59" s="12" t="s">
        <v>332</v>
      </c>
      <c r="M59">
        <f>YEAR(VentesMagasins!$C59)</f>
        <v>2024</v>
      </c>
      <c r="N59" t="e" cm="1" vm="1">
        <f t="array" aca="1" ref="N59" ca="1">MONTH(DateVente)</f>
        <v>#VALUE!</v>
      </c>
      <c r="O59" t="str">
        <f>PROPER(VentesMagasins!$F59)</f>
        <v>Meuble</v>
      </c>
      <c r="P59">
        <f>VALUE(CLEAN(TRIM(SUBSTITUTE(VentesMagasins!$I59,".",","))))</f>
        <v>0</v>
      </c>
      <c r="Q59">
        <f>VALUE(TRIM(SUBSTITUTE(VentesMagasins!$J59,".",",")))</f>
        <v>226</v>
      </c>
      <c r="R59">
        <f t="shared" si="0"/>
        <v>226</v>
      </c>
      <c r="S59">
        <f>IF(VentesMagasins!$K59=1,(-1)*R59,R59)</f>
        <v>226</v>
      </c>
      <c r="T59">
        <f>IFERROR(VALUE(TRIM(SUBSTITUTE(VentesMagasins!$L59,".",","))),0)</f>
        <v>4</v>
      </c>
      <c r="U59">
        <f t="shared" si="1"/>
        <v>4</v>
      </c>
      <c r="V59" t="str">
        <f t="shared" si="2"/>
        <v>moyenne</v>
      </c>
      <c r="W59" t="str">
        <f>_xlfn.XLOOKUP(VentesMagasins!$B59,Clients!ClientID,Région)</f>
        <v>Ouest</v>
      </c>
      <c r="X59" t="str">
        <f>INDEX(TypeClient,MATCH(VentesMagasins!$B59,Clients!ClientID))</f>
        <v>Nouveau</v>
      </c>
      <c r="Y59" t="str">
        <v>avr</v>
      </c>
    </row>
    <row r="60" spans="1:25" x14ac:dyDescent="0.25">
      <c r="A60" s="2">
        <v>59</v>
      </c>
      <c r="B60" s="12" t="s">
        <v>140</v>
      </c>
      <c r="C60" s="13">
        <v>45386</v>
      </c>
      <c r="D60" s="12" t="s">
        <v>350</v>
      </c>
      <c r="E60" s="14" t="s">
        <v>339</v>
      </c>
      <c r="F60" s="12" t="s">
        <v>324</v>
      </c>
      <c r="G60" s="2">
        <v>3</v>
      </c>
      <c r="H60" s="3">
        <v>354</v>
      </c>
      <c r="I60" s="14" t="s">
        <v>342</v>
      </c>
      <c r="J60" s="12" t="s">
        <v>409</v>
      </c>
      <c r="K60" s="2">
        <v>0</v>
      </c>
      <c r="L60" s="12" t="s">
        <v>332</v>
      </c>
      <c r="M60">
        <f>YEAR(VentesMagasins!$C60)</f>
        <v>2024</v>
      </c>
      <c r="N60" t="e" cm="1" vm="1">
        <f t="array" aca="1" ref="N60" ca="1">MONTH(DateVente)</f>
        <v>#VALUE!</v>
      </c>
      <c r="O60" t="str">
        <f>PROPER(VentesMagasins!$F60)</f>
        <v>Électronique</v>
      </c>
      <c r="P60">
        <f>VALUE(CLEAN(TRIM(SUBSTITUTE(VentesMagasins!$I60,".",","))))</f>
        <v>0.05</v>
      </c>
      <c r="Q60">
        <f>VALUE(TRIM(SUBSTITUTE(VentesMagasins!$J60,".",",")))</f>
        <v>1008.9</v>
      </c>
      <c r="R60">
        <f t="shared" si="0"/>
        <v>958.45499999999993</v>
      </c>
      <c r="S60">
        <f>IF(VentesMagasins!$K60=1,(-1)*R60,R60)</f>
        <v>958.45499999999993</v>
      </c>
      <c r="T60">
        <f>IFERROR(VALUE(TRIM(SUBSTITUTE(VentesMagasins!$L60,".",","))),0)</f>
        <v>4</v>
      </c>
      <c r="U60">
        <f t="shared" si="1"/>
        <v>4</v>
      </c>
      <c r="V60" t="str">
        <f t="shared" si="2"/>
        <v>moyenne</v>
      </c>
      <c r="W60" t="str">
        <f>_xlfn.XLOOKUP(VentesMagasins!$B60,Clients!ClientID,Région)</f>
        <v>Est</v>
      </c>
      <c r="X60" t="str">
        <f>INDEX(TypeClient,MATCH(VentesMagasins!$B60,Clients!ClientID))</f>
        <v>Nouveau</v>
      </c>
      <c r="Y60" t="str">
        <v>avr</v>
      </c>
    </row>
    <row r="61" spans="1:25" x14ac:dyDescent="0.25">
      <c r="A61" s="2">
        <v>60</v>
      </c>
      <c r="B61" s="12" t="s">
        <v>61</v>
      </c>
      <c r="C61" s="13">
        <v>45971</v>
      </c>
      <c r="D61" s="12" t="s">
        <v>322</v>
      </c>
      <c r="E61" s="14" t="s">
        <v>339</v>
      </c>
      <c r="F61" s="12" t="s">
        <v>324</v>
      </c>
      <c r="G61" s="2">
        <v>3</v>
      </c>
      <c r="H61" s="3">
        <v>236</v>
      </c>
      <c r="I61" s="14" t="s">
        <v>355</v>
      </c>
      <c r="J61" s="12" t="s">
        <v>410</v>
      </c>
      <c r="K61" s="2">
        <v>0</v>
      </c>
      <c r="L61" s="12" t="s">
        <v>327</v>
      </c>
      <c r="M61">
        <f>YEAR(VentesMagasins!$C61)</f>
        <v>2025</v>
      </c>
      <c r="N61" t="e" cm="1" vm="1">
        <f t="array" aca="1" ref="N61" ca="1">MONTH(DateVente)</f>
        <v>#VALUE!</v>
      </c>
      <c r="O61" t="str">
        <f>PROPER(VentesMagasins!$F61)</f>
        <v>Électronique</v>
      </c>
      <c r="P61">
        <f>VALUE(CLEAN(TRIM(SUBSTITUTE(VentesMagasins!$I61,".",","))))</f>
        <v>0.1</v>
      </c>
      <c r="Q61">
        <f>VALUE(TRIM(SUBSTITUTE(VentesMagasins!$J61,".",",")))</f>
        <v>637.20000000000005</v>
      </c>
      <c r="R61">
        <f t="shared" si="0"/>
        <v>573.48</v>
      </c>
      <c r="S61">
        <f>IF(VentesMagasins!$K61=1,(-1)*R61,R61)</f>
        <v>573.48</v>
      </c>
      <c r="T61">
        <f>IFERROR(VALUE(TRIM(SUBSTITUTE(VentesMagasins!$L61,".",","))),0)</f>
        <v>5</v>
      </c>
      <c r="U61">
        <f t="shared" si="1"/>
        <v>5</v>
      </c>
      <c r="V61" t="str">
        <f t="shared" si="2"/>
        <v>élévé</v>
      </c>
      <c r="W61" t="str">
        <f>_xlfn.XLOOKUP(VentesMagasins!$B61,Clients!ClientID,Région)</f>
        <v>Nord</v>
      </c>
      <c r="X61" t="str">
        <f>INDEX(TypeClient,MATCH(VentesMagasins!$B61,Clients!ClientID))</f>
        <v>Fidèle</v>
      </c>
      <c r="Y61" t="str">
        <v>nov</v>
      </c>
    </row>
    <row r="62" spans="1:25" x14ac:dyDescent="0.25">
      <c r="A62" s="2">
        <v>61</v>
      </c>
      <c r="B62" s="12" t="s">
        <v>163</v>
      </c>
      <c r="C62" s="13">
        <v>45996</v>
      </c>
      <c r="D62" s="12" t="s">
        <v>350</v>
      </c>
      <c r="E62" s="14" t="s">
        <v>345</v>
      </c>
      <c r="F62" s="12" t="s">
        <v>330</v>
      </c>
      <c r="G62" s="2">
        <v>2</v>
      </c>
      <c r="H62" s="3">
        <v>114</v>
      </c>
      <c r="I62" s="14" t="s">
        <v>342</v>
      </c>
      <c r="J62" s="12" t="s">
        <v>411</v>
      </c>
      <c r="K62" s="2">
        <v>1</v>
      </c>
      <c r="L62" s="12" t="s">
        <v>337</v>
      </c>
      <c r="M62">
        <f>YEAR(VentesMagasins!$C62)</f>
        <v>2025</v>
      </c>
      <c r="N62" t="e" cm="1" vm="1">
        <f t="array" aca="1" ref="N62" ca="1">MONTH(DateVente)</f>
        <v>#VALUE!</v>
      </c>
      <c r="O62" t="str">
        <f>PROPER(VentesMagasins!$F62)</f>
        <v>Décoration</v>
      </c>
      <c r="P62">
        <f>VALUE(CLEAN(TRIM(SUBSTITUTE(VentesMagasins!$I62,".",","))))</f>
        <v>0.05</v>
      </c>
      <c r="Q62">
        <f>VALUE(TRIM(SUBSTITUTE(VentesMagasins!$J62,".",",")))</f>
        <v>216.6</v>
      </c>
      <c r="R62">
        <f t="shared" si="0"/>
        <v>205.76999999999998</v>
      </c>
      <c r="S62">
        <f>IF(VentesMagasins!$K62=1,(-1)*R62,R62)</f>
        <v>-205.76999999999998</v>
      </c>
      <c r="T62">
        <f>IFERROR(VALUE(TRIM(SUBSTITUTE(VentesMagasins!$L62,".",","))),0)</f>
        <v>3</v>
      </c>
      <c r="U62">
        <f t="shared" si="1"/>
        <v>3</v>
      </c>
      <c r="V62" t="str">
        <f t="shared" si="2"/>
        <v>moyenne</v>
      </c>
      <c r="W62" t="str">
        <f>_xlfn.XLOOKUP(VentesMagasins!$B62,Clients!ClientID,Région)</f>
        <v>Nord</v>
      </c>
      <c r="X62" t="str">
        <f>INDEX(TypeClient,MATCH(VentesMagasins!$B62,Clients!ClientID))</f>
        <v>Nouveau</v>
      </c>
      <c r="Y62" t="str">
        <v>déc</v>
      </c>
    </row>
    <row r="63" spans="1:25" x14ac:dyDescent="0.25">
      <c r="A63" s="2">
        <v>62</v>
      </c>
      <c r="B63" s="12" t="s">
        <v>186</v>
      </c>
      <c r="C63" s="13">
        <v>45213</v>
      </c>
      <c r="D63" s="12" t="s">
        <v>350</v>
      </c>
      <c r="E63" s="14" t="s">
        <v>362</v>
      </c>
      <c r="F63" s="12" t="s">
        <v>324</v>
      </c>
      <c r="G63" s="2">
        <v>3</v>
      </c>
      <c r="H63" s="3">
        <v>265</v>
      </c>
      <c r="I63" s="14" t="s">
        <v>342</v>
      </c>
      <c r="J63" s="12" t="s">
        <v>412</v>
      </c>
      <c r="K63" s="2">
        <v>1</v>
      </c>
      <c r="L63" s="12" t="s">
        <v>327</v>
      </c>
      <c r="M63">
        <f>YEAR(VentesMagasins!$C63)</f>
        <v>2023</v>
      </c>
      <c r="N63" t="e" cm="1" vm="1">
        <f t="array" aca="1" ref="N63" ca="1">MONTH(DateVente)</f>
        <v>#VALUE!</v>
      </c>
      <c r="O63" t="str">
        <f>PROPER(VentesMagasins!$F63)</f>
        <v>Électronique</v>
      </c>
      <c r="P63">
        <f>VALUE(CLEAN(TRIM(SUBSTITUTE(VentesMagasins!$I63,".",","))))</f>
        <v>0.05</v>
      </c>
      <c r="Q63">
        <f>VALUE(TRIM(SUBSTITUTE(VentesMagasins!$J63,".",",")))</f>
        <v>755.25</v>
      </c>
      <c r="R63">
        <f t="shared" si="0"/>
        <v>717.48749999999995</v>
      </c>
      <c r="S63">
        <f>IF(VentesMagasins!$K63=1,(-1)*R63,R63)</f>
        <v>-717.48749999999995</v>
      </c>
      <c r="T63">
        <f>IFERROR(VALUE(TRIM(SUBSTITUTE(VentesMagasins!$L63,".",","))),0)</f>
        <v>5</v>
      </c>
      <c r="U63">
        <f t="shared" si="1"/>
        <v>5</v>
      </c>
      <c r="V63" t="str">
        <f t="shared" si="2"/>
        <v>élévé</v>
      </c>
      <c r="W63" t="str">
        <f>_xlfn.XLOOKUP(VentesMagasins!$B63,Clients!ClientID,Région)</f>
        <v>Nord</v>
      </c>
      <c r="X63" t="str">
        <f>INDEX(TypeClient,MATCH(VentesMagasins!$B63,Clients!ClientID))</f>
        <v>Occasionnel</v>
      </c>
      <c r="Y63" t="str">
        <v>oct</v>
      </c>
    </row>
    <row r="64" spans="1:25" x14ac:dyDescent="0.25">
      <c r="A64" s="2">
        <v>63</v>
      </c>
      <c r="B64" s="12" t="s">
        <v>203</v>
      </c>
      <c r="C64" s="13">
        <v>45181</v>
      </c>
      <c r="D64" s="12" t="s">
        <v>350</v>
      </c>
      <c r="E64" s="14" t="s">
        <v>362</v>
      </c>
      <c r="F64" s="12" t="s">
        <v>330</v>
      </c>
      <c r="G64" s="2">
        <v>4</v>
      </c>
      <c r="H64" s="3">
        <v>326</v>
      </c>
      <c r="I64" s="14" t="s">
        <v>335</v>
      </c>
      <c r="J64" s="12" t="s">
        <v>413</v>
      </c>
      <c r="K64" s="2">
        <v>0</v>
      </c>
      <c r="L64" s="12" t="s">
        <v>327</v>
      </c>
      <c r="M64">
        <f>YEAR(VentesMagasins!$C64)</f>
        <v>2023</v>
      </c>
      <c r="N64" t="e" cm="1" vm="1">
        <f t="array" aca="1" ref="N64" ca="1">MONTH(DateVente)</f>
        <v>#VALUE!</v>
      </c>
      <c r="O64" t="str">
        <f>PROPER(VentesMagasins!$F64)</f>
        <v>Décoration</v>
      </c>
      <c r="P64">
        <f>VALUE(CLEAN(TRIM(SUBSTITUTE(VentesMagasins!$I64,".",","))))</f>
        <v>0</v>
      </c>
      <c r="Q64">
        <f>VALUE(TRIM(SUBSTITUTE(VentesMagasins!$J64,".",",")))</f>
        <v>1304</v>
      </c>
      <c r="R64">
        <f t="shared" si="0"/>
        <v>1304</v>
      </c>
      <c r="S64">
        <f>IF(VentesMagasins!$K64=1,(-1)*R64,R64)</f>
        <v>1304</v>
      </c>
      <c r="T64">
        <f>IFERROR(VALUE(TRIM(SUBSTITUTE(VentesMagasins!$L64,".",","))),0)</f>
        <v>5</v>
      </c>
      <c r="U64">
        <f t="shared" si="1"/>
        <v>5</v>
      </c>
      <c r="V64" t="str">
        <f t="shared" si="2"/>
        <v>élévé</v>
      </c>
      <c r="W64" t="str">
        <f>_xlfn.XLOOKUP(VentesMagasins!$B64,Clients!ClientID,Région)</f>
        <v>Sud</v>
      </c>
      <c r="X64" t="str">
        <f>INDEX(TypeClient,MATCH(VentesMagasins!$B64,Clients!ClientID))</f>
        <v>Occasionnel</v>
      </c>
      <c r="Y64" t="str">
        <v>sept</v>
      </c>
    </row>
    <row r="65" spans="1:25" x14ac:dyDescent="0.25">
      <c r="A65" s="2">
        <v>64</v>
      </c>
      <c r="B65" s="12" t="s">
        <v>116</v>
      </c>
      <c r="C65" s="13">
        <v>45214</v>
      </c>
      <c r="D65" s="12" t="s">
        <v>322</v>
      </c>
      <c r="E65" s="14" t="s">
        <v>329</v>
      </c>
      <c r="F65" s="12" t="s">
        <v>358</v>
      </c>
      <c r="G65" s="2">
        <v>3</v>
      </c>
      <c r="H65" s="3">
        <v>413</v>
      </c>
      <c r="I65" s="14" t="s">
        <v>335</v>
      </c>
      <c r="J65" s="12" t="s">
        <v>414</v>
      </c>
      <c r="K65" s="2">
        <v>0</v>
      </c>
      <c r="L65" s="12" t="s">
        <v>332</v>
      </c>
      <c r="M65">
        <f>YEAR(VentesMagasins!$C65)</f>
        <v>2023</v>
      </c>
      <c r="N65" t="e" cm="1" vm="1">
        <f t="array" aca="1" ref="N65" ca="1">MONTH(DateVente)</f>
        <v>#VALUE!</v>
      </c>
      <c r="O65" t="str">
        <f>PROPER(VentesMagasins!$F65)</f>
        <v>Électronique</v>
      </c>
      <c r="P65">
        <f>VALUE(CLEAN(TRIM(SUBSTITUTE(VentesMagasins!$I65,".",","))))</f>
        <v>0</v>
      </c>
      <c r="Q65">
        <f>VALUE(TRIM(SUBSTITUTE(VentesMagasins!$J65,".",",")))</f>
        <v>1239</v>
      </c>
      <c r="R65">
        <f t="shared" si="0"/>
        <v>1239</v>
      </c>
      <c r="S65">
        <f>IF(VentesMagasins!$K65=1,(-1)*R65,R65)</f>
        <v>1239</v>
      </c>
      <c r="T65">
        <f>IFERROR(VALUE(TRIM(SUBSTITUTE(VentesMagasins!$L65,".",","))),0)</f>
        <v>4</v>
      </c>
      <c r="U65">
        <f t="shared" si="1"/>
        <v>4</v>
      </c>
      <c r="V65" t="str">
        <f t="shared" si="2"/>
        <v>moyenne</v>
      </c>
      <c r="W65" t="str">
        <f>_xlfn.XLOOKUP(VentesMagasins!$B65,Clients!ClientID,Région)</f>
        <v>Sud</v>
      </c>
      <c r="X65" t="str">
        <f>INDEX(TypeClient,MATCH(VentesMagasins!$B65,Clients!ClientID))</f>
        <v>Occasionnel</v>
      </c>
      <c r="Y65" t="str">
        <v>oct</v>
      </c>
    </row>
    <row r="66" spans="1:25" x14ac:dyDescent="0.25">
      <c r="A66" s="2">
        <v>65</v>
      </c>
      <c r="B66" s="12" t="s">
        <v>97</v>
      </c>
      <c r="C66" s="13">
        <v>45963</v>
      </c>
      <c r="D66" s="12" t="s">
        <v>333</v>
      </c>
      <c r="E66" s="14" t="s">
        <v>329</v>
      </c>
      <c r="F66" s="12" t="s">
        <v>324</v>
      </c>
      <c r="G66" s="2">
        <v>3</v>
      </c>
      <c r="H66" s="3">
        <v>336</v>
      </c>
      <c r="I66" s="14" t="s">
        <v>335</v>
      </c>
      <c r="J66" s="12" t="s">
        <v>415</v>
      </c>
      <c r="K66" s="2">
        <v>1</v>
      </c>
      <c r="L66" s="12" t="s">
        <v>369</v>
      </c>
      <c r="M66">
        <f>YEAR(VentesMagasins!$C66)</f>
        <v>2025</v>
      </c>
      <c r="N66" t="e" cm="1" vm="1">
        <f t="array" aca="1" ref="N66" ca="1">MONTH(DateVente)</f>
        <v>#VALUE!</v>
      </c>
      <c r="O66" t="str">
        <f>PROPER(VentesMagasins!$F66)</f>
        <v>Électronique</v>
      </c>
      <c r="P66">
        <f>VALUE(CLEAN(TRIM(SUBSTITUTE(VentesMagasins!$I66,".",","))))</f>
        <v>0</v>
      </c>
      <c r="Q66">
        <f>VALUE(TRIM(SUBSTITUTE(VentesMagasins!$J66,".",",")))</f>
        <v>1008</v>
      </c>
      <c r="R66">
        <f t="shared" si="0"/>
        <v>1008</v>
      </c>
      <c r="S66">
        <f>IF(VentesMagasins!$K66=1,(-1)*R66,R66)</f>
        <v>-1008</v>
      </c>
      <c r="T66">
        <f>IFERROR(VALUE(TRIM(SUBSTITUTE(VentesMagasins!$L66,".",","))),0)</f>
        <v>1</v>
      </c>
      <c r="U66">
        <f t="shared" si="1"/>
        <v>1</v>
      </c>
      <c r="V66" t="str">
        <f t="shared" si="2"/>
        <v>faible</v>
      </c>
      <c r="W66" t="str">
        <f>_xlfn.XLOOKUP(VentesMagasins!$B66,Clients!ClientID,Région)</f>
        <v>Est</v>
      </c>
      <c r="X66" t="str">
        <f>INDEX(TypeClient,MATCH(VentesMagasins!$B66,Clients!ClientID))</f>
        <v>Occasionnel</v>
      </c>
      <c r="Y66" t="str">
        <v>nov</v>
      </c>
    </row>
    <row r="67" spans="1:25" x14ac:dyDescent="0.25">
      <c r="A67" s="2">
        <v>66</v>
      </c>
      <c r="B67" s="12" t="s">
        <v>54</v>
      </c>
      <c r="C67" s="13">
        <v>45987</v>
      </c>
      <c r="D67" s="12" t="s">
        <v>328</v>
      </c>
      <c r="E67" s="14" t="s">
        <v>364</v>
      </c>
      <c r="F67" s="12" t="s">
        <v>416</v>
      </c>
      <c r="G67" s="2">
        <v>2</v>
      </c>
      <c r="H67" s="3">
        <v>442</v>
      </c>
      <c r="I67" s="14" t="s">
        <v>342</v>
      </c>
      <c r="J67" s="12" t="s">
        <v>417</v>
      </c>
      <c r="K67" s="2">
        <v>1</v>
      </c>
      <c r="L67" s="12" t="s">
        <v>327</v>
      </c>
      <c r="M67">
        <f>YEAR(VentesMagasins!$C67)</f>
        <v>2025</v>
      </c>
      <c r="N67" t="e" cm="1" vm="1">
        <f t="array" aca="1" ref="N67" ca="1">MONTH(DateVente)</f>
        <v>#VALUE!</v>
      </c>
      <c r="O67" t="str">
        <f>PROPER(VentesMagasins!$F67)</f>
        <v>Meuble</v>
      </c>
      <c r="P67">
        <f>VALUE(CLEAN(TRIM(SUBSTITUTE(VentesMagasins!$I67,".",","))))</f>
        <v>0.05</v>
      </c>
      <c r="Q67">
        <f>VALUE(TRIM(SUBSTITUTE(VentesMagasins!$J67,".",",")))</f>
        <v>839.8</v>
      </c>
      <c r="R67">
        <f t="shared" ref="R67:R130" si="3">Q67*(1-P67)</f>
        <v>797.81</v>
      </c>
      <c r="S67">
        <f>IF(VentesMagasins!$K67=1,(-1)*R67,R67)</f>
        <v>-797.81</v>
      </c>
      <c r="T67">
        <f>IFERROR(VALUE(TRIM(SUBSTITUTE(VentesMagasins!$L67,".",","))),0)</f>
        <v>5</v>
      </c>
      <c r="U67">
        <f t="shared" ref="U67:U130" si="4">ROUND(IF(T67=0,AVERAGE(T67:T1066),T67),0)</f>
        <v>5</v>
      </c>
      <c r="V67" t="str">
        <f t="shared" ref="V67:V130" si="5">IF(AND(U67&gt;0,U67&lt;=2),"faible",IF(AND(U67&gt;=3,U67&lt;=4),"moyenne",IF(U67=5,"élévé",0)))</f>
        <v>élévé</v>
      </c>
      <c r="W67" t="str">
        <f>_xlfn.XLOOKUP(VentesMagasins!$B67,Clients!ClientID,Région)</f>
        <v>Centre</v>
      </c>
      <c r="X67" t="str">
        <f>INDEX(TypeClient,MATCH(VentesMagasins!$B67,Clients!ClientID))</f>
        <v>Nouveau</v>
      </c>
      <c r="Y67" t="str">
        <v>nov</v>
      </c>
    </row>
    <row r="68" spans="1:25" x14ac:dyDescent="0.25">
      <c r="A68" s="2">
        <v>67</v>
      </c>
      <c r="B68" s="12" t="s">
        <v>52</v>
      </c>
      <c r="C68" s="13">
        <v>45188</v>
      </c>
      <c r="D68" s="12" t="s">
        <v>333</v>
      </c>
      <c r="E68" s="14" t="s">
        <v>364</v>
      </c>
      <c r="F68" s="12" t="s">
        <v>324</v>
      </c>
      <c r="G68" s="2">
        <v>4</v>
      </c>
      <c r="H68" s="3">
        <v>101</v>
      </c>
      <c r="I68" s="14" t="s">
        <v>342</v>
      </c>
      <c r="J68" s="12" t="s">
        <v>418</v>
      </c>
      <c r="K68" s="2">
        <v>0</v>
      </c>
      <c r="L68" s="12" t="s">
        <v>337</v>
      </c>
      <c r="M68">
        <f>YEAR(VentesMagasins!$C68)</f>
        <v>2023</v>
      </c>
      <c r="N68" t="e" cm="1" vm="1">
        <f t="array" aca="1" ref="N68" ca="1">MONTH(DateVente)</f>
        <v>#VALUE!</v>
      </c>
      <c r="O68" t="str">
        <f>PROPER(VentesMagasins!$F68)</f>
        <v>Électronique</v>
      </c>
      <c r="P68">
        <f>VALUE(CLEAN(TRIM(SUBSTITUTE(VentesMagasins!$I68,".",","))))</f>
        <v>0.05</v>
      </c>
      <c r="Q68">
        <f>VALUE(TRIM(SUBSTITUTE(VentesMagasins!$J68,".",",")))</f>
        <v>383.79999999999899</v>
      </c>
      <c r="R68">
        <f t="shared" si="3"/>
        <v>364.60999999999905</v>
      </c>
      <c r="S68">
        <f>IF(VentesMagasins!$K68=1,(-1)*R68,R68)</f>
        <v>364.60999999999905</v>
      </c>
      <c r="T68">
        <f>IFERROR(VALUE(TRIM(SUBSTITUTE(VentesMagasins!$L68,".",","))),0)</f>
        <v>3</v>
      </c>
      <c r="U68">
        <f t="shared" si="4"/>
        <v>3</v>
      </c>
      <c r="V68" t="str">
        <f t="shared" si="5"/>
        <v>moyenne</v>
      </c>
      <c r="W68" t="str">
        <f>_xlfn.XLOOKUP(VentesMagasins!$B68,Clients!ClientID,Région)</f>
        <v>Est</v>
      </c>
      <c r="X68" t="str">
        <f>INDEX(TypeClient,MATCH(VentesMagasins!$B68,Clients!ClientID))</f>
        <v>Fidèle</v>
      </c>
      <c r="Y68" t="str">
        <v>sept</v>
      </c>
    </row>
    <row r="69" spans="1:25" x14ac:dyDescent="0.25">
      <c r="A69" s="2">
        <v>68</v>
      </c>
      <c r="B69" s="12" t="s">
        <v>97</v>
      </c>
      <c r="C69" s="13">
        <v>45591</v>
      </c>
      <c r="D69" s="12" t="s">
        <v>338</v>
      </c>
      <c r="E69" s="14" t="s">
        <v>362</v>
      </c>
      <c r="F69" s="12" t="s">
        <v>330</v>
      </c>
      <c r="G69" s="2">
        <v>3</v>
      </c>
      <c r="H69" s="3">
        <v>111</v>
      </c>
      <c r="I69" s="14" t="s">
        <v>342</v>
      </c>
      <c r="J69" s="12" t="s">
        <v>419</v>
      </c>
      <c r="K69" s="2">
        <v>0</v>
      </c>
      <c r="L69" s="12" t="s">
        <v>369</v>
      </c>
      <c r="M69">
        <f>YEAR(VentesMagasins!$C69)</f>
        <v>2024</v>
      </c>
      <c r="N69" t="e" cm="1" vm="1">
        <f t="array" aca="1" ref="N69" ca="1">MONTH(DateVente)</f>
        <v>#VALUE!</v>
      </c>
      <c r="O69" t="str">
        <f>PROPER(VentesMagasins!$F69)</f>
        <v>Décoration</v>
      </c>
      <c r="P69">
        <f>VALUE(CLEAN(TRIM(SUBSTITUTE(VentesMagasins!$I69,".",","))))</f>
        <v>0.05</v>
      </c>
      <c r="Q69">
        <f>VALUE(TRIM(SUBSTITUTE(VentesMagasins!$J69,".",",")))</f>
        <v>316.349999999999</v>
      </c>
      <c r="R69">
        <f t="shared" si="3"/>
        <v>300.53249999999906</v>
      </c>
      <c r="S69">
        <f>IF(VentesMagasins!$K69=1,(-1)*R69,R69)</f>
        <v>300.53249999999906</v>
      </c>
      <c r="T69">
        <f>IFERROR(VALUE(TRIM(SUBSTITUTE(VentesMagasins!$L69,".",","))),0)</f>
        <v>1</v>
      </c>
      <c r="U69">
        <f t="shared" si="4"/>
        <v>1</v>
      </c>
      <c r="V69" t="str">
        <f t="shared" si="5"/>
        <v>faible</v>
      </c>
      <c r="W69" t="str">
        <f>_xlfn.XLOOKUP(VentesMagasins!$B69,Clients!ClientID,Région)</f>
        <v>Est</v>
      </c>
      <c r="X69" t="str">
        <f>INDEX(TypeClient,MATCH(VentesMagasins!$B69,Clients!ClientID))</f>
        <v>Occasionnel</v>
      </c>
      <c r="Y69" t="str">
        <v>oct</v>
      </c>
    </row>
    <row r="70" spans="1:25" x14ac:dyDescent="0.25">
      <c r="A70" s="2">
        <v>69</v>
      </c>
      <c r="B70" s="12" t="s">
        <v>32</v>
      </c>
      <c r="C70" s="13">
        <v>45859</v>
      </c>
      <c r="D70" s="12" t="s">
        <v>322</v>
      </c>
      <c r="E70" s="14" t="s">
        <v>364</v>
      </c>
      <c r="F70" s="12" t="s">
        <v>324</v>
      </c>
      <c r="G70" s="2">
        <v>2</v>
      </c>
      <c r="H70" s="3">
        <v>173</v>
      </c>
      <c r="I70" s="14" t="s">
        <v>325</v>
      </c>
      <c r="J70" s="12" t="s">
        <v>420</v>
      </c>
      <c r="K70" s="2">
        <v>0</v>
      </c>
      <c r="L70" s="12" t="s">
        <v>344</v>
      </c>
      <c r="M70">
        <f>YEAR(VentesMagasins!$C70)</f>
        <v>2025</v>
      </c>
      <c r="N70" t="e" cm="1" vm="1">
        <f t="array" aca="1" ref="N70" ca="1">MONTH(DateVente)</f>
        <v>#VALUE!</v>
      </c>
      <c r="O70" t="str">
        <f>PROPER(VentesMagasins!$F70)</f>
        <v>Électronique</v>
      </c>
      <c r="P70">
        <f>VALUE(CLEAN(TRIM(SUBSTITUTE(VentesMagasins!$I70,".",","))))</f>
        <v>0.15</v>
      </c>
      <c r="Q70">
        <f>VALUE(TRIM(SUBSTITUTE(VentesMagasins!$J70,".",",")))</f>
        <v>294.099999999999</v>
      </c>
      <c r="R70">
        <f t="shared" si="3"/>
        <v>249.98499999999913</v>
      </c>
      <c r="S70">
        <f>IF(VentesMagasins!$K70=1,(-1)*R70,R70)</f>
        <v>249.98499999999913</v>
      </c>
      <c r="T70">
        <f>IFERROR(VALUE(TRIM(SUBSTITUTE(VentesMagasins!$L70,".",","))),0)</f>
        <v>2</v>
      </c>
      <c r="U70">
        <f t="shared" si="4"/>
        <v>2</v>
      </c>
      <c r="V70" t="str">
        <f t="shared" si="5"/>
        <v>faible</v>
      </c>
      <c r="W70" t="str">
        <f>_xlfn.XLOOKUP(VentesMagasins!$B70,Clients!ClientID,Région)</f>
        <v>Ouest</v>
      </c>
      <c r="X70" t="str">
        <f>INDEX(TypeClient,MATCH(VentesMagasins!$B70,Clients!ClientID))</f>
        <v>Occasionnel</v>
      </c>
      <c r="Y70" t="str">
        <v>juil</v>
      </c>
    </row>
    <row r="71" spans="1:25" x14ac:dyDescent="0.25">
      <c r="A71" s="2">
        <v>70</v>
      </c>
      <c r="B71" s="12" t="s">
        <v>116</v>
      </c>
      <c r="C71" s="13">
        <v>45164</v>
      </c>
      <c r="D71" s="12" t="s">
        <v>333</v>
      </c>
      <c r="E71" s="14" t="s">
        <v>364</v>
      </c>
      <c r="F71" s="12" t="s">
        <v>324</v>
      </c>
      <c r="G71" s="2">
        <v>4</v>
      </c>
      <c r="H71" s="3">
        <v>25</v>
      </c>
      <c r="I71" s="14" t="s">
        <v>355</v>
      </c>
      <c r="J71" s="12" t="s">
        <v>421</v>
      </c>
      <c r="K71" s="2">
        <v>1</v>
      </c>
      <c r="L71" s="12" t="s">
        <v>332</v>
      </c>
      <c r="M71">
        <f>YEAR(VentesMagasins!$C71)</f>
        <v>2023</v>
      </c>
      <c r="N71" t="e" cm="1" vm="1">
        <f t="array" aca="1" ref="N71" ca="1">MONTH(DateVente)</f>
        <v>#VALUE!</v>
      </c>
      <c r="O71" t="str">
        <f>PROPER(VentesMagasins!$F71)</f>
        <v>Électronique</v>
      </c>
      <c r="P71">
        <f>VALUE(CLEAN(TRIM(SUBSTITUTE(VentesMagasins!$I71,".",","))))</f>
        <v>0.1</v>
      </c>
      <c r="Q71">
        <f>VALUE(TRIM(SUBSTITUTE(VentesMagasins!$J71,".",",")))</f>
        <v>90</v>
      </c>
      <c r="R71">
        <f t="shared" si="3"/>
        <v>81</v>
      </c>
      <c r="S71">
        <f>IF(VentesMagasins!$K71=1,(-1)*R71,R71)</f>
        <v>-81</v>
      </c>
      <c r="T71">
        <f>IFERROR(VALUE(TRIM(SUBSTITUTE(VentesMagasins!$L71,".",","))),0)</f>
        <v>4</v>
      </c>
      <c r="U71">
        <f t="shared" si="4"/>
        <v>4</v>
      </c>
      <c r="V71" t="str">
        <f t="shared" si="5"/>
        <v>moyenne</v>
      </c>
      <c r="W71" t="str">
        <f>_xlfn.XLOOKUP(VentesMagasins!$B71,Clients!ClientID,Région)</f>
        <v>Sud</v>
      </c>
      <c r="X71" t="str">
        <f>INDEX(TypeClient,MATCH(VentesMagasins!$B71,Clients!ClientID))</f>
        <v>Occasionnel</v>
      </c>
      <c r="Y71" t="str">
        <v>août</v>
      </c>
    </row>
    <row r="72" spans="1:25" x14ac:dyDescent="0.25">
      <c r="A72" s="2">
        <v>71</v>
      </c>
      <c r="B72" s="12" t="s">
        <v>70</v>
      </c>
      <c r="C72" s="13">
        <v>45933</v>
      </c>
      <c r="D72" s="12" t="s">
        <v>328</v>
      </c>
      <c r="E72" s="14" t="s">
        <v>339</v>
      </c>
      <c r="F72" s="12" t="s">
        <v>324</v>
      </c>
      <c r="G72" s="2">
        <v>5</v>
      </c>
      <c r="H72" s="3">
        <v>106</v>
      </c>
      <c r="I72" s="14" t="s">
        <v>335</v>
      </c>
      <c r="J72" s="12" t="s">
        <v>422</v>
      </c>
      <c r="K72" s="2">
        <v>0</v>
      </c>
      <c r="L72" s="12" t="s">
        <v>369</v>
      </c>
      <c r="M72">
        <f>YEAR(VentesMagasins!$C72)</f>
        <v>2025</v>
      </c>
      <c r="N72" t="e" cm="1" vm="1">
        <f t="array" aca="1" ref="N72" ca="1">MONTH(DateVente)</f>
        <v>#VALUE!</v>
      </c>
      <c r="O72" t="str">
        <f>PROPER(VentesMagasins!$F72)</f>
        <v>Électronique</v>
      </c>
      <c r="P72">
        <f>VALUE(CLEAN(TRIM(SUBSTITUTE(VentesMagasins!$I72,".",","))))</f>
        <v>0</v>
      </c>
      <c r="Q72">
        <f>VALUE(TRIM(SUBSTITUTE(VentesMagasins!$J72,".",",")))</f>
        <v>530</v>
      </c>
      <c r="R72">
        <f t="shared" si="3"/>
        <v>530</v>
      </c>
      <c r="S72">
        <f>IF(VentesMagasins!$K72=1,(-1)*R72,R72)</f>
        <v>530</v>
      </c>
      <c r="T72">
        <f>IFERROR(VALUE(TRIM(SUBSTITUTE(VentesMagasins!$L72,".",","))),0)</f>
        <v>1</v>
      </c>
      <c r="U72">
        <f t="shared" si="4"/>
        <v>1</v>
      </c>
      <c r="V72" t="str">
        <f t="shared" si="5"/>
        <v>faible</v>
      </c>
      <c r="W72" t="str">
        <f>_xlfn.XLOOKUP(VentesMagasins!$B72,Clients!ClientID,Région)</f>
        <v>Ouest</v>
      </c>
      <c r="X72" t="str">
        <f>INDEX(TypeClient,MATCH(VentesMagasins!$B72,Clients!ClientID))</f>
        <v>Nouveau</v>
      </c>
      <c r="Y72" t="str">
        <v>oct</v>
      </c>
    </row>
    <row r="73" spans="1:25" x14ac:dyDescent="0.25">
      <c r="A73" s="2">
        <v>72</v>
      </c>
      <c r="B73" s="12" t="s">
        <v>207</v>
      </c>
      <c r="C73" s="13">
        <v>45483</v>
      </c>
      <c r="D73" s="12" t="s">
        <v>338</v>
      </c>
      <c r="E73" s="14" t="s">
        <v>348</v>
      </c>
      <c r="F73" s="12" t="s">
        <v>341</v>
      </c>
      <c r="G73" s="2">
        <v>5</v>
      </c>
      <c r="H73" s="3">
        <v>245</v>
      </c>
      <c r="I73" s="14" t="s">
        <v>335</v>
      </c>
      <c r="J73" s="12" t="s">
        <v>423</v>
      </c>
      <c r="K73" s="2">
        <v>1</v>
      </c>
      <c r="L73" s="12" t="s">
        <v>369</v>
      </c>
      <c r="M73">
        <f>YEAR(VentesMagasins!$C73)</f>
        <v>2024</v>
      </c>
      <c r="N73" t="e" cm="1" vm="1">
        <f t="array" aca="1" ref="N73" ca="1">MONTH(DateVente)</f>
        <v>#VALUE!</v>
      </c>
      <c r="O73" t="str">
        <f>PROPER(VentesMagasins!$F73)</f>
        <v>Meuble</v>
      </c>
      <c r="P73">
        <f>VALUE(CLEAN(TRIM(SUBSTITUTE(VentesMagasins!$I73,".",","))))</f>
        <v>0</v>
      </c>
      <c r="Q73">
        <f>VALUE(TRIM(SUBSTITUTE(VentesMagasins!$J73,".",",")))</f>
        <v>1225</v>
      </c>
      <c r="R73">
        <f t="shared" si="3"/>
        <v>1225</v>
      </c>
      <c r="S73">
        <f>IF(VentesMagasins!$K73=1,(-1)*R73,R73)</f>
        <v>-1225</v>
      </c>
      <c r="T73">
        <f>IFERROR(VALUE(TRIM(SUBSTITUTE(VentesMagasins!$L73,".",","))),0)</f>
        <v>1</v>
      </c>
      <c r="U73">
        <f t="shared" si="4"/>
        <v>1</v>
      </c>
      <c r="V73" t="str">
        <f t="shared" si="5"/>
        <v>faible</v>
      </c>
      <c r="W73" t="str">
        <f>_xlfn.XLOOKUP(VentesMagasins!$B73,Clients!ClientID,Région)</f>
        <v>Ouest</v>
      </c>
      <c r="X73" t="str">
        <f>INDEX(TypeClient,MATCH(VentesMagasins!$B73,Clients!ClientID))</f>
        <v>Nouveau</v>
      </c>
      <c r="Y73" t="str">
        <v>juil</v>
      </c>
    </row>
    <row r="74" spans="1:25" x14ac:dyDescent="0.25">
      <c r="A74" s="2">
        <v>73</v>
      </c>
      <c r="B74" s="12" t="s">
        <v>141</v>
      </c>
      <c r="C74" s="13">
        <v>45522</v>
      </c>
      <c r="D74" s="12" t="s">
        <v>338</v>
      </c>
      <c r="E74" s="14" t="s">
        <v>345</v>
      </c>
      <c r="F74" s="12" t="s">
        <v>330</v>
      </c>
      <c r="G74" s="2">
        <v>2</v>
      </c>
      <c r="H74" s="3">
        <v>407</v>
      </c>
      <c r="I74" s="14" t="s">
        <v>325</v>
      </c>
      <c r="J74" s="12" t="s">
        <v>424</v>
      </c>
      <c r="K74" s="2">
        <v>0</v>
      </c>
      <c r="L74" s="12" t="s">
        <v>337</v>
      </c>
      <c r="M74">
        <f>YEAR(VentesMagasins!$C74)</f>
        <v>2024</v>
      </c>
      <c r="N74" t="e" cm="1" vm="1">
        <f t="array" aca="1" ref="N74" ca="1">MONTH(DateVente)</f>
        <v>#VALUE!</v>
      </c>
      <c r="O74" t="str">
        <f>PROPER(VentesMagasins!$F74)</f>
        <v>Décoration</v>
      </c>
      <c r="P74">
        <f>VALUE(CLEAN(TRIM(SUBSTITUTE(VentesMagasins!$I74,".",","))))</f>
        <v>0.15</v>
      </c>
      <c r="Q74">
        <f>VALUE(TRIM(SUBSTITUTE(VentesMagasins!$J74,".",",")))</f>
        <v>691.9</v>
      </c>
      <c r="R74">
        <f t="shared" si="3"/>
        <v>588.11500000000001</v>
      </c>
      <c r="S74">
        <f>IF(VentesMagasins!$K74=1,(-1)*R74,R74)</f>
        <v>588.11500000000001</v>
      </c>
      <c r="T74">
        <f>IFERROR(VALUE(TRIM(SUBSTITUTE(VentesMagasins!$L74,".",","))),0)</f>
        <v>3</v>
      </c>
      <c r="U74">
        <f t="shared" si="4"/>
        <v>3</v>
      </c>
      <c r="V74" t="str">
        <f t="shared" si="5"/>
        <v>moyenne</v>
      </c>
      <c r="W74" t="str">
        <f>_xlfn.XLOOKUP(VentesMagasins!$B74,Clients!ClientID,Région)</f>
        <v>Ouest</v>
      </c>
      <c r="X74" t="str">
        <f>INDEX(TypeClient,MATCH(VentesMagasins!$B74,Clients!ClientID))</f>
        <v>Fidèle</v>
      </c>
      <c r="Y74" t="str">
        <v>août</v>
      </c>
    </row>
    <row r="75" spans="1:25" x14ac:dyDescent="0.25">
      <c r="A75" s="2">
        <v>74</v>
      </c>
      <c r="B75" s="12" t="s">
        <v>197</v>
      </c>
      <c r="C75" s="13">
        <v>45457</v>
      </c>
      <c r="D75" s="12" t="s">
        <v>333</v>
      </c>
      <c r="E75" s="14" t="s">
        <v>348</v>
      </c>
      <c r="F75" s="12" t="s">
        <v>341</v>
      </c>
      <c r="G75" s="2">
        <v>2</v>
      </c>
      <c r="H75" s="3">
        <v>113</v>
      </c>
      <c r="I75" s="14" t="s">
        <v>335</v>
      </c>
      <c r="J75" s="12" t="s">
        <v>408</v>
      </c>
      <c r="K75" s="2">
        <v>0</v>
      </c>
      <c r="L75" s="12" t="s">
        <v>352</v>
      </c>
      <c r="M75">
        <f>YEAR(VentesMagasins!$C75)</f>
        <v>2024</v>
      </c>
      <c r="N75" t="e" cm="1" vm="1">
        <f t="array" aca="1" ref="N75" ca="1">MONTH(DateVente)</f>
        <v>#VALUE!</v>
      </c>
      <c r="O75" t="str">
        <f>PROPER(VentesMagasins!$F75)</f>
        <v>Meuble</v>
      </c>
      <c r="P75">
        <f>VALUE(CLEAN(TRIM(SUBSTITUTE(VentesMagasins!$I75,".",","))))</f>
        <v>0</v>
      </c>
      <c r="Q75">
        <f>VALUE(TRIM(SUBSTITUTE(VentesMagasins!$J75,".",",")))</f>
        <v>226</v>
      </c>
      <c r="R75">
        <f t="shared" si="3"/>
        <v>226</v>
      </c>
      <c r="S75">
        <f>IF(VentesMagasins!$K75=1,(-1)*R75,R75)</f>
        <v>226</v>
      </c>
      <c r="T75">
        <f>IFERROR(VALUE(TRIM(SUBSTITUTE(VentesMagasins!$L75,".",","))),0)</f>
        <v>0</v>
      </c>
      <c r="U75">
        <f t="shared" si="4"/>
        <v>3</v>
      </c>
      <c r="V75" t="str">
        <f t="shared" si="5"/>
        <v>moyenne</v>
      </c>
      <c r="W75" t="str">
        <f>_xlfn.XLOOKUP(VentesMagasins!$B75,Clients!ClientID,Région)</f>
        <v>Nord</v>
      </c>
      <c r="X75" t="str">
        <f>INDEX(TypeClient,MATCH(VentesMagasins!$B75,Clients!ClientID))</f>
        <v>Nouveau</v>
      </c>
      <c r="Y75" t="str">
        <v>juin</v>
      </c>
    </row>
    <row r="76" spans="1:25" x14ac:dyDescent="0.25">
      <c r="A76" s="2">
        <v>75</v>
      </c>
      <c r="B76" s="12" t="s">
        <v>257</v>
      </c>
      <c r="C76" s="13">
        <v>45709</v>
      </c>
      <c r="D76" s="12" t="s">
        <v>425</v>
      </c>
      <c r="E76" s="14" t="s">
        <v>334</v>
      </c>
      <c r="F76" s="12" t="s">
        <v>341</v>
      </c>
      <c r="G76" s="2">
        <v>1</v>
      </c>
      <c r="H76" s="3">
        <v>22</v>
      </c>
      <c r="I76" s="14" t="s">
        <v>335</v>
      </c>
      <c r="J76" s="12" t="s">
        <v>426</v>
      </c>
      <c r="K76" s="2">
        <v>1</v>
      </c>
      <c r="L76" s="12" t="s">
        <v>332</v>
      </c>
      <c r="M76">
        <f>YEAR(VentesMagasins!$C76)</f>
        <v>2025</v>
      </c>
      <c r="N76" t="e" cm="1" vm="1">
        <f t="array" aca="1" ref="N76" ca="1">MONTH(DateVente)</f>
        <v>#VALUE!</v>
      </c>
      <c r="O76" t="str">
        <f>PROPER(VentesMagasins!$F76)</f>
        <v>Meuble</v>
      </c>
      <c r="P76">
        <f>VALUE(CLEAN(TRIM(SUBSTITUTE(VentesMagasins!$I76,".",","))))</f>
        <v>0</v>
      </c>
      <c r="Q76">
        <f>VALUE(TRIM(SUBSTITUTE(VentesMagasins!$J76,".",",")))</f>
        <v>22</v>
      </c>
      <c r="R76">
        <f t="shared" si="3"/>
        <v>22</v>
      </c>
      <c r="S76">
        <f>IF(VentesMagasins!$K76=1,(-1)*R76,R76)</f>
        <v>-22</v>
      </c>
      <c r="T76">
        <f>IFERROR(VALUE(TRIM(SUBSTITUTE(VentesMagasins!$L76,".",","))),0)</f>
        <v>4</v>
      </c>
      <c r="U76">
        <f t="shared" si="4"/>
        <v>4</v>
      </c>
      <c r="V76" t="str">
        <f t="shared" si="5"/>
        <v>moyenne</v>
      </c>
      <c r="W76" t="str">
        <f>_xlfn.XLOOKUP(VentesMagasins!$B76,Clients!ClientID,Région)</f>
        <v>Nord</v>
      </c>
      <c r="X76" t="str">
        <f>INDEX(TypeClient,MATCH(VentesMagasins!$B76,Clients!ClientID))</f>
        <v>Occasionnel</v>
      </c>
      <c r="Y76" t="str">
        <v>févr</v>
      </c>
    </row>
    <row r="77" spans="1:25" x14ac:dyDescent="0.25">
      <c r="A77" s="2">
        <v>76</v>
      </c>
      <c r="B77" s="12" t="s">
        <v>181</v>
      </c>
      <c r="C77" s="13">
        <v>45455</v>
      </c>
      <c r="D77" s="12" t="s">
        <v>338</v>
      </c>
      <c r="E77" s="14" t="s">
        <v>339</v>
      </c>
      <c r="F77" s="12" t="s">
        <v>324</v>
      </c>
      <c r="G77" s="2">
        <v>5</v>
      </c>
      <c r="H77" s="3">
        <v>267</v>
      </c>
      <c r="I77" s="14" t="s">
        <v>335</v>
      </c>
      <c r="J77" s="12" t="s">
        <v>427</v>
      </c>
      <c r="K77" s="2">
        <v>0</v>
      </c>
      <c r="L77" s="12" t="s">
        <v>369</v>
      </c>
      <c r="M77">
        <f>YEAR(VentesMagasins!$C77)</f>
        <v>2024</v>
      </c>
      <c r="N77" t="e" cm="1" vm="1">
        <f t="array" aca="1" ref="N77" ca="1">MONTH(DateVente)</f>
        <v>#VALUE!</v>
      </c>
      <c r="O77" t="str">
        <f>PROPER(VentesMagasins!$F77)</f>
        <v>Électronique</v>
      </c>
      <c r="P77">
        <f>VALUE(CLEAN(TRIM(SUBSTITUTE(VentesMagasins!$I77,".",","))))</f>
        <v>0</v>
      </c>
      <c r="Q77">
        <f>VALUE(TRIM(SUBSTITUTE(VentesMagasins!$J77,".",",")))</f>
        <v>1335</v>
      </c>
      <c r="R77">
        <f t="shared" si="3"/>
        <v>1335</v>
      </c>
      <c r="S77">
        <f>IF(VentesMagasins!$K77=1,(-1)*R77,R77)</f>
        <v>1335</v>
      </c>
      <c r="T77">
        <f>IFERROR(VALUE(TRIM(SUBSTITUTE(VentesMagasins!$L77,".",","))),0)</f>
        <v>1</v>
      </c>
      <c r="U77">
        <f t="shared" si="4"/>
        <v>1</v>
      </c>
      <c r="V77" t="str">
        <f t="shared" si="5"/>
        <v>faible</v>
      </c>
      <c r="W77" t="str">
        <f>_xlfn.XLOOKUP(VentesMagasins!$B77,Clients!ClientID,Région)</f>
        <v>Est</v>
      </c>
      <c r="X77" t="str">
        <f>INDEX(TypeClient,MATCH(VentesMagasins!$B77,Clients!ClientID))</f>
        <v>Fidèle</v>
      </c>
      <c r="Y77" t="str">
        <v>juin</v>
      </c>
    </row>
    <row r="78" spans="1:25" x14ac:dyDescent="0.25">
      <c r="A78" s="2">
        <v>77</v>
      </c>
      <c r="B78" s="12" t="s">
        <v>112</v>
      </c>
      <c r="C78" s="13">
        <v>44956</v>
      </c>
      <c r="D78" s="12" t="s">
        <v>333</v>
      </c>
      <c r="E78" s="14" t="s">
        <v>334</v>
      </c>
      <c r="F78" s="12" t="s">
        <v>324</v>
      </c>
      <c r="G78" s="2">
        <v>3</v>
      </c>
      <c r="H78" s="3">
        <v>319</v>
      </c>
      <c r="I78" s="14" t="s">
        <v>325</v>
      </c>
      <c r="J78" s="12" t="s">
        <v>428</v>
      </c>
      <c r="K78" s="2">
        <v>0</v>
      </c>
      <c r="L78" s="12" t="s">
        <v>344</v>
      </c>
      <c r="M78">
        <f>YEAR(VentesMagasins!$C78)</f>
        <v>2023</v>
      </c>
      <c r="N78" t="e" cm="1" vm="1">
        <f t="array" aca="1" ref="N78" ca="1">MONTH(DateVente)</f>
        <v>#VALUE!</v>
      </c>
      <c r="O78" t="str">
        <f>PROPER(VentesMagasins!$F78)</f>
        <v>Électronique</v>
      </c>
      <c r="P78">
        <f>VALUE(CLEAN(TRIM(SUBSTITUTE(VentesMagasins!$I78,".",","))))</f>
        <v>0.15</v>
      </c>
      <c r="Q78">
        <f>VALUE(TRIM(SUBSTITUTE(VentesMagasins!$J78,".",",")))</f>
        <v>813.44999999999902</v>
      </c>
      <c r="R78">
        <f t="shared" si="3"/>
        <v>691.4324999999991</v>
      </c>
      <c r="S78">
        <f>IF(VentesMagasins!$K78=1,(-1)*R78,R78)</f>
        <v>691.4324999999991</v>
      </c>
      <c r="T78">
        <f>IFERROR(VALUE(TRIM(SUBSTITUTE(VentesMagasins!$L78,".",","))),0)</f>
        <v>2</v>
      </c>
      <c r="U78">
        <f t="shared" si="4"/>
        <v>2</v>
      </c>
      <c r="V78" t="str">
        <f t="shared" si="5"/>
        <v>faible</v>
      </c>
      <c r="W78" t="str">
        <f>_xlfn.XLOOKUP(VentesMagasins!$B78,Clients!ClientID,Région)</f>
        <v>Sud</v>
      </c>
      <c r="X78" t="str">
        <f>INDEX(TypeClient,MATCH(VentesMagasins!$B78,Clients!ClientID))</f>
        <v>Occasionnel</v>
      </c>
      <c r="Y78" t="str">
        <v>janv</v>
      </c>
    </row>
    <row r="79" spans="1:25" x14ac:dyDescent="0.25">
      <c r="A79" s="2">
        <v>78</v>
      </c>
      <c r="B79" s="12" t="s">
        <v>223</v>
      </c>
      <c r="C79" s="13">
        <v>45687</v>
      </c>
      <c r="D79" s="12" t="s">
        <v>333</v>
      </c>
      <c r="E79" s="14" t="s">
        <v>323</v>
      </c>
      <c r="F79" s="12" t="s">
        <v>330</v>
      </c>
      <c r="G79" s="2">
        <v>2</v>
      </c>
      <c r="H79" s="3">
        <v>98</v>
      </c>
      <c r="I79" s="14" t="s">
        <v>335</v>
      </c>
      <c r="J79" s="12" t="s">
        <v>429</v>
      </c>
      <c r="K79" s="2">
        <v>0</v>
      </c>
      <c r="L79" s="12" t="s">
        <v>327</v>
      </c>
      <c r="M79">
        <f>YEAR(VentesMagasins!$C79)</f>
        <v>2025</v>
      </c>
      <c r="N79" t="e" cm="1" vm="1">
        <f t="array" aca="1" ref="N79" ca="1">MONTH(DateVente)</f>
        <v>#VALUE!</v>
      </c>
      <c r="O79" t="str">
        <f>PROPER(VentesMagasins!$F79)</f>
        <v>Décoration</v>
      </c>
      <c r="P79">
        <f>VALUE(CLEAN(TRIM(SUBSTITUTE(VentesMagasins!$I79,".",","))))</f>
        <v>0</v>
      </c>
      <c r="Q79">
        <f>VALUE(TRIM(SUBSTITUTE(VentesMagasins!$J79,".",",")))</f>
        <v>196</v>
      </c>
      <c r="R79">
        <f t="shared" si="3"/>
        <v>196</v>
      </c>
      <c r="S79">
        <f>IF(VentesMagasins!$K79=1,(-1)*R79,R79)</f>
        <v>196</v>
      </c>
      <c r="T79">
        <f>IFERROR(VALUE(TRIM(SUBSTITUTE(VentesMagasins!$L79,".",","))),0)</f>
        <v>5</v>
      </c>
      <c r="U79">
        <f t="shared" si="4"/>
        <v>5</v>
      </c>
      <c r="V79" t="str">
        <f t="shared" si="5"/>
        <v>élévé</v>
      </c>
      <c r="W79" t="str">
        <f>_xlfn.XLOOKUP(VentesMagasins!$B79,Clients!ClientID,Région)</f>
        <v>Nord</v>
      </c>
      <c r="X79" t="str">
        <f>INDEX(TypeClient,MATCH(VentesMagasins!$B79,Clients!ClientID))</f>
        <v>Fidèle</v>
      </c>
      <c r="Y79" t="str">
        <v>janv</v>
      </c>
    </row>
    <row r="80" spans="1:25" x14ac:dyDescent="0.25">
      <c r="A80" s="2">
        <v>79</v>
      </c>
      <c r="B80" s="12" t="s">
        <v>292</v>
      </c>
      <c r="C80" s="13">
        <v>45217</v>
      </c>
      <c r="D80" s="12" t="s">
        <v>350</v>
      </c>
      <c r="E80" s="14" t="s">
        <v>348</v>
      </c>
      <c r="F80" s="12" t="s">
        <v>341</v>
      </c>
      <c r="G80" s="2">
        <v>5</v>
      </c>
      <c r="H80" s="3">
        <v>444</v>
      </c>
      <c r="I80" s="14" t="s">
        <v>342</v>
      </c>
      <c r="J80" s="12" t="s">
        <v>430</v>
      </c>
      <c r="K80" s="2">
        <v>1</v>
      </c>
      <c r="L80" s="12" t="s">
        <v>352</v>
      </c>
      <c r="M80">
        <f>YEAR(VentesMagasins!$C80)</f>
        <v>2023</v>
      </c>
      <c r="N80" t="e" cm="1" vm="1">
        <f t="array" aca="1" ref="N80" ca="1">MONTH(DateVente)</f>
        <v>#VALUE!</v>
      </c>
      <c r="O80" t="str">
        <f>PROPER(VentesMagasins!$F80)</f>
        <v>Meuble</v>
      </c>
      <c r="P80">
        <f>VALUE(CLEAN(TRIM(SUBSTITUTE(VentesMagasins!$I80,".",","))))</f>
        <v>0.05</v>
      </c>
      <c r="Q80">
        <f>VALUE(TRIM(SUBSTITUTE(VentesMagasins!$J80,".",",")))</f>
        <v>2109</v>
      </c>
      <c r="R80">
        <f t="shared" si="3"/>
        <v>2003.55</v>
      </c>
      <c r="S80">
        <f>IF(VentesMagasins!$K80=1,(-1)*R80,R80)</f>
        <v>-2003.55</v>
      </c>
      <c r="T80">
        <f>IFERROR(VALUE(TRIM(SUBSTITUTE(VentesMagasins!$L80,".",","))),0)</f>
        <v>0</v>
      </c>
      <c r="U80">
        <f t="shared" si="4"/>
        <v>3</v>
      </c>
      <c r="V80" t="str">
        <f t="shared" si="5"/>
        <v>moyenne</v>
      </c>
      <c r="W80" t="str">
        <f>_xlfn.XLOOKUP(VentesMagasins!$B80,Clients!ClientID,Région)</f>
        <v>Ouest</v>
      </c>
      <c r="X80" t="str">
        <f>INDEX(TypeClient,MATCH(VentesMagasins!$B80,Clients!ClientID))</f>
        <v>Nouveau</v>
      </c>
      <c r="Y80" t="str">
        <v>oct</v>
      </c>
    </row>
    <row r="81" spans="1:25" x14ac:dyDescent="0.25">
      <c r="A81" s="2">
        <v>80</v>
      </c>
      <c r="B81" s="12" t="s">
        <v>85</v>
      </c>
      <c r="C81" s="13">
        <v>45361</v>
      </c>
      <c r="D81" s="12" t="s">
        <v>333</v>
      </c>
      <c r="E81" s="14" t="s">
        <v>329</v>
      </c>
      <c r="F81" s="12" t="s">
        <v>341</v>
      </c>
      <c r="G81" s="2">
        <v>4</v>
      </c>
      <c r="H81" s="3">
        <v>378</v>
      </c>
      <c r="I81" s="14" t="s">
        <v>325</v>
      </c>
      <c r="J81" s="12" t="s">
        <v>431</v>
      </c>
      <c r="K81" s="2">
        <v>0</v>
      </c>
      <c r="L81" s="12" t="s">
        <v>327</v>
      </c>
      <c r="M81">
        <f>YEAR(VentesMagasins!$C81)</f>
        <v>2024</v>
      </c>
      <c r="N81" t="e" cm="1" vm="1">
        <f t="array" aca="1" ref="N81" ca="1">MONTH(DateVente)</f>
        <v>#VALUE!</v>
      </c>
      <c r="O81" t="str">
        <f>PROPER(VentesMagasins!$F81)</f>
        <v>Meuble</v>
      </c>
      <c r="P81">
        <f>VALUE(CLEAN(TRIM(SUBSTITUTE(VentesMagasins!$I81,".",","))))</f>
        <v>0.15</v>
      </c>
      <c r="Q81">
        <f>VALUE(TRIM(SUBSTITUTE(VentesMagasins!$J81,".",",")))</f>
        <v>1285.2</v>
      </c>
      <c r="R81">
        <f t="shared" si="3"/>
        <v>1092.42</v>
      </c>
      <c r="S81">
        <f>IF(VentesMagasins!$K81=1,(-1)*R81,R81)</f>
        <v>1092.42</v>
      </c>
      <c r="T81">
        <f>IFERROR(VALUE(TRIM(SUBSTITUTE(VentesMagasins!$L81,".",","))),0)</f>
        <v>5</v>
      </c>
      <c r="U81">
        <f t="shared" si="4"/>
        <v>5</v>
      </c>
      <c r="V81" t="str">
        <f t="shared" si="5"/>
        <v>élévé</v>
      </c>
      <c r="W81" t="str">
        <f>_xlfn.XLOOKUP(VentesMagasins!$B81,Clients!ClientID,Région)</f>
        <v>Sud</v>
      </c>
      <c r="X81" t="str">
        <f>INDEX(TypeClient,MATCH(VentesMagasins!$B81,Clients!ClientID))</f>
        <v>Fidèle</v>
      </c>
      <c r="Y81" t="str">
        <v>mars</v>
      </c>
    </row>
    <row r="82" spans="1:25" x14ac:dyDescent="0.25">
      <c r="A82" s="2">
        <v>81</v>
      </c>
      <c r="B82" s="12" t="s">
        <v>275</v>
      </c>
      <c r="C82" s="13">
        <v>44959</v>
      </c>
      <c r="D82" s="12" t="s">
        <v>350</v>
      </c>
      <c r="E82" s="14" t="s">
        <v>339</v>
      </c>
      <c r="F82" s="12" t="s">
        <v>330</v>
      </c>
      <c r="G82" s="2">
        <v>5</v>
      </c>
      <c r="H82" s="3">
        <v>105</v>
      </c>
      <c r="I82" s="14" t="s">
        <v>355</v>
      </c>
      <c r="J82" s="12" t="s">
        <v>432</v>
      </c>
      <c r="K82" s="2">
        <v>0</v>
      </c>
      <c r="L82" s="12" t="s">
        <v>327</v>
      </c>
      <c r="M82">
        <f>YEAR(VentesMagasins!$C82)</f>
        <v>2023</v>
      </c>
      <c r="N82" t="e" cm="1" vm="1">
        <f t="array" aca="1" ref="N82" ca="1">MONTH(DateVente)</f>
        <v>#VALUE!</v>
      </c>
      <c r="O82" t="str">
        <f>PROPER(VentesMagasins!$F82)</f>
        <v>Décoration</v>
      </c>
      <c r="P82">
        <f>VALUE(CLEAN(TRIM(SUBSTITUTE(VentesMagasins!$I82,".",","))))</f>
        <v>0.1</v>
      </c>
      <c r="Q82">
        <f>VALUE(TRIM(SUBSTITUTE(VentesMagasins!$J82,".",",")))</f>
        <v>472.5</v>
      </c>
      <c r="R82">
        <f t="shared" si="3"/>
        <v>425.25</v>
      </c>
      <c r="S82">
        <f>IF(VentesMagasins!$K82=1,(-1)*R82,R82)</f>
        <v>425.25</v>
      </c>
      <c r="T82">
        <f>IFERROR(VALUE(TRIM(SUBSTITUTE(VentesMagasins!$L82,".",","))),0)</f>
        <v>5</v>
      </c>
      <c r="U82">
        <f t="shared" si="4"/>
        <v>5</v>
      </c>
      <c r="V82" t="str">
        <f t="shared" si="5"/>
        <v>élévé</v>
      </c>
      <c r="W82" t="str">
        <f>_xlfn.XLOOKUP(VentesMagasins!$B82,Clients!ClientID,Région)</f>
        <v>Nord</v>
      </c>
      <c r="X82" t="str">
        <f>INDEX(TypeClient,MATCH(VentesMagasins!$B82,Clients!ClientID))</f>
        <v>Fidèle</v>
      </c>
      <c r="Y82" t="str">
        <v>févr</v>
      </c>
    </row>
    <row r="83" spans="1:25" x14ac:dyDescent="0.25">
      <c r="A83" s="2">
        <v>82</v>
      </c>
      <c r="B83" s="12" t="s">
        <v>309</v>
      </c>
      <c r="C83" s="13">
        <v>45139</v>
      </c>
      <c r="D83" s="12" t="s">
        <v>350</v>
      </c>
      <c r="E83" s="14" t="s">
        <v>348</v>
      </c>
      <c r="F83" s="12" t="s">
        <v>324</v>
      </c>
      <c r="G83" s="2">
        <v>3</v>
      </c>
      <c r="H83" s="3">
        <v>224</v>
      </c>
      <c r="I83" s="14" t="s">
        <v>325</v>
      </c>
      <c r="J83" s="12" t="s">
        <v>433</v>
      </c>
      <c r="K83" s="2">
        <v>1</v>
      </c>
      <c r="L83" s="12" t="s">
        <v>332</v>
      </c>
      <c r="M83">
        <f>YEAR(VentesMagasins!$C83)</f>
        <v>2023</v>
      </c>
      <c r="N83" t="e" cm="1" vm="1">
        <f t="array" aca="1" ref="N83" ca="1">MONTH(DateVente)</f>
        <v>#VALUE!</v>
      </c>
      <c r="O83" t="str">
        <f>PROPER(VentesMagasins!$F83)</f>
        <v>Électronique</v>
      </c>
      <c r="P83">
        <f>VALUE(CLEAN(TRIM(SUBSTITUTE(VentesMagasins!$I83,".",","))))</f>
        <v>0.15</v>
      </c>
      <c r="Q83">
        <f>VALUE(TRIM(SUBSTITUTE(VentesMagasins!$J83,".",",")))</f>
        <v>628.31999999999903</v>
      </c>
      <c r="R83">
        <f t="shared" si="3"/>
        <v>534.07199999999921</v>
      </c>
      <c r="S83">
        <f>IF(VentesMagasins!$K83=1,(-1)*R83,R83)</f>
        <v>-534.07199999999921</v>
      </c>
      <c r="T83">
        <f>IFERROR(VALUE(TRIM(SUBSTITUTE(VentesMagasins!$L83,".",","))),0)</f>
        <v>4</v>
      </c>
      <c r="U83">
        <f t="shared" si="4"/>
        <v>4</v>
      </c>
      <c r="V83" t="str">
        <f t="shared" si="5"/>
        <v>moyenne</v>
      </c>
      <c r="W83" t="str">
        <f>_xlfn.XLOOKUP(VentesMagasins!$B83,Clients!ClientID,Région)</f>
        <v>Est</v>
      </c>
      <c r="X83" t="str">
        <f>INDEX(TypeClient,MATCH(VentesMagasins!$B83,Clients!ClientID))</f>
        <v>Fidèle</v>
      </c>
      <c r="Y83" t="str">
        <v>août</v>
      </c>
    </row>
    <row r="84" spans="1:25" x14ac:dyDescent="0.25">
      <c r="A84" s="2">
        <v>83</v>
      </c>
      <c r="B84" s="12" t="s">
        <v>48</v>
      </c>
      <c r="C84" s="13">
        <v>45735</v>
      </c>
      <c r="D84" s="12" t="s">
        <v>328</v>
      </c>
      <c r="E84" s="14" t="s">
        <v>362</v>
      </c>
      <c r="F84" s="12" t="s">
        <v>330</v>
      </c>
      <c r="G84" s="2">
        <v>3</v>
      </c>
      <c r="H84" s="3">
        <v>271</v>
      </c>
      <c r="I84" s="14" t="s">
        <v>325</v>
      </c>
      <c r="J84" s="12" t="s">
        <v>434</v>
      </c>
      <c r="K84" s="2">
        <v>0</v>
      </c>
      <c r="L84" s="12" t="s">
        <v>369</v>
      </c>
      <c r="M84">
        <f>YEAR(VentesMagasins!$C84)</f>
        <v>2025</v>
      </c>
      <c r="N84" t="e" cm="1" vm="1">
        <f t="array" aca="1" ref="N84" ca="1">MONTH(DateVente)</f>
        <v>#VALUE!</v>
      </c>
      <c r="O84" t="str">
        <f>PROPER(VentesMagasins!$F84)</f>
        <v>Décoration</v>
      </c>
      <c r="P84">
        <f>VALUE(CLEAN(TRIM(SUBSTITUTE(VentesMagasins!$I84,".",","))))</f>
        <v>0.15</v>
      </c>
      <c r="Q84">
        <f>VALUE(TRIM(SUBSTITUTE(VentesMagasins!$J84,".",",")))</f>
        <v>691.05</v>
      </c>
      <c r="R84">
        <f t="shared" si="3"/>
        <v>587.39249999999993</v>
      </c>
      <c r="S84">
        <f>IF(VentesMagasins!$K84=1,(-1)*R84,R84)</f>
        <v>587.39249999999993</v>
      </c>
      <c r="T84">
        <f>IFERROR(VALUE(TRIM(SUBSTITUTE(VentesMagasins!$L84,".",","))),0)</f>
        <v>1</v>
      </c>
      <c r="U84">
        <f t="shared" si="4"/>
        <v>1</v>
      </c>
      <c r="V84" t="str">
        <f t="shared" si="5"/>
        <v>faible</v>
      </c>
      <c r="W84" t="str">
        <f>_xlfn.XLOOKUP(VentesMagasins!$B84,Clients!ClientID,Région)</f>
        <v>Sud</v>
      </c>
      <c r="X84" t="str">
        <f>INDEX(TypeClient,MATCH(VentesMagasins!$B84,Clients!ClientID))</f>
        <v>Fidèle</v>
      </c>
      <c r="Y84" t="str">
        <v>mars</v>
      </c>
    </row>
    <row r="85" spans="1:25" x14ac:dyDescent="0.25">
      <c r="A85" s="2">
        <v>84</v>
      </c>
      <c r="B85" s="12" t="s">
        <v>283</v>
      </c>
      <c r="C85" s="13">
        <v>45812</v>
      </c>
      <c r="D85" s="12" t="s">
        <v>350</v>
      </c>
      <c r="E85" s="14" t="s">
        <v>348</v>
      </c>
      <c r="F85" s="12" t="s">
        <v>324</v>
      </c>
      <c r="G85" s="2">
        <v>4</v>
      </c>
      <c r="H85" s="3">
        <v>217</v>
      </c>
      <c r="I85" s="14" t="s">
        <v>325</v>
      </c>
      <c r="J85" s="12" t="s">
        <v>435</v>
      </c>
      <c r="K85" s="2">
        <v>0</v>
      </c>
      <c r="L85" s="12" t="s">
        <v>352</v>
      </c>
      <c r="M85">
        <f>YEAR(VentesMagasins!$C85)</f>
        <v>2025</v>
      </c>
      <c r="N85" t="e" cm="1" vm="1">
        <f t="array" aca="1" ref="N85" ca="1">MONTH(DateVente)</f>
        <v>#VALUE!</v>
      </c>
      <c r="O85" t="str">
        <f>PROPER(VentesMagasins!$F85)</f>
        <v>Électronique</v>
      </c>
      <c r="P85">
        <f>VALUE(CLEAN(TRIM(SUBSTITUTE(VentesMagasins!$I85,".",","))))</f>
        <v>0.15</v>
      </c>
      <c r="Q85">
        <f>VALUE(TRIM(SUBSTITUTE(VentesMagasins!$J85,".",",")))</f>
        <v>737.8</v>
      </c>
      <c r="R85">
        <f t="shared" si="3"/>
        <v>627.13</v>
      </c>
      <c r="S85">
        <f>IF(VentesMagasins!$K85=1,(-1)*R85,R85)</f>
        <v>627.13</v>
      </c>
      <c r="T85">
        <f>IFERROR(VALUE(TRIM(SUBSTITUTE(VentesMagasins!$L85,".",","))),0)</f>
        <v>0</v>
      </c>
      <c r="U85">
        <f t="shared" si="4"/>
        <v>2</v>
      </c>
      <c r="V85" t="str">
        <f t="shared" si="5"/>
        <v>faible</v>
      </c>
      <c r="W85" t="str">
        <f>_xlfn.XLOOKUP(VentesMagasins!$B85,Clients!ClientID,Région)</f>
        <v>Nord</v>
      </c>
      <c r="X85" t="str">
        <f>INDEX(TypeClient,MATCH(VentesMagasins!$B85,Clients!ClientID))</f>
        <v>Fidèle</v>
      </c>
      <c r="Y85" t="str">
        <v>juin</v>
      </c>
    </row>
    <row r="86" spans="1:25" x14ac:dyDescent="0.25">
      <c r="A86" s="2">
        <v>85</v>
      </c>
      <c r="B86" s="12" t="s">
        <v>191</v>
      </c>
      <c r="C86" s="13">
        <v>45382</v>
      </c>
      <c r="D86" s="12" t="s">
        <v>322</v>
      </c>
      <c r="E86" s="14" t="s">
        <v>334</v>
      </c>
      <c r="F86" s="12" t="s">
        <v>324</v>
      </c>
      <c r="G86" s="2">
        <v>4</v>
      </c>
      <c r="H86" s="3">
        <v>115</v>
      </c>
      <c r="I86" s="14" t="s">
        <v>355</v>
      </c>
      <c r="J86" s="12" t="s">
        <v>436</v>
      </c>
      <c r="K86" s="2">
        <v>0</v>
      </c>
      <c r="L86" s="12" t="s">
        <v>352</v>
      </c>
      <c r="M86">
        <f>YEAR(VentesMagasins!$C86)</f>
        <v>2024</v>
      </c>
      <c r="N86" t="e" cm="1" vm="1">
        <f t="array" aca="1" ref="N86" ca="1">MONTH(DateVente)</f>
        <v>#VALUE!</v>
      </c>
      <c r="O86" t="str">
        <f>PROPER(VentesMagasins!$F86)</f>
        <v>Électronique</v>
      </c>
      <c r="P86">
        <f>VALUE(CLEAN(TRIM(SUBSTITUTE(VentesMagasins!$I86,".",","))))</f>
        <v>0.1</v>
      </c>
      <c r="Q86">
        <f>VALUE(TRIM(SUBSTITUTE(VentesMagasins!$J86,".",",")))</f>
        <v>414</v>
      </c>
      <c r="R86">
        <f t="shared" si="3"/>
        <v>372.6</v>
      </c>
      <c r="S86">
        <f>IF(VentesMagasins!$K86=1,(-1)*R86,R86)</f>
        <v>372.6</v>
      </c>
      <c r="T86">
        <f>IFERROR(VALUE(TRIM(SUBSTITUTE(VentesMagasins!$L86,".",","))),0)</f>
        <v>0</v>
      </c>
      <c r="U86">
        <f t="shared" si="4"/>
        <v>3</v>
      </c>
      <c r="V86" t="str">
        <f t="shared" si="5"/>
        <v>moyenne</v>
      </c>
      <c r="W86" t="str">
        <f>_xlfn.XLOOKUP(VentesMagasins!$B86,Clients!ClientID,Région)</f>
        <v>Sud</v>
      </c>
      <c r="X86" t="str">
        <f>INDEX(TypeClient,MATCH(VentesMagasins!$B86,Clients!ClientID))</f>
        <v>Nouveau</v>
      </c>
      <c r="Y86" t="str">
        <v>mars</v>
      </c>
    </row>
    <row r="87" spans="1:25" x14ac:dyDescent="0.25">
      <c r="A87" s="2">
        <v>86</v>
      </c>
      <c r="B87" s="12" t="s">
        <v>128</v>
      </c>
      <c r="C87" s="13">
        <v>45407</v>
      </c>
      <c r="D87" s="12" t="s">
        <v>338</v>
      </c>
      <c r="E87" s="14" t="s">
        <v>345</v>
      </c>
      <c r="F87" s="12" t="s">
        <v>341</v>
      </c>
      <c r="G87" s="2">
        <v>3</v>
      </c>
      <c r="H87" s="3">
        <v>257</v>
      </c>
      <c r="I87" s="14" t="s">
        <v>335</v>
      </c>
      <c r="J87" s="12" t="s">
        <v>437</v>
      </c>
      <c r="K87" s="2">
        <v>0</v>
      </c>
      <c r="L87" s="12" t="s">
        <v>337</v>
      </c>
      <c r="M87">
        <f>YEAR(VentesMagasins!$C87)</f>
        <v>2024</v>
      </c>
      <c r="N87" t="e" cm="1" vm="1">
        <f t="array" aca="1" ref="N87" ca="1">MONTH(DateVente)</f>
        <v>#VALUE!</v>
      </c>
      <c r="O87" t="str">
        <f>PROPER(VentesMagasins!$F87)</f>
        <v>Meuble</v>
      </c>
      <c r="P87">
        <f>VALUE(CLEAN(TRIM(SUBSTITUTE(VentesMagasins!$I87,".",","))))</f>
        <v>0</v>
      </c>
      <c r="Q87">
        <f>VALUE(TRIM(SUBSTITUTE(VentesMagasins!$J87,".",",")))</f>
        <v>771</v>
      </c>
      <c r="R87">
        <f t="shared" si="3"/>
        <v>771</v>
      </c>
      <c r="S87">
        <f>IF(VentesMagasins!$K87=1,(-1)*R87,R87)</f>
        <v>771</v>
      </c>
      <c r="T87">
        <f>IFERROR(VALUE(TRIM(SUBSTITUTE(VentesMagasins!$L87,".",","))),0)</f>
        <v>3</v>
      </c>
      <c r="U87">
        <f t="shared" si="4"/>
        <v>3</v>
      </c>
      <c r="V87" t="str">
        <f t="shared" si="5"/>
        <v>moyenne</v>
      </c>
      <c r="W87" t="str">
        <f>_xlfn.XLOOKUP(VentesMagasins!$B87,Clients!ClientID,Région)</f>
        <v>Est</v>
      </c>
      <c r="X87" t="str">
        <f>INDEX(TypeClient,MATCH(VentesMagasins!$B87,Clients!ClientID))</f>
        <v>Occasionnel</v>
      </c>
      <c r="Y87" t="str">
        <v>avr</v>
      </c>
    </row>
    <row r="88" spans="1:25" x14ac:dyDescent="0.25">
      <c r="A88" s="2">
        <v>87</v>
      </c>
      <c r="B88" s="12" t="s">
        <v>61</v>
      </c>
      <c r="C88" s="13">
        <v>45528</v>
      </c>
      <c r="D88" s="12" t="s">
        <v>333</v>
      </c>
      <c r="E88" s="14" t="s">
        <v>339</v>
      </c>
      <c r="F88" s="12" t="s">
        <v>330</v>
      </c>
      <c r="G88" s="2">
        <v>4</v>
      </c>
      <c r="H88" s="3">
        <v>108</v>
      </c>
      <c r="I88" s="14" t="s">
        <v>325</v>
      </c>
      <c r="J88" s="12" t="s">
        <v>438</v>
      </c>
      <c r="K88" s="2">
        <v>1</v>
      </c>
      <c r="L88" s="12" t="s">
        <v>337</v>
      </c>
      <c r="M88">
        <f>YEAR(VentesMagasins!$C88)</f>
        <v>2024</v>
      </c>
      <c r="N88" t="e" cm="1" vm="1">
        <f t="array" aca="1" ref="N88" ca="1">MONTH(DateVente)</f>
        <v>#VALUE!</v>
      </c>
      <c r="O88" t="str">
        <f>PROPER(VentesMagasins!$F88)</f>
        <v>Décoration</v>
      </c>
      <c r="P88">
        <f>VALUE(CLEAN(TRIM(SUBSTITUTE(VentesMagasins!$I88,".",","))))</f>
        <v>0.15</v>
      </c>
      <c r="Q88">
        <f>VALUE(TRIM(SUBSTITUTE(VentesMagasins!$J88,".",",")))</f>
        <v>367.2</v>
      </c>
      <c r="R88">
        <f t="shared" si="3"/>
        <v>312.12</v>
      </c>
      <c r="S88">
        <f>IF(VentesMagasins!$K88=1,(-1)*R88,R88)</f>
        <v>-312.12</v>
      </c>
      <c r="T88">
        <f>IFERROR(VALUE(TRIM(SUBSTITUTE(VentesMagasins!$L88,".",","))),0)</f>
        <v>3</v>
      </c>
      <c r="U88">
        <f t="shared" si="4"/>
        <v>3</v>
      </c>
      <c r="V88" t="str">
        <f t="shared" si="5"/>
        <v>moyenne</v>
      </c>
      <c r="W88" t="str">
        <f>_xlfn.XLOOKUP(VentesMagasins!$B88,Clients!ClientID,Région)</f>
        <v>Nord</v>
      </c>
      <c r="X88" t="str">
        <f>INDEX(TypeClient,MATCH(VentesMagasins!$B88,Clients!ClientID))</f>
        <v>Fidèle</v>
      </c>
      <c r="Y88" t="str">
        <v>août</v>
      </c>
    </row>
    <row r="89" spans="1:25" x14ac:dyDescent="0.25">
      <c r="A89" s="2">
        <v>88</v>
      </c>
      <c r="B89" s="12" t="s">
        <v>59</v>
      </c>
      <c r="C89" s="13">
        <v>45831</v>
      </c>
      <c r="D89" s="12" t="s">
        <v>338</v>
      </c>
      <c r="E89" s="14" t="s">
        <v>364</v>
      </c>
      <c r="F89" s="12" t="s">
        <v>324</v>
      </c>
      <c r="G89" s="2">
        <v>4</v>
      </c>
      <c r="H89" s="3">
        <v>77</v>
      </c>
      <c r="I89" s="14" t="s">
        <v>342</v>
      </c>
      <c r="J89" s="12" t="s">
        <v>439</v>
      </c>
      <c r="K89" s="2">
        <v>1</v>
      </c>
      <c r="L89" s="12" t="s">
        <v>327</v>
      </c>
      <c r="M89">
        <f>YEAR(VentesMagasins!$C89)</f>
        <v>2025</v>
      </c>
      <c r="N89" t="e" cm="1" vm="1">
        <f t="array" aca="1" ref="N89" ca="1">MONTH(DateVente)</f>
        <v>#VALUE!</v>
      </c>
      <c r="O89" t="str">
        <f>PROPER(VentesMagasins!$F89)</f>
        <v>Électronique</v>
      </c>
      <c r="P89">
        <f>VALUE(CLEAN(TRIM(SUBSTITUTE(VentesMagasins!$I89,".",","))))</f>
        <v>0.05</v>
      </c>
      <c r="Q89">
        <f>VALUE(TRIM(SUBSTITUTE(VentesMagasins!$J89,".",",")))</f>
        <v>292.599999999999</v>
      </c>
      <c r="R89">
        <f t="shared" si="3"/>
        <v>277.96999999999906</v>
      </c>
      <c r="S89">
        <f>IF(VentesMagasins!$K89=1,(-1)*R89,R89)</f>
        <v>-277.96999999999906</v>
      </c>
      <c r="T89">
        <f>IFERROR(VALUE(TRIM(SUBSTITUTE(VentesMagasins!$L89,".",","))),0)</f>
        <v>5</v>
      </c>
      <c r="U89">
        <f t="shared" si="4"/>
        <v>5</v>
      </c>
      <c r="V89" t="str">
        <f t="shared" si="5"/>
        <v>élévé</v>
      </c>
      <c r="W89" t="str">
        <f>_xlfn.XLOOKUP(VentesMagasins!$B89,Clients!ClientID,Région)</f>
        <v>Sud</v>
      </c>
      <c r="X89" t="str">
        <f>INDEX(TypeClient,MATCH(VentesMagasins!$B89,Clients!ClientID))</f>
        <v>Occasionnel</v>
      </c>
      <c r="Y89" t="str">
        <v>juin</v>
      </c>
    </row>
    <row r="90" spans="1:25" x14ac:dyDescent="0.25">
      <c r="A90" s="2">
        <v>89</v>
      </c>
      <c r="B90" s="12" t="s">
        <v>237</v>
      </c>
      <c r="C90" s="13">
        <v>45767</v>
      </c>
      <c r="D90" s="12" t="s">
        <v>350</v>
      </c>
      <c r="E90" s="14" t="s">
        <v>345</v>
      </c>
      <c r="F90" s="12" t="s">
        <v>324</v>
      </c>
      <c r="G90" s="2">
        <v>1</v>
      </c>
      <c r="H90" s="3">
        <v>412</v>
      </c>
      <c r="I90" s="14" t="s">
        <v>335</v>
      </c>
      <c r="J90" s="12" t="s">
        <v>377</v>
      </c>
      <c r="K90" s="2">
        <v>0</v>
      </c>
      <c r="L90" s="12" t="s">
        <v>369</v>
      </c>
      <c r="M90">
        <f>YEAR(VentesMagasins!$C90)</f>
        <v>2025</v>
      </c>
      <c r="N90" t="e" cm="1" vm="1">
        <f t="array" aca="1" ref="N90" ca="1">MONTH(DateVente)</f>
        <v>#VALUE!</v>
      </c>
      <c r="O90" t="str">
        <f>PROPER(VentesMagasins!$F90)</f>
        <v>Électronique</v>
      </c>
      <c r="P90">
        <f>VALUE(CLEAN(TRIM(SUBSTITUTE(VentesMagasins!$I90,".",","))))</f>
        <v>0</v>
      </c>
      <c r="Q90">
        <f>VALUE(TRIM(SUBSTITUTE(VentesMagasins!$J90,".",",")))</f>
        <v>412</v>
      </c>
      <c r="R90">
        <f t="shared" si="3"/>
        <v>412</v>
      </c>
      <c r="S90">
        <f>IF(VentesMagasins!$K90=1,(-1)*R90,R90)</f>
        <v>412</v>
      </c>
      <c r="T90">
        <f>IFERROR(VALUE(TRIM(SUBSTITUTE(VentesMagasins!$L90,".",","))),0)</f>
        <v>1</v>
      </c>
      <c r="U90">
        <f t="shared" si="4"/>
        <v>1</v>
      </c>
      <c r="V90" t="str">
        <f t="shared" si="5"/>
        <v>faible</v>
      </c>
      <c r="W90" t="str">
        <f>_xlfn.XLOOKUP(VentesMagasins!$B90,Clients!ClientID,Région)</f>
        <v>Est</v>
      </c>
      <c r="X90" t="str">
        <f>INDEX(TypeClient,MATCH(VentesMagasins!$B90,Clients!ClientID))</f>
        <v>Fidèle</v>
      </c>
      <c r="Y90" t="str">
        <v>avr</v>
      </c>
    </row>
    <row r="91" spans="1:25" x14ac:dyDescent="0.25">
      <c r="A91" s="2">
        <v>90</v>
      </c>
      <c r="B91" s="12" t="s">
        <v>136</v>
      </c>
      <c r="C91" s="13">
        <v>45186</v>
      </c>
      <c r="D91" s="12" t="s">
        <v>350</v>
      </c>
      <c r="E91" s="14" t="s">
        <v>362</v>
      </c>
      <c r="F91" s="12" t="s">
        <v>330</v>
      </c>
      <c r="G91" s="2">
        <v>4</v>
      </c>
      <c r="H91" s="3">
        <v>317</v>
      </c>
      <c r="I91" s="14" t="s">
        <v>335</v>
      </c>
      <c r="J91" s="12" t="s">
        <v>440</v>
      </c>
      <c r="K91" s="2">
        <v>1</v>
      </c>
      <c r="L91" s="12" t="s">
        <v>337</v>
      </c>
      <c r="M91">
        <f>YEAR(VentesMagasins!$C91)</f>
        <v>2023</v>
      </c>
      <c r="N91" t="e" cm="1" vm="1">
        <f t="array" aca="1" ref="N91" ca="1">MONTH(DateVente)</f>
        <v>#VALUE!</v>
      </c>
      <c r="O91" t="str">
        <f>PROPER(VentesMagasins!$F91)</f>
        <v>Décoration</v>
      </c>
      <c r="P91">
        <f>VALUE(CLEAN(TRIM(SUBSTITUTE(VentesMagasins!$I91,".",","))))</f>
        <v>0</v>
      </c>
      <c r="Q91">
        <f>VALUE(TRIM(SUBSTITUTE(VentesMagasins!$J91,".",",")))</f>
        <v>1141.2</v>
      </c>
      <c r="R91">
        <f t="shared" si="3"/>
        <v>1141.2</v>
      </c>
      <c r="S91">
        <f>IF(VentesMagasins!$K91=1,(-1)*R91,R91)</f>
        <v>-1141.2</v>
      </c>
      <c r="T91">
        <f>IFERROR(VALUE(TRIM(SUBSTITUTE(VentesMagasins!$L91,".",","))),0)</f>
        <v>3</v>
      </c>
      <c r="U91">
        <f t="shared" si="4"/>
        <v>3</v>
      </c>
      <c r="V91" t="str">
        <f t="shared" si="5"/>
        <v>moyenne</v>
      </c>
      <c r="W91" t="str">
        <f>_xlfn.XLOOKUP(VentesMagasins!$B91,Clients!ClientID,Région)</f>
        <v>Sud</v>
      </c>
      <c r="X91" t="str">
        <f>INDEX(TypeClient,MATCH(VentesMagasins!$B91,Clients!ClientID))</f>
        <v>Fidèle</v>
      </c>
      <c r="Y91" t="str">
        <v>sept</v>
      </c>
    </row>
    <row r="92" spans="1:25" x14ac:dyDescent="0.25">
      <c r="A92" s="2">
        <v>91</v>
      </c>
      <c r="B92" s="12" t="s">
        <v>73</v>
      </c>
      <c r="C92" s="13">
        <v>45527</v>
      </c>
      <c r="D92" s="12" t="s">
        <v>322</v>
      </c>
      <c r="E92" s="14" t="s">
        <v>364</v>
      </c>
      <c r="F92" s="12" t="s">
        <v>330</v>
      </c>
      <c r="G92" s="2">
        <v>2</v>
      </c>
      <c r="H92" s="3">
        <v>59</v>
      </c>
      <c r="I92" s="14" t="s">
        <v>355</v>
      </c>
      <c r="J92" s="12" t="s">
        <v>441</v>
      </c>
      <c r="K92" s="2">
        <v>0</v>
      </c>
      <c r="L92" s="12" t="s">
        <v>344</v>
      </c>
      <c r="M92">
        <f>YEAR(VentesMagasins!$C92)</f>
        <v>2024</v>
      </c>
      <c r="N92" t="e" cm="1" vm="1">
        <f t="array" aca="1" ref="N92" ca="1">MONTH(DateVente)</f>
        <v>#VALUE!</v>
      </c>
      <c r="O92" t="str">
        <f>PROPER(VentesMagasins!$F92)</f>
        <v>Décoration</v>
      </c>
      <c r="P92">
        <f>VALUE(CLEAN(TRIM(SUBSTITUTE(VentesMagasins!$I92,".",","))))</f>
        <v>0.1</v>
      </c>
      <c r="Q92">
        <f>VALUE(TRIM(SUBSTITUTE(VentesMagasins!$J92,".",",")))</f>
        <v>106.2</v>
      </c>
      <c r="R92">
        <f t="shared" si="3"/>
        <v>95.58</v>
      </c>
      <c r="S92">
        <f>IF(VentesMagasins!$K92=1,(-1)*R92,R92)</f>
        <v>95.58</v>
      </c>
      <c r="T92">
        <f>IFERROR(VALUE(TRIM(SUBSTITUTE(VentesMagasins!$L92,".",","))),0)</f>
        <v>2</v>
      </c>
      <c r="U92">
        <f t="shared" si="4"/>
        <v>2</v>
      </c>
      <c r="V92" t="str">
        <f t="shared" si="5"/>
        <v>faible</v>
      </c>
      <c r="W92" t="str">
        <f>_xlfn.XLOOKUP(VentesMagasins!$B92,Clients!ClientID,Région)</f>
        <v>Sud</v>
      </c>
      <c r="X92" t="str">
        <f>INDEX(TypeClient,MATCH(VentesMagasins!$B92,Clients!ClientID))</f>
        <v>Occasionnel</v>
      </c>
      <c r="Y92" t="str">
        <v>août</v>
      </c>
    </row>
    <row r="93" spans="1:25" x14ac:dyDescent="0.25">
      <c r="A93" s="2">
        <v>92</v>
      </c>
      <c r="B93" s="12" t="s">
        <v>13</v>
      </c>
      <c r="C93" s="13">
        <v>45792</v>
      </c>
      <c r="D93" s="12" t="s">
        <v>333</v>
      </c>
      <c r="E93" s="14" t="s">
        <v>345</v>
      </c>
      <c r="F93" s="12" t="s">
        <v>341</v>
      </c>
      <c r="G93" s="2">
        <v>1</v>
      </c>
      <c r="H93" s="3">
        <v>392</v>
      </c>
      <c r="I93" s="14" t="s">
        <v>325</v>
      </c>
      <c r="J93" s="12" t="s">
        <v>442</v>
      </c>
      <c r="K93" s="2">
        <v>0</v>
      </c>
      <c r="L93" s="12" t="s">
        <v>352</v>
      </c>
      <c r="M93">
        <f>YEAR(VentesMagasins!$C93)</f>
        <v>2025</v>
      </c>
      <c r="N93" t="e" cm="1" vm="1">
        <f t="array" aca="1" ref="N93" ca="1">MONTH(DateVente)</f>
        <v>#VALUE!</v>
      </c>
      <c r="O93" t="str">
        <f>PROPER(VentesMagasins!$F93)</f>
        <v>Meuble</v>
      </c>
      <c r="P93">
        <f>VALUE(CLEAN(TRIM(SUBSTITUTE(VentesMagasins!$I93,".",","))))</f>
        <v>0.15</v>
      </c>
      <c r="Q93">
        <f>VALUE(TRIM(SUBSTITUTE(VentesMagasins!$J93,".",",")))</f>
        <v>333.2</v>
      </c>
      <c r="R93">
        <f t="shared" si="3"/>
        <v>283.21999999999997</v>
      </c>
      <c r="S93">
        <f>IF(VentesMagasins!$K93=1,(-1)*R93,R93)</f>
        <v>283.21999999999997</v>
      </c>
      <c r="T93">
        <f>IFERROR(VALUE(TRIM(SUBSTITUTE(VentesMagasins!$L93,".",","))),0)</f>
        <v>0</v>
      </c>
      <c r="U93">
        <f t="shared" si="4"/>
        <v>3</v>
      </c>
      <c r="V93" t="str">
        <f t="shared" si="5"/>
        <v>moyenne</v>
      </c>
      <c r="W93" t="str">
        <f>_xlfn.XLOOKUP(VentesMagasins!$B93,Clients!ClientID,Région)</f>
        <v>Sud</v>
      </c>
      <c r="X93" t="str">
        <f>INDEX(TypeClient,MATCH(VentesMagasins!$B93,Clients!ClientID))</f>
        <v>Fidèle</v>
      </c>
      <c r="Y93" t="str">
        <v>mai</v>
      </c>
    </row>
    <row r="94" spans="1:25" x14ac:dyDescent="0.25">
      <c r="A94" s="2">
        <v>93</v>
      </c>
      <c r="B94" s="12" t="s">
        <v>29</v>
      </c>
      <c r="C94" s="13">
        <v>45369</v>
      </c>
      <c r="D94" s="12" t="s">
        <v>338</v>
      </c>
      <c r="E94" s="14" t="s">
        <v>364</v>
      </c>
      <c r="F94" s="12" t="s">
        <v>341</v>
      </c>
      <c r="G94" s="2">
        <v>2</v>
      </c>
      <c r="H94" s="3">
        <v>96</v>
      </c>
      <c r="I94" s="14" t="s">
        <v>335</v>
      </c>
      <c r="J94" s="12" t="s">
        <v>443</v>
      </c>
      <c r="K94" s="2">
        <v>1</v>
      </c>
      <c r="L94" s="12" t="s">
        <v>327</v>
      </c>
      <c r="M94">
        <f>YEAR(VentesMagasins!$C94)</f>
        <v>2024</v>
      </c>
      <c r="N94" t="e" cm="1" vm="1">
        <f t="array" aca="1" ref="N94" ca="1">MONTH(DateVente)</f>
        <v>#VALUE!</v>
      </c>
      <c r="O94" t="str">
        <f>PROPER(VentesMagasins!$F94)</f>
        <v>Meuble</v>
      </c>
      <c r="P94">
        <f>VALUE(CLEAN(TRIM(SUBSTITUTE(VentesMagasins!$I94,".",","))))</f>
        <v>0</v>
      </c>
      <c r="Q94">
        <f>VALUE(TRIM(SUBSTITUTE(VentesMagasins!$J94,".",",")))</f>
        <v>192</v>
      </c>
      <c r="R94">
        <f t="shared" si="3"/>
        <v>192</v>
      </c>
      <c r="S94">
        <f>IF(VentesMagasins!$K94=1,(-1)*R94,R94)</f>
        <v>-192</v>
      </c>
      <c r="T94">
        <f>IFERROR(VALUE(TRIM(SUBSTITUTE(VentesMagasins!$L94,".",","))),0)</f>
        <v>5</v>
      </c>
      <c r="U94">
        <f t="shared" si="4"/>
        <v>5</v>
      </c>
      <c r="V94" t="str">
        <f t="shared" si="5"/>
        <v>élévé</v>
      </c>
      <c r="W94" t="str">
        <f>_xlfn.XLOOKUP(VentesMagasins!$B94,Clients!ClientID,Région)</f>
        <v>Centre</v>
      </c>
      <c r="X94" t="str">
        <f>INDEX(TypeClient,MATCH(VentesMagasins!$B94,Clients!ClientID))</f>
        <v>Fidèle</v>
      </c>
      <c r="Y94" t="str">
        <v>mars</v>
      </c>
    </row>
    <row r="95" spans="1:25" x14ac:dyDescent="0.25">
      <c r="A95" s="2">
        <v>94</v>
      </c>
      <c r="B95" s="12" t="s">
        <v>216</v>
      </c>
      <c r="C95" s="13">
        <v>45797</v>
      </c>
      <c r="D95" s="12" t="s">
        <v>322</v>
      </c>
      <c r="E95" s="14" t="s">
        <v>362</v>
      </c>
      <c r="F95" s="12" t="s">
        <v>341</v>
      </c>
      <c r="G95" s="2">
        <v>5</v>
      </c>
      <c r="H95" s="3">
        <v>344</v>
      </c>
      <c r="I95" s="14" t="s">
        <v>342</v>
      </c>
      <c r="J95" s="12" t="s">
        <v>444</v>
      </c>
      <c r="K95" s="2">
        <v>0</v>
      </c>
      <c r="L95" s="12" t="s">
        <v>337</v>
      </c>
      <c r="M95">
        <f>YEAR(VentesMagasins!$C95)</f>
        <v>2025</v>
      </c>
      <c r="N95" t="e" cm="1" vm="1">
        <f t="array" aca="1" ref="N95" ca="1">MONTH(DateVente)</f>
        <v>#VALUE!</v>
      </c>
      <c r="O95" t="str">
        <f>PROPER(VentesMagasins!$F95)</f>
        <v>Meuble</v>
      </c>
      <c r="P95">
        <f>VALUE(CLEAN(TRIM(SUBSTITUTE(VentesMagasins!$I95,".",","))))</f>
        <v>0.05</v>
      </c>
      <c r="Q95">
        <f>VALUE(TRIM(SUBSTITUTE(VentesMagasins!$J95,".",",")))</f>
        <v>1470.6</v>
      </c>
      <c r="R95">
        <f t="shared" si="3"/>
        <v>1397.07</v>
      </c>
      <c r="S95">
        <f>IF(VentesMagasins!$K95=1,(-1)*R95,R95)</f>
        <v>1397.07</v>
      </c>
      <c r="T95">
        <f>IFERROR(VALUE(TRIM(SUBSTITUTE(VentesMagasins!$L95,".",","))),0)</f>
        <v>3</v>
      </c>
      <c r="U95">
        <f t="shared" si="4"/>
        <v>3</v>
      </c>
      <c r="V95" t="str">
        <f t="shared" si="5"/>
        <v>moyenne</v>
      </c>
      <c r="W95" t="str">
        <f>_xlfn.XLOOKUP(VentesMagasins!$B95,Clients!ClientID,Région)</f>
        <v>Est</v>
      </c>
      <c r="X95" t="str">
        <f>INDEX(TypeClient,MATCH(VentesMagasins!$B95,Clients!ClientID))</f>
        <v>Fidèle</v>
      </c>
      <c r="Y95" t="str">
        <v>mai</v>
      </c>
    </row>
    <row r="96" spans="1:25" x14ac:dyDescent="0.25">
      <c r="A96" s="2">
        <v>95</v>
      </c>
      <c r="B96" s="12" t="s">
        <v>49</v>
      </c>
      <c r="C96" s="13">
        <v>45521</v>
      </c>
      <c r="D96" s="12" t="s">
        <v>338</v>
      </c>
      <c r="E96" s="14" t="s">
        <v>329</v>
      </c>
      <c r="F96" s="12" t="s">
        <v>324</v>
      </c>
      <c r="G96" s="2">
        <v>5</v>
      </c>
      <c r="H96" s="3">
        <v>44</v>
      </c>
      <c r="I96" s="14" t="s">
        <v>342</v>
      </c>
      <c r="J96" s="12" t="s">
        <v>445</v>
      </c>
      <c r="K96" s="2">
        <v>0</v>
      </c>
      <c r="L96" s="12" t="s">
        <v>332</v>
      </c>
      <c r="M96">
        <f>YEAR(VentesMagasins!$C96)</f>
        <v>2024</v>
      </c>
      <c r="N96" t="e" cm="1" vm="1">
        <f t="array" aca="1" ref="N96" ca="1">MONTH(DateVente)</f>
        <v>#VALUE!</v>
      </c>
      <c r="O96" t="str">
        <f>PROPER(VentesMagasins!$F96)</f>
        <v>Électronique</v>
      </c>
      <c r="P96">
        <f>VALUE(CLEAN(TRIM(SUBSTITUTE(VentesMagasins!$I96,".",","))))</f>
        <v>0.05</v>
      </c>
      <c r="Q96">
        <f>VALUE(TRIM(SUBSTITUTE(VentesMagasins!$J96,".",",")))</f>
        <v>209</v>
      </c>
      <c r="R96">
        <f t="shared" si="3"/>
        <v>198.54999999999998</v>
      </c>
      <c r="S96">
        <f>IF(VentesMagasins!$K96=1,(-1)*R96,R96)</f>
        <v>198.54999999999998</v>
      </c>
      <c r="T96">
        <f>IFERROR(VALUE(TRIM(SUBSTITUTE(VentesMagasins!$L96,".",","))),0)</f>
        <v>4</v>
      </c>
      <c r="U96">
        <f t="shared" si="4"/>
        <v>4</v>
      </c>
      <c r="V96" t="str">
        <f t="shared" si="5"/>
        <v>moyenne</v>
      </c>
      <c r="W96" t="str">
        <f>_xlfn.XLOOKUP(VentesMagasins!$B96,Clients!ClientID,Région)</f>
        <v>Nord</v>
      </c>
      <c r="X96" t="str">
        <f>INDEX(TypeClient,MATCH(VentesMagasins!$B96,Clients!ClientID))</f>
        <v>Nouveau</v>
      </c>
      <c r="Y96" t="str">
        <v>août</v>
      </c>
    </row>
    <row r="97" spans="1:25" x14ac:dyDescent="0.25">
      <c r="A97" s="2">
        <v>96</v>
      </c>
      <c r="B97" s="12" t="s">
        <v>255</v>
      </c>
      <c r="C97" s="13">
        <v>44983</v>
      </c>
      <c r="D97" s="12" t="s">
        <v>333</v>
      </c>
      <c r="E97" s="14" t="s">
        <v>345</v>
      </c>
      <c r="F97" s="12" t="s">
        <v>416</v>
      </c>
      <c r="G97" s="2">
        <v>5</v>
      </c>
      <c r="H97" s="3">
        <v>488</v>
      </c>
      <c r="I97" s="14" t="s">
        <v>342</v>
      </c>
      <c r="J97" s="12" t="s">
        <v>446</v>
      </c>
      <c r="K97" s="2">
        <v>0</v>
      </c>
      <c r="L97" s="12" t="s">
        <v>327</v>
      </c>
      <c r="M97">
        <f>YEAR(VentesMagasins!$C97)</f>
        <v>2023</v>
      </c>
      <c r="N97" t="e" cm="1" vm="1">
        <f t="array" aca="1" ref="N97" ca="1">MONTH(DateVente)</f>
        <v>#VALUE!</v>
      </c>
      <c r="O97" t="str">
        <f>PROPER(VentesMagasins!$F97)</f>
        <v>Meuble</v>
      </c>
      <c r="P97">
        <f>VALUE(CLEAN(TRIM(SUBSTITUTE(VentesMagasins!$I97,".",","))))</f>
        <v>0.05</v>
      </c>
      <c r="Q97">
        <f>VALUE(TRIM(SUBSTITUTE(VentesMagasins!$J97,".",",")))</f>
        <v>2318</v>
      </c>
      <c r="R97">
        <f t="shared" si="3"/>
        <v>2202.1</v>
      </c>
      <c r="S97">
        <f>IF(VentesMagasins!$K97=1,(-1)*R97,R97)</f>
        <v>2202.1</v>
      </c>
      <c r="T97">
        <f>IFERROR(VALUE(TRIM(SUBSTITUTE(VentesMagasins!$L97,".",","))),0)</f>
        <v>5</v>
      </c>
      <c r="U97">
        <f t="shared" si="4"/>
        <v>5</v>
      </c>
      <c r="V97" t="str">
        <f t="shared" si="5"/>
        <v>élévé</v>
      </c>
      <c r="W97" t="str">
        <f>_xlfn.XLOOKUP(VentesMagasins!$B97,Clients!ClientID,Région)</f>
        <v>Ouest</v>
      </c>
      <c r="X97" t="str">
        <f>INDEX(TypeClient,MATCH(VentesMagasins!$B97,Clients!ClientID))</f>
        <v>Nouveau</v>
      </c>
      <c r="Y97" t="str">
        <v>févr</v>
      </c>
    </row>
    <row r="98" spans="1:25" x14ac:dyDescent="0.25">
      <c r="A98" s="2">
        <v>97</v>
      </c>
      <c r="B98" s="12" t="s">
        <v>149</v>
      </c>
      <c r="C98" s="13">
        <v>45993</v>
      </c>
      <c r="D98" s="12" t="s">
        <v>328</v>
      </c>
      <c r="E98" s="14" t="s">
        <v>339</v>
      </c>
      <c r="F98" s="12" t="s">
        <v>330</v>
      </c>
      <c r="G98" s="2">
        <v>1</v>
      </c>
      <c r="H98" s="3">
        <v>486</v>
      </c>
      <c r="I98" s="14" t="s">
        <v>325</v>
      </c>
      <c r="J98" s="12" t="s">
        <v>447</v>
      </c>
      <c r="K98" s="2">
        <v>0</v>
      </c>
      <c r="L98" s="12" t="s">
        <v>332</v>
      </c>
      <c r="M98">
        <f>YEAR(VentesMagasins!$C98)</f>
        <v>2025</v>
      </c>
      <c r="N98" t="e" cm="1" vm="1">
        <f t="array" aca="1" ref="N98" ca="1">MONTH(DateVente)</f>
        <v>#VALUE!</v>
      </c>
      <c r="O98" t="str">
        <f>PROPER(VentesMagasins!$F98)</f>
        <v>Décoration</v>
      </c>
      <c r="P98">
        <f>VALUE(CLEAN(TRIM(SUBSTITUTE(VentesMagasins!$I98,".",","))))</f>
        <v>0.15</v>
      </c>
      <c r="Q98">
        <f>VALUE(TRIM(SUBSTITUTE(VentesMagasins!$J98,".",",")))</f>
        <v>413.099999999999</v>
      </c>
      <c r="R98">
        <f t="shared" si="3"/>
        <v>351.13499999999914</v>
      </c>
      <c r="S98">
        <f>IF(VentesMagasins!$K98=1,(-1)*R98,R98)</f>
        <v>351.13499999999914</v>
      </c>
      <c r="T98">
        <f>IFERROR(VALUE(TRIM(SUBSTITUTE(VentesMagasins!$L98,".",","))),0)</f>
        <v>4</v>
      </c>
      <c r="U98">
        <f t="shared" si="4"/>
        <v>4</v>
      </c>
      <c r="V98" t="str">
        <f t="shared" si="5"/>
        <v>moyenne</v>
      </c>
      <c r="W98" t="str">
        <f>_xlfn.XLOOKUP(VentesMagasins!$B98,Clients!ClientID,Région)</f>
        <v>Centre</v>
      </c>
      <c r="X98" t="str">
        <f>INDEX(TypeClient,MATCH(VentesMagasins!$B98,Clients!ClientID))</f>
        <v>Nouveau</v>
      </c>
      <c r="Y98" t="str">
        <v>déc</v>
      </c>
    </row>
    <row r="99" spans="1:25" x14ac:dyDescent="0.25">
      <c r="A99" s="2">
        <v>98</v>
      </c>
      <c r="B99" s="12" t="s">
        <v>74</v>
      </c>
      <c r="C99" s="13">
        <v>45144</v>
      </c>
      <c r="D99" s="12" t="s">
        <v>350</v>
      </c>
      <c r="E99" s="14" t="s">
        <v>334</v>
      </c>
      <c r="F99" s="12" t="s">
        <v>324</v>
      </c>
      <c r="G99" s="2">
        <v>3</v>
      </c>
      <c r="H99" s="3">
        <v>131</v>
      </c>
      <c r="I99" s="14" t="s">
        <v>325</v>
      </c>
      <c r="J99" s="12" t="s">
        <v>448</v>
      </c>
      <c r="K99" s="2">
        <v>0</v>
      </c>
      <c r="L99" s="12" t="s">
        <v>337</v>
      </c>
      <c r="M99">
        <f>YEAR(VentesMagasins!$C99)</f>
        <v>2023</v>
      </c>
      <c r="N99" t="e" cm="1" vm="1">
        <f t="array" aca="1" ref="N99" ca="1">MONTH(DateVente)</f>
        <v>#VALUE!</v>
      </c>
      <c r="O99" t="str">
        <f>PROPER(VentesMagasins!$F99)</f>
        <v>Électronique</v>
      </c>
      <c r="P99">
        <f>VALUE(CLEAN(TRIM(SUBSTITUTE(VentesMagasins!$I99,".",","))))</f>
        <v>0.15</v>
      </c>
      <c r="Q99">
        <f>VALUE(TRIM(SUBSTITUTE(VentesMagasins!$J99,".",",")))</f>
        <v>334.05</v>
      </c>
      <c r="R99">
        <f t="shared" si="3"/>
        <v>283.9425</v>
      </c>
      <c r="S99">
        <f>IF(VentesMagasins!$K99=1,(-1)*R99,R99)</f>
        <v>283.9425</v>
      </c>
      <c r="T99">
        <f>IFERROR(VALUE(TRIM(SUBSTITUTE(VentesMagasins!$L99,".",","))),0)</f>
        <v>3</v>
      </c>
      <c r="U99">
        <f t="shared" si="4"/>
        <v>3</v>
      </c>
      <c r="V99" t="str">
        <f t="shared" si="5"/>
        <v>moyenne</v>
      </c>
      <c r="W99" t="str">
        <f>_xlfn.XLOOKUP(VentesMagasins!$B99,Clients!ClientID,Région)</f>
        <v>Centre</v>
      </c>
      <c r="X99" t="str">
        <f>INDEX(TypeClient,MATCH(VentesMagasins!$B99,Clients!ClientID))</f>
        <v>Fidèle</v>
      </c>
      <c r="Y99" t="str">
        <v>août</v>
      </c>
    </row>
    <row r="100" spans="1:25" x14ac:dyDescent="0.25">
      <c r="A100" s="2">
        <v>99</v>
      </c>
      <c r="B100" s="12" t="s">
        <v>229</v>
      </c>
      <c r="C100" s="13">
        <v>45523</v>
      </c>
      <c r="D100" s="12" t="s">
        <v>350</v>
      </c>
      <c r="E100" s="14" t="s">
        <v>345</v>
      </c>
      <c r="F100" s="12" t="s">
        <v>330</v>
      </c>
      <c r="G100" s="2">
        <v>3</v>
      </c>
      <c r="H100" s="3">
        <v>54</v>
      </c>
      <c r="I100" s="14" t="s">
        <v>335</v>
      </c>
      <c r="J100" s="12" t="s">
        <v>381</v>
      </c>
      <c r="K100" s="2">
        <v>0</v>
      </c>
      <c r="L100" s="12" t="s">
        <v>369</v>
      </c>
      <c r="M100">
        <f>YEAR(VentesMagasins!$C100)</f>
        <v>2024</v>
      </c>
      <c r="N100" t="e" cm="1" vm="1">
        <f t="array" aca="1" ref="N100" ca="1">MONTH(DateVente)</f>
        <v>#VALUE!</v>
      </c>
      <c r="O100" t="str">
        <f>PROPER(VentesMagasins!$F100)</f>
        <v>Décoration</v>
      </c>
      <c r="P100">
        <f>VALUE(CLEAN(TRIM(SUBSTITUTE(VentesMagasins!$I100,".",","))))</f>
        <v>0</v>
      </c>
      <c r="Q100">
        <f>VALUE(TRIM(SUBSTITUTE(VentesMagasins!$J100,".",",")))</f>
        <v>162</v>
      </c>
      <c r="R100">
        <f t="shared" si="3"/>
        <v>162</v>
      </c>
      <c r="S100">
        <f>IF(VentesMagasins!$K100=1,(-1)*R100,R100)</f>
        <v>162</v>
      </c>
      <c r="T100">
        <f>IFERROR(VALUE(TRIM(SUBSTITUTE(VentesMagasins!$L100,".",","))),0)</f>
        <v>1</v>
      </c>
      <c r="U100">
        <f t="shared" si="4"/>
        <v>1</v>
      </c>
      <c r="V100" t="str">
        <f t="shared" si="5"/>
        <v>faible</v>
      </c>
      <c r="W100" t="str">
        <f>_xlfn.XLOOKUP(VentesMagasins!$B100,Clients!ClientID,Région)</f>
        <v>Ouest</v>
      </c>
      <c r="X100" t="str">
        <f>INDEX(TypeClient,MATCH(VentesMagasins!$B100,Clients!ClientID))</f>
        <v>Occasionnel</v>
      </c>
      <c r="Y100" t="str">
        <v>août</v>
      </c>
    </row>
    <row r="101" spans="1:25" x14ac:dyDescent="0.25">
      <c r="A101" s="2">
        <v>100</v>
      </c>
      <c r="B101" s="12" t="s">
        <v>157</v>
      </c>
      <c r="C101" s="13">
        <v>45250</v>
      </c>
      <c r="D101" s="12" t="s">
        <v>449</v>
      </c>
      <c r="E101" s="14" t="s">
        <v>364</v>
      </c>
      <c r="F101" s="12" t="s">
        <v>330</v>
      </c>
      <c r="G101" s="2">
        <v>1</v>
      </c>
      <c r="H101" s="3">
        <v>486</v>
      </c>
      <c r="I101" s="14" t="s">
        <v>335</v>
      </c>
      <c r="J101" s="12" t="s">
        <v>450</v>
      </c>
      <c r="K101" s="2">
        <v>1</v>
      </c>
      <c r="L101" s="12" t="s">
        <v>352</v>
      </c>
      <c r="M101">
        <f>YEAR(VentesMagasins!$C101)</f>
        <v>2023</v>
      </c>
      <c r="N101" t="e" cm="1" vm="1">
        <f t="array" aca="1" ref="N101" ca="1">MONTH(DateVente)</f>
        <v>#VALUE!</v>
      </c>
      <c r="O101" t="str">
        <f>PROPER(VentesMagasins!$F101)</f>
        <v>Décoration</v>
      </c>
      <c r="P101">
        <f>VALUE(CLEAN(TRIM(SUBSTITUTE(VentesMagasins!$I101,".",","))))</f>
        <v>0</v>
      </c>
      <c r="Q101">
        <f>VALUE(TRIM(SUBSTITUTE(VentesMagasins!$J101,".",",")))</f>
        <v>486</v>
      </c>
      <c r="R101">
        <f t="shared" si="3"/>
        <v>486</v>
      </c>
      <c r="S101">
        <f>IF(VentesMagasins!$K101=1,(-1)*R101,R101)</f>
        <v>-486</v>
      </c>
      <c r="T101">
        <f>IFERROR(VALUE(TRIM(SUBSTITUTE(VentesMagasins!$L101,".",","))),0)</f>
        <v>0</v>
      </c>
      <c r="U101">
        <f t="shared" si="4"/>
        <v>2</v>
      </c>
      <c r="V101" t="str">
        <f t="shared" si="5"/>
        <v>faible</v>
      </c>
      <c r="W101" t="str">
        <f>_xlfn.XLOOKUP(VentesMagasins!$B101,Clients!ClientID,Région)</f>
        <v>Nord</v>
      </c>
      <c r="X101" t="str">
        <f>INDEX(TypeClient,MATCH(VentesMagasins!$B101,Clients!ClientID))</f>
        <v>Occasionnel</v>
      </c>
      <c r="Y101" t="str">
        <v>nov</v>
      </c>
    </row>
    <row r="102" spans="1:25" x14ac:dyDescent="0.25">
      <c r="A102" s="2">
        <v>101</v>
      </c>
      <c r="B102" s="12" t="s">
        <v>242</v>
      </c>
      <c r="C102" s="13">
        <v>45415</v>
      </c>
      <c r="D102" s="12" t="s">
        <v>350</v>
      </c>
      <c r="E102" s="14" t="s">
        <v>334</v>
      </c>
      <c r="F102" s="12" t="s">
        <v>330</v>
      </c>
      <c r="G102" s="2">
        <v>3</v>
      </c>
      <c r="H102" s="3">
        <v>235</v>
      </c>
      <c r="I102" s="14" t="s">
        <v>335</v>
      </c>
      <c r="J102" s="12" t="s">
        <v>451</v>
      </c>
      <c r="K102" s="2">
        <v>0</v>
      </c>
      <c r="L102" s="12" t="s">
        <v>327</v>
      </c>
      <c r="M102">
        <f>YEAR(VentesMagasins!$C102)</f>
        <v>2024</v>
      </c>
      <c r="N102" t="e" cm="1" vm="1">
        <f t="array" aca="1" ref="N102" ca="1">MONTH(DateVente)</f>
        <v>#VALUE!</v>
      </c>
      <c r="O102" t="str">
        <f>PROPER(VentesMagasins!$F102)</f>
        <v>Décoration</v>
      </c>
      <c r="P102">
        <f>VALUE(CLEAN(TRIM(SUBSTITUTE(VentesMagasins!$I102,".",","))))</f>
        <v>0</v>
      </c>
      <c r="Q102">
        <f>VALUE(TRIM(SUBSTITUTE(VentesMagasins!$J102,".",",")))</f>
        <v>705</v>
      </c>
      <c r="R102">
        <f t="shared" si="3"/>
        <v>705</v>
      </c>
      <c r="S102">
        <f>IF(VentesMagasins!$K102=1,(-1)*R102,R102)</f>
        <v>705</v>
      </c>
      <c r="T102">
        <f>IFERROR(VALUE(TRIM(SUBSTITUTE(VentesMagasins!$L102,".",","))),0)</f>
        <v>5</v>
      </c>
      <c r="U102">
        <f t="shared" si="4"/>
        <v>5</v>
      </c>
      <c r="V102" t="str">
        <f t="shared" si="5"/>
        <v>élévé</v>
      </c>
      <c r="W102" t="str">
        <f>_xlfn.XLOOKUP(VentesMagasins!$B102,Clients!ClientID,Région)</f>
        <v>Sud</v>
      </c>
      <c r="X102" t="str">
        <f>INDEX(TypeClient,MATCH(VentesMagasins!$B102,Clients!ClientID))</f>
        <v>Occasionnel</v>
      </c>
      <c r="Y102" t="str">
        <v>mai</v>
      </c>
    </row>
    <row r="103" spans="1:25" x14ac:dyDescent="0.25">
      <c r="A103" s="2">
        <v>102</v>
      </c>
      <c r="B103" s="12" t="s">
        <v>102</v>
      </c>
      <c r="C103" s="13">
        <v>45393</v>
      </c>
      <c r="D103" s="12" t="s">
        <v>333</v>
      </c>
      <c r="E103" s="14" t="s">
        <v>334</v>
      </c>
      <c r="F103" s="12" t="s">
        <v>330</v>
      </c>
      <c r="G103" s="2">
        <v>4</v>
      </c>
      <c r="H103" s="3">
        <v>275</v>
      </c>
      <c r="I103" s="14" t="s">
        <v>342</v>
      </c>
      <c r="J103" s="12" t="s">
        <v>452</v>
      </c>
      <c r="K103" s="2">
        <v>1</v>
      </c>
      <c r="L103" s="12" t="s">
        <v>352</v>
      </c>
      <c r="M103">
        <f>YEAR(VentesMagasins!$C103)</f>
        <v>2024</v>
      </c>
      <c r="N103" t="e" cm="1" vm="1">
        <f t="array" aca="1" ref="N103" ca="1">MONTH(DateVente)</f>
        <v>#VALUE!</v>
      </c>
      <c r="O103" t="str">
        <f>PROPER(VentesMagasins!$F103)</f>
        <v>Décoration</v>
      </c>
      <c r="P103">
        <f>VALUE(CLEAN(TRIM(SUBSTITUTE(VentesMagasins!$I103,".",","))))</f>
        <v>0.05</v>
      </c>
      <c r="Q103">
        <f>VALUE(TRIM(SUBSTITUTE(VentesMagasins!$J103,".",",")))</f>
        <v>1045</v>
      </c>
      <c r="R103">
        <f t="shared" si="3"/>
        <v>992.75</v>
      </c>
      <c r="S103">
        <f>IF(VentesMagasins!$K103=1,(-1)*R103,R103)</f>
        <v>-992.75</v>
      </c>
      <c r="T103">
        <f>IFERROR(VALUE(TRIM(SUBSTITUTE(VentesMagasins!$L103,".",","))),0)</f>
        <v>0</v>
      </c>
      <c r="U103">
        <f t="shared" si="4"/>
        <v>2</v>
      </c>
      <c r="V103" t="str">
        <f t="shared" si="5"/>
        <v>faible</v>
      </c>
      <c r="W103" t="str">
        <f>_xlfn.XLOOKUP(VentesMagasins!$B103,Clients!ClientID,Région)</f>
        <v>Centre</v>
      </c>
      <c r="X103" t="str">
        <f>INDEX(TypeClient,MATCH(VentesMagasins!$B103,Clients!ClientID))</f>
        <v>Nouveau</v>
      </c>
      <c r="Y103" t="str">
        <v>avr</v>
      </c>
    </row>
    <row r="104" spans="1:25" x14ac:dyDescent="0.25">
      <c r="A104" s="2">
        <v>103</v>
      </c>
      <c r="B104" s="12" t="s">
        <v>302</v>
      </c>
      <c r="C104" s="13">
        <v>45509</v>
      </c>
      <c r="D104" s="12" t="s">
        <v>350</v>
      </c>
      <c r="E104" s="14" t="s">
        <v>362</v>
      </c>
      <c r="F104" s="12" t="s">
        <v>324</v>
      </c>
      <c r="G104" s="2">
        <v>5</v>
      </c>
      <c r="H104" s="3">
        <v>202</v>
      </c>
      <c r="I104" s="14" t="s">
        <v>335</v>
      </c>
      <c r="J104" s="12" t="s">
        <v>453</v>
      </c>
      <c r="K104" s="2">
        <v>0</v>
      </c>
      <c r="L104" s="12" t="s">
        <v>369</v>
      </c>
      <c r="M104">
        <f>YEAR(VentesMagasins!$C104)</f>
        <v>2024</v>
      </c>
      <c r="N104" t="e" cm="1" vm="1">
        <f t="array" aca="1" ref="N104" ca="1">MONTH(DateVente)</f>
        <v>#VALUE!</v>
      </c>
      <c r="O104" t="str">
        <f>PROPER(VentesMagasins!$F104)</f>
        <v>Électronique</v>
      </c>
      <c r="P104">
        <f>VALUE(CLEAN(TRIM(SUBSTITUTE(VentesMagasins!$I104,".",","))))</f>
        <v>0</v>
      </c>
      <c r="Q104">
        <f>VALUE(TRIM(SUBSTITUTE(VentesMagasins!$J104,".",",")))</f>
        <v>1010</v>
      </c>
      <c r="R104">
        <f t="shared" si="3"/>
        <v>1010</v>
      </c>
      <c r="S104">
        <f>IF(VentesMagasins!$K104=1,(-1)*R104,R104)</f>
        <v>1010</v>
      </c>
      <c r="T104">
        <f>IFERROR(VALUE(TRIM(SUBSTITUTE(VentesMagasins!$L104,".",","))),0)</f>
        <v>1</v>
      </c>
      <c r="U104">
        <f t="shared" si="4"/>
        <v>1</v>
      </c>
      <c r="V104" t="str">
        <f t="shared" si="5"/>
        <v>faible</v>
      </c>
      <c r="W104" t="str">
        <f>_xlfn.XLOOKUP(VentesMagasins!$B104,Clients!ClientID,Région)</f>
        <v>Est</v>
      </c>
      <c r="X104" t="str">
        <f>INDEX(TypeClient,MATCH(VentesMagasins!$B104,Clients!ClientID))</f>
        <v>Fidèle</v>
      </c>
      <c r="Y104" t="str">
        <v>août</v>
      </c>
    </row>
    <row r="105" spans="1:25" x14ac:dyDescent="0.25">
      <c r="A105" s="2">
        <v>104</v>
      </c>
      <c r="B105" s="12" t="s">
        <v>18</v>
      </c>
      <c r="C105" s="13">
        <v>45313</v>
      </c>
      <c r="D105" s="12" t="s">
        <v>328</v>
      </c>
      <c r="E105" s="14" t="s">
        <v>334</v>
      </c>
      <c r="F105" s="12" t="s">
        <v>330</v>
      </c>
      <c r="G105" s="2">
        <v>5</v>
      </c>
      <c r="H105" s="3">
        <v>377</v>
      </c>
      <c r="I105" s="14" t="s">
        <v>342</v>
      </c>
      <c r="J105" s="12" t="s">
        <v>454</v>
      </c>
      <c r="K105" s="2">
        <v>1</v>
      </c>
      <c r="L105" s="12" t="s">
        <v>369</v>
      </c>
      <c r="M105">
        <f>YEAR(VentesMagasins!$C105)</f>
        <v>2024</v>
      </c>
      <c r="N105" t="e" cm="1" vm="1">
        <f t="array" aca="1" ref="N105" ca="1">MONTH(DateVente)</f>
        <v>#VALUE!</v>
      </c>
      <c r="O105" t="str">
        <f>PROPER(VentesMagasins!$F105)</f>
        <v>Décoration</v>
      </c>
      <c r="P105">
        <f>VALUE(CLEAN(TRIM(SUBSTITUTE(VentesMagasins!$I105,".",","))))</f>
        <v>0.05</v>
      </c>
      <c r="Q105">
        <f>VALUE(TRIM(SUBSTITUTE(VentesMagasins!$J105,".",",")))</f>
        <v>1790.75</v>
      </c>
      <c r="R105">
        <f t="shared" si="3"/>
        <v>1701.2124999999999</v>
      </c>
      <c r="S105">
        <f>IF(VentesMagasins!$K105=1,(-1)*R105,R105)</f>
        <v>-1701.2124999999999</v>
      </c>
      <c r="T105">
        <f>IFERROR(VALUE(TRIM(SUBSTITUTE(VentesMagasins!$L105,".",","))),0)</f>
        <v>1</v>
      </c>
      <c r="U105">
        <f t="shared" si="4"/>
        <v>1</v>
      </c>
      <c r="V105" t="str">
        <f t="shared" si="5"/>
        <v>faible</v>
      </c>
      <c r="W105" t="str">
        <f>_xlfn.XLOOKUP(VentesMagasins!$B105,Clients!ClientID,Région)</f>
        <v>Nord</v>
      </c>
      <c r="X105" t="str">
        <f>INDEX(TypeClient,MATCH(VentesMagasins!$B105,Clients!ClientID))</f>
        <v>Fidèle</v>
      </c>
      <c r="Y105" t="str">
        <v>janv</v>
      </c>
    </row>
    <row r="106" spans="1:25" x14ac:dyDescent="0.25">
      <c r="A106" s="2">
        <v>105</v>
      </c>
      <c r="B106" s="12" t="s">
        <v>123</v>
      </c>
      <c r="C106" s="13">
        <v>45358</v>
      </c>
      <c r="D106" s="12" t="s">
        <v>328</v>
      </c>
      <c r="E106" s="14" t="s">
        <v>348</v>
      </c>
      <c r="F106" s="12" t="s">
        <v>341</v>
      </c>
      <c r="G106" s="2">
        <v>1</v>
      </c>
      <c r="H106" s="3">
        <v>193</v>
      </c>
      <c r="I106" s="14" t="s">
        <v>355</v>
      </c>
      <c r="J106" s="12" t="s">
        <v>455</v>
      </c>
      <c r="K106" s="2">
        <v>0</v>
      </c>
      <c r="L106" s="12" t="s">
        <v>352</v>
      </c>
      <c r="M106">
        <f>YEAR(VentesMagasins!$C106)</f>
        <v>2024</v>
      </c>
      <c r="N106" t="e" cm="1" vm="1">
        <f t="array" aca="1" ref="N106" ca="1">MONTH(DateVente)</f>
        <v>#VALUE!</v>
      </c>
      <c r="O106" t="str">
        <f>PROPER(VentesMagasins!$F106)</f>
        <v>Meuble</v>
      </c>
      <c r="P106">
        <f>VALUE(CLEAN(TRIM(SUBSTITUTE(VentesMagasins!$I106,".",","))))</f>
        <v>0.1</v>
      </c>
      <c r="Q106">
        <f>VALUE(TRIM(SUBSTITUTE(VentesMagasins!$J106,".",",")))</f>
        <v>173.7</v>
      </c>
      <c r="R106">
        <f t="shared" si="3"/>
        <v>156.32999999999998</v>
      </c>
      <c r="S106">
        <f>IF(VentesMagasins!$K106=1,(-1)*R106,R106)</f>
        <v>156.32999999999998</v>
      </c>
      <c r="T106">
        <f>IFERROR(VALUE(TRIM(SUBSTITUTE(VentesMagasins!$L106,".",","))),0)</f>
        <v>0</v>
      </c>
      <c r="U106">
        <f t="shared" si="4"/>
        <v>3</v>
      </c>
      <c r="V106" t="str">
        <f t="shared" si="5"/>
        <v>moyenne</v>
      </c>
      <c r="W106" t="str">
        <f>_xlfn.XLOOKUP(VentesMagasins!$B106,Clients!ClientID,Région)</f>
        <v>Nord</v>
      </c>
      <c r="X106" t="str">
        <f>INDEX(TypeClient,MATCH(VentesMagasins!$B106,Clients!ClientID))</f>
        <v>Occasionnel</v>
      </c>
      <c r="Y106" t="str">
        <v>mars</v>
      </c>
    </row>
    <row r="107" spans="1:25" x14ac:dyDescent="0.25">
      <c r="A107" s="2">
        <v>106</v>
      </c>
      <c r="B107" s="12" t="s">
        <v>212</v>
      </c>
      <c r="C107" s="13">
        <v>45898</v>
      </c>
      <c r="D107" s="12" t="s">
        <v>333</v>
      </c>
      <c r="E107" s="14" t="s">
        <v>362</v>
      </c>
      <c r="F107" s="12" t="s">
        <v>341</v>
      </c>
      <c r="G107" s="2">
        <v>5</v>
      </c>
      <c r="H107" s="3">
        <v>137</v>
      </c>
      <c r="I107" s="14" t="s">
        <v>335</v>
      </c>
      <c r="J107" s="12" t="s">
        <v>456</v>
      </c>
      <c r="K107" s="2">
        <v>0</v>
      </c>
      <c r="L107" s="12" t="s">
        <v>352</v>
      </c>
      <c r="M107">
        <f>YEAR(VentesMagasins!$C107)</f>
        <v>2025</v>
      </c>
      <c r="N107" t="e" cm="1" vm="1">
        <f t="array" aca="1" ref="N107" ca="1">MONTH(DateVente)</f>
        <v>#VALUE!</v>
      </c>
      <c r="O107" t="str">
        <f>PROPER(VentesMagasins!$F107)</f>
        <v>Meuble</v>
      </c>
      <c r="P107">
        <f>VALUE(CLEAN(TRIM(SUBSTITUTE(VentesMagasins!$I107,".",","))))</f>
        <v>0</v>
      </c>
      <c r="Q107">
        <f>VALUE(TRIM(SUBSTITUTE(VentesMagasins!$J107,".",",")))</f>
        <v>685</v>
      </c>
      <c r="R107">
        <f t="shared" si="3"/>
        <v>685</v>
      </c>
      <c r="S107">
        <f>IF(VentesMagasins!$K107=1,(-1)*R107,R107)</f>
        <v>685</v>
      </c>
      <c r="T107">
        <f>IFERROR(VALUE(TRIM(SUBSTITUTE(VentesMagasins!$L107,".",","))),0)</f>
        <v>0</v>
      </c>
      <c r="U107">
        <f t="shared" si="4"/>
        <v>3</v>
      </c>
      <c r="V107" t="str">
        <f t="shared" si="5"/>
        <v>moyenne</v>
      </c>
      <c r="W107" t="str">
        <f>_xlfn.XLOOKUP(VentesMagasins!$B107,Clients!ClientID,Région)</f>
        <v>Sud</v>
      </c>
      <c r="X107" t="str">
        <f>INDEX(TypeClient,MATCH(VentesMagasins!$B107,Clients!ClientID))</f>
        <v>Fidèle</v>
      </c>
      <c r="Y107" t="str">
        <v>août</v>
      </c>
    </row>
    <row r="108" spans="1:25" x14ac:dyDescent="0.25">
      <c r="A108" s="2">
        <v>107</v>
      </c>
      <c r="B108" s="12" t="s">
        <v>116</v>
      </c>
      <c r="C108" s="13">
        <v>45053</v>
      </c>
      <c r="D108" s="12" t="s">
        <v>338</v>
      </c>
      <c r="E108" s="14" t="s">
        <v>362</v>
      </c>
      <c r="F108" s="12" t="s">
        <v>324</v>
      </c>
      <c r="G108" s="2">
        <v>5</v>
      </c>
      <c r="H108" s="3">
        <v>450</v>
      </c>
      <c r="I108" s="14" t="s">
        <v>342</v>
      </c>
      <c r="J108" s="12" t="s">
        <v>457</v>
      </c>
      <c r="K108" s="2">
        <v>1</v>
      </c>
      <c r="L108" s="12" t="s">
        <v>344</v>
      </c>
      <c r="M108">
        <f>YEAR(VentesMagasins!$C108)</f>
        <v>2023</v>
      </c>
      <c r="N108" t="e" cm="1" vm="1">
        <f t="array" aca="1" ref="N108" ca="1">MONTH(DateVente)</f>
        <v>#VALUE!</v>
      </c>
      <c r="O108" t="str">
        <f>PROPER(VentesMagasins!$F108)</f>
        <v>Électronique</v>
      </c>
      <c r="P108">
        <f>VALUE(CLEAN(TRIM(SUBSTITUTE(VentesMagasins!$I108,".",","))))</f>
        <v>0.05</v>
      </c>
      <c r="Q108">
        <f>VALUE(TRIM(SUBSTITUTE(VentesMagasins!$J108,".",",")))</f>
        <v>2137.5</v>
      </c>
      <c r="R108">
        <f t="shared" si="3"/>
        <v>2030.625</v>
      </c>
      <c r="S108">
        <f>IF(VentesMagasins!$K108=1,(-1)*R108,R108)</f>
        <v>-2030.625</v>
      </c>
      <c r="T108">
        <f>IFERROR(VALUE(TRIM(SUBSTITUTE(VentesMagasins!$L108,".",","))),0)</f>
        <v>2</v>
      </c>
      <c r="U108">
        <f t="shared" si="4"/>
        <v>2</v>
      </c>
      <c r="V108" t="str">
        <f t="shared" si="5"/>
        <v>faible</v>
      </c>
      <c r="W108" t="str">
        <f>_xlfn.XLOOKUP(VentesMagasins!$B108,Clients!ClientID,Région)</f>
        <v>Sud</v>
      </c>
      <c r="X108" t="str">
        <f>INDEX(TypeClient,MATCH(VentesMagasins!$B108,Clients!ClientID))</f>
        <v>Occasionnel</v>
      </c>
      <c r="Y108" t="str">
        <v>mai</v>
      </c>
    </row>
    <row r="109" spans="1:25" x14ac:dyDescent="0.25">
      <c r="A109" s="2">
        <v>108</v>
      </c>
      <c r="B109" s="12" t="s">
        <v>192</v>
      </c>
      <c r="C109" s="13">
        <v>44946</v>
      </c>
      <c r="D109" s="12" t="s">
        <v>350</v>
      </c>
      <c r="E109" s="14" t="s">
        <v>329</v>
      </c>
      <c r="F109" s="12" t="s">
        <v>324</v>
      </c>
      <c r="G109" s="2">
        <v>5</v>
      </c>
      <c r="H109" s="3">
        <v>191</v>
      </c>
      <c r="I109" s="14" t="s">
        <v>335</v>
      </c>
      <c r="J109" s="12" t="s">
        <v>458</v>
      </c>
      <c r="K109" s="2">
        <v>0</v>
      </c>
      <c r="L109" s="12" t="s">
        <v>332</v>
      </c>
      <c r="M109">
        <f>YEAR(VentesMagasins!$C109)</f>
        <v>2023</v>
      </c>
      <c r="N109" t="e" cm="1" vm="1">
        <f t="array" aca="1" ref="N109" ca="1">MONTH(DateVente)</f>
        <v>#VALUE!</v>
      </c>
      <c r="O109" t="str">
        <f>PROPER(VentesMagasins!$F109)</f>
        <v>Électronique</v>
      </c>
      <c r="P109">
        <f>VALUE(CLEAN(TRIM(SUBSTITUTE(VentesMagasins!$I109,".",","))))</f>
        <v>0</v>
      </c>
      <c r="Q109">
        <f>VALUE(TRIM(SUBSTITUTE(VentesMagasins!$J109,".",",")))</f>
        <v>955</v>
      </c>
      <c r="R109">
        <f t="shared" si="3"/>
        <v>955</v>
      </c>
      <c r="S109">
        <f>IF(VentesMagasins!$K109=1,(-1)*R109,R109)</f>
        <v>955</v>
      </c>
      <c r="T109">
        <f>IFERROR(VALUE(TRIM(SUBSTITUTE(VentesMagasins!$L109,".",","))),0)</f>
        <v>4</v>
      </c>
      <c r="U109">
        <f t="shared" si="4"/>
        <v>4</v>
      </c>
      <c r="V109" t="str">
        <f t="shared" si="5"/>
        <v>moyenne</v>
      </c>
      <c r="W109" t="str">
        <f>_xlfn.XLOOKUP(VentesMagasins!$B109,Clients!ClientID,Région)</f>
        <v>Ouest</v>
      </c>
      <c r="X109" t="str">
        <f>INDEX(TypeClient,MATCH(VentesMagasins!$B109,Clients!ClientID))</f>
        <v>Fidèle</v>
      </c>
      <c r="Y109" t="str">
        <v>janv</v>
      </c>
    </row>
    <row r="110" spans="1:25" x14ac:dyDescent="0.25">
      <c r="A110" s="2">
        <v>109</v>
      </c>
      <c r="B110" s="12" t="s">
        <v>16</v>
      </c>
      <c r="C110" s="13">
        <v>45192</v>
      </c>
      <c r="D110" s="12" t="s">
        <v>328</v>
      </c>
      <c r="E110" s="14" t="s">
        <v>348</v>
      </c>
      <c r="F110" s="12" t="s">
        <v>341</v>
      </c>
      <c r="G110" s="2">
        <v>5</v>
      </c>
      <c r="H110" s="3">
        <v>126</v>
      </c>
      <c r="I110" s="14" t="s">
        <v>325</v>
      </c>
      <c r="J110" s="12" t="s">
        <v>459</v>
      </c>
      <c r="K110" s="2">
        <v>0</v>
      </c>
      <c r="L110" s="12" t="s">
        <v>337</v>
      </c>
      <c r="M110">
        <f>YEAR(VentesMagasins!$C110)</f>
        <v>2023</v>
      </c>
      <c r="N110" t="e" cm="1" vm="1">
        <f t="array" aca="1" ref="N110" ca="1">MONTH(DateVente)</f>
        <v>#VALUE!</v>
      </c>
      <c r="O110" t="str">
        <f>PROPER(VentesMagasins!$F110)</f>
        <v>Meuble</v>
      </c>
      <c r="P110">
        <f>VALUE(CLEAN(TRIM(SUBSTITUTE(VentesMagasins!$I110,".",","))))</f>
        <v>0.15</v>
      </c>
      <c r="Q110">
        <f>VALUE(TRIM(SUBSTITUTE(VentesMagasins!$J110,".",",")))</f>
        <v>535.5</v>
      </c>
      <c r="R110">
        <f t="shared" si="3"/>
        <v>455.17500000000001</v>
      </c>
      <c r="S110">
        <f>IF(VentesMagasins!$K110=1,(-1)*R110,R110)</f>
        <v>455.17500000000001</v>
      </c>
      <c r="T110">
        <f>IFERROR(VALUE(TRIM(SUBSTITUTE(VentesMagasins!$L110,".",","))),0)</f>
        <v>3</v>
      </c>
      <c r="U110">
        <f t="shared" si="4"/>
        <v>3</v>
      </c>
      <c r="V110" t="str">
        <f t="shared" si="5"/>
        <v>moyenne</v>
      </c>
      <c r="W110" t="str">
        <f>_xlfn.XLOOKUP(VentesMagasins!$B110,Clients!ClientID,Région)</f>
        <v>Sud</v>
      </c>
      <c r="X110" t="str">
        <f>INDEX(TypeClient,MATCH(VentesMagasins!$B110,Clients!ClientID))</f>
        <v>Nouveau</v>
      </c>
      <c r="Y110" t="str">
        <v>sept</v>
      </c>
    </row>
    <row r="111" spans="1:25" x14ac:dyDescent="0.25">
      <c r="A111" s="2">
        <v>110</v>
      </c>
      <c r="B111" s="12" t="s">
        <v>264</v>
      </c>
      <c r="C111" s="13">
        <v>45789</v>
      </c>
      <c r="D111" s="12" t="s">
        <v>322</v>
      </c>
      <c r="E111" s="14" t="s">
        <v>329</v>
      </c>
      <c r="F111" s="12" t="s">
        <v>324</v>
      </c>
      <c r="G111" s="2">
        <v>3</v>
      </c>
      <c r="H111" s="3">
        <v>450</v>
      </c>
      <c r="I111" s="14" t="s">
        <v>335</v>
      </c>
      <c r="J111" s="12" t="s">
        <v>460</v>
      </c>
      <c r="K111" s="2">
        <v>0</v>
      </c>
      <c r="L111" s="12" t="s">
        <v>344</v>
      </c>
      <c r="M111">
        <f>YEAR(VentesMagasins!$C111)</f>
        <v>2025</v>
      </c>
      <c r="N111" t="e" cm="1" vm="1">
        <f t="array" aca="1" ref="N111" ca="1">MONTH(DateVente)</f>
        <v>#VALUE!</v>
      </c>
      <c r="O111" t="str">
        <f>PROPER(VentesMagasins!$F111)</f>
        <v>Électronique</v>
      </c>
      <c r="P111">
        <f>VALUE(CLEAN(TRIM(SUBSTITUTE(VentesMagasins!$I111,".",","))))</f>
        <v>0</v>
      </c>
      <c r="Q111">
        <f>VALUE(TRIM(SUBSTITUTE(VentesMagasins!$J111,".",",")))</f>
        <v>1350</v>
      </c>
      <c r="R111">
        <f t="shared" si="3"/>
        <v>1350</v>
      </c>
      <c r="S111">
        <f>IF(VentesMagasins!$K111=1,(-1)*R111,R111)</f>
        <v>1350</v>
      </c>
      <c r="T111">
        <f>IFERROR(VALUE(TRIM(SUBSTITUTE(VentesMagasins!$L111,".",","))),0)</f>
        <v>2</v>
      </c>
      <c r="U111">
        <f t="shared" si="4"/>
        <v>2</v>
      </c>
      <c r="V111" t="str">
        <f t="shared" si="5"/>
        <v>faible</v>
      </c>
      <c r="W111" t="str">
        <f>_xlfn.XLOOKUP(VentesMagasins!$B111,Clients!ClientID,Région)</f>
        <v>Ouest</v>
      </c>
      <c r="X111" t="str">
        <f>INDEX(TypeClient,MATCH(VentesMagasins!$B111,Clients!ClientID))</f>
        <v>Nouveau</v>
      </c>
      <c r="Y111" t="str">
        <v>mai</v>
      </c>
    </row>
    <row r="112" spans="1:25" x14ac:dyDescent="0.25">
      <c r="A112" s="2">
        <v>111</v>
      </c>
      <c r="B112" s="12" t="s">
        <v>127</v>
      </c>
      <c r="C112" s="13">
        <v>45771</v>
      </c>
      <c r="D112" s="12" t="s">
        <v>350</v>
      </c>
      <c r="E112" s="14" t="s">
        <v>334</v>
      </c>
      <c r="F112" s="12" t="s">
        <v>330</v>
      </c>
      <c r="G112" s="2">
        <v>4</v>
      </c>
      <c r="H112" s="3">
        <v>494</v>
      </c>
      <c r="I112" s="14" t="s">
        <v>342</v>
      </c>
      <c r="J112" s="12" t="s">
        <v>461</v>
      </c>
      <c r="K112" s="2">
        <v>0</v>
      </c>
      <c r="L112" s="12" t="s">
        <v>332</v>
      </c>
      <c r="M112">
        <f>YEAR(VentesMagasins!$C112)</f>
        <v>2025</v>
      </c>
      <c r="N112" t="e" cm="1" vm="1">
        <f t="array" aca="1" ref="N112" ca="1">MONTH(DateVente)</f>
        <v>#VALUE!</v>
      </c>
      <c r="O112" t="str">
        <f>PROPER(VentesMagasins!$F112)</f>
        <v>Décoration</v>
      </c>
      <c r="P112">
        <f>VALUE(CLEAN(TRIM(SUBSTITUTE(VentesMagasins!$I112,".",","))))</f>
        <v>0.05</v>
      </c>
      <c r="Q112">
        <f>VALUE(TRIM(SUBSTITUTE(VentesMagasins!$J112,".",",")))</f>
        <v>1877.19999999999</v>
      </c>
      <c r="R112">
        <f t="shared" si="3"/>
        <v>1783.3399999999904</v>
      </c>
      <c r="S112">
        <f>IF(VentesMagasins!$K112=1,(-1)*R112,R112)</f>
        <v>1783.3399999999904</v>
      </c>
      <c r="T112">
        <f>IFERROR(VALUE(TRIM(SUBSTITUTE(VentesMagasins!$L112,".",","))),0)</f>
        <v>4</v>
      </c>
      <c r="U112">
        <f t="shared" si="4"/>
        <v>4</v>
      </c>
      <c r="V112" t="str">
        <f t="shared" si="5"/>
        <v>moyenne</v>
      </c>
      <c r="W112" t="str">
        <f>_xlfn.XLOOKUP(VentesMagasins!$B112,Clients!ClientID,Région)</f>
        <v>Ouest</v>
      </c>
      <c r="X112" t="str">
        <f>INDEX(TypeClient,MATCH(VentesMagasins!$B112,Clients!ClientID))</f>
        <v>Fidèle</v>
      </c>
      <c r="Y112" t="str">
        <v>avr</v>
      </c>
    </row>
    <row r="113" spans="1:25" x14ac:dyDescent="0.25">
      <c r="A113" s="2">
        <v>112</v>
      </c>
      <c r="B113" s="12" t="s">
        <v>70</v>
      </c>
      <c r="C113" s="13">
        <v>45160</v>
      </c>
      <c r="D113" s="12" t="s">
        <v>350</v>
      </c>
      <c r="E113" s="14" t="s">
        <v>364</v>
      </c>
      <c r="F113" s="12" t="s">
        <v>330</v>
      </c>
      <c r="G113" s="2">
        <v>2</v>
      </c>
      <c r="H113" s="3">
        <v>78</v>
      </c>
      <c r="I113" s="14" t="s">
        <v>335</v>
      </c>
      <c r="J113" s="12" t="s">
        <v>462</v>
      </c>
      <c r="K113" s="2">
        <v>0</v>
      </c>
      <c r="L113" s="12" t="s">
        <v>352</v>
      </c>
      <c r="M113">
        <f>YEAR(VentesMagasins!$C113)</f>
        <v>2023</v>
      </c>
      <c r="N113" t="e" cm="1" vm="1">
        <f t="array" aca="1" ref="N113" ca="1">MONTH(DateVente)</f>
        <v>#VALUE!</v>
      </c>
      <c r="O113" t="str">
        <f>PROPER(VentesMagasins!$F113)</f>
        <v>Décoration</v>
      </c>
      <c r="P113">
        <f>VALUE(CLEAN(TRIM(SUBSTITUTE(VentesMagasins!$I113,".",","))))</f>
        <v>0</v>
      </c>
      <c r="Q113">
        <f>VALUE(TRIM(SUBSTITUTE(VentesMagasins!$J113,".",",")))</f>
        <v>156</v>
      </c>
      <c r="R113">
        <f t="shared" si="3"/>
        <v>156</v>
      </c>
      <c r="S113">
        <f>IF(VentesMagasins!$K113=1,(-1)*R113,R113)</f>
        <v>156</v>
      </c>
      <c r="T113">
        <f>IFERROR(VALUE(TRIM(SUBSTITUTE(VentesMagasins!$L113,".",","))),0)</f>
        <v>0</v>
      </c>
      <c r="U113">
        <f t="shared" si="4"/>
        <v>3</v>
      </c>
      <c r="V113" t="str">
        <f t="shared" si="5"/>
        <v>moyenne</v>
      </c>
      <c r="W113" t="str">
        <f>_xlfn.XLOOKUP(VentesMagasins!$B113,Clients!ClientID,Région)</f>
        <v>Ouest</v>
      </c>
      <c r="X113" t="str">
        <f>INDEX(TypeClient,MATCH(VentesMagasins!$B113,Clients!ClientID))</f>
        <v>Nouveau</v>
      </c>
      <c r="Y113" t="str">
        <v>août</v>
      </c>
    </row>
    <row r="114" spans="1:25" x14ac:dyDescent="0.25">
      <c r="A114" s="2">
        <v>113</v>
      </c>
      <c r="B114" s="12" t="s">
        <v>126</v>
      </c>
      <c r="C114" s="13">
        <v>45277</v>
      </c>
      <c r="D114" s="12" t="s">
        <v>338</v>
      </c>
      <c r="E114" s="14" t="s">
        <v>329</v>
      </c>
      <c r="F114" s="12" t="s">
        <v>324</v>
      </c>
      <c r="G114" s="2">
        <v>3</v>
      </c>
      <c r="H114" s="3">
        <v>409</v>
      </c>
      <c r="I114" s="14" t="s">
        <v>335</v>
      </c>
      <c r="J114" s="12" t="s">
        <v>463</v>
      </c>
      <c r="K114" s="2">
        <v>0</v>
      </c>
      <c r="L114" s="12" t="s">
        <v>327</v>
      </c>
      <c r="M114">
        <f>YEAR(VentesMagasins!$C114)</f>
        <v>2023</v>
      </c>
      <c r="N114" t="e" cm="1" vm="1">
        <f t="array" aca="1" ref="N114" ca="1">MONTH(DateVente)</f>
        <v>#VALUE!</v>
      </c>
      <c r="O114" t="str">
        <f>PROPER(VentesMagasins!$F114)</f>
        <v>Électronique</v>
      </c>
      <c r="P114">
        <f>VALUE(CLEAN(TRIM(SUBSTITUTE(VentesMagasins!$I114,".",","))))</f>
        <v>0</v>
      </c>
      <c r="Q114">
        <f>VALUE(TRIM(SUBSTITUTE(VentesMagasins!$J114,".",",")))</f>
        <v>1227</v>
      </c>
      <c r="R114">
        <f t="shared" si="3"/>
        <v>1227</v>
      </c>
      <c r="S114">
        <f>IF(VentesMagasins!$K114=1,(-1)*R114,R114)</f>
        <v>1227</v>
      </c>
      <c r="T114">
        <f>IFERROR(VALUE(TRIM(SUBSTITUTE(VentesMagasins!$L114,".",","))),0)</f>
        <v>5</v>
      </c>
      <c r="U114">
        <f t="shared" si="4"/>
        <v>5</v>
      </c>
      <c r="V114" t="str">
        <f t="shared" si="5"/>
        <v>élévé</v>
      </c>
      <c r="W114" t="str">
        <f>_xlfn.XLOOKUP(VentesMagasins!$B114,Clients!ClientID,Région)</f>
        <v>Nord</v>
      </c>
      <c r="X114" t="str">
        <f>INDEX(TypeClient,MATCH(VentesMagasins!$B114,Clients!ClientID))</f>
        <v>Nouveau</v>
      </c>
      <c r="Y114" t="str">
        <v>déc</v>
      </c>
    </row>
    <row r="115" spans="1:25" x14ac:dyDescent="0.25">
      <c r="A115" s="2">
        <v>114</v>
      </c>
      <c r="B115" s="12" t="s">
        <v>148</v>
      </c>
      <c r="C115" s="13">
        <v>44952</v>
      </c>
      <c r="D115" s="12" t="s">
        <v>328</v>
      </c>
      <c r="E115" s="14" t="s">
        <v>334</v>
      </c>
      <c r="F115" s="12" t="s">
        <v>416</v>
      </c>
      <c r="G115" s="2">
        <v>3</v>
      </c>
      <c r="H115" s="3">
        <v>181</v>
      </c>
      <c r="I115" s="14" t="s">
        <v>325</v>
      </c>
      <c r="J115" s="12" t="s">
        <v>464</v>
      </c>
      <c r="K115" s="2">
        <v>0</v>
      </c>
      <c r="L115" s="12" t="s">
        <v>369</v>
      </c>
      <c r="M115">
        <f>YEAR(VentesMagasins!$C115)</f>
        <v>2023</v>
      </c>
      <c r="N115" t="e" cm="1" vm="1">
        <f t="array" aca="1" ref="N115" ca="1">MONTH(DateVente)</f>
        <v>#VALUE!</v>
      </c>
      <c r="O115" t="str">
        <f>PROPER(VentesMagasins!$F115)</f>
        <v>Meuble</v>
      </c>
      <c r="P115">
        <f>VALUE(CLEAN(TRIM(SUBSTITUTE(VentesMagasins!$I115,".",","))))</f>
        <v>0.15</v>
      </c>
      <c r="Q115">
        <f>VALUE(TRIM(SUBSTITUTE(VentesMagasins!$J115,".",",")))</f>
        <v>461.55</v>
      </c>
      <c r="R115">
        <f t="shared" si="3"/>
        <v>392.3175</v>
      </c>
      <c r="S115">
        <f>IF(VentesMagasins!$K115=1,(-1)*R115,R115)</f>
        <v>392.3175</v>
      </c>
      <c r="T115">
        <f>IFERROR(VALUE(TRIM(SUBSTITUTE(VentesMagasins!$L115,".",","))),0)</f>
        <v>1</v>
      </c>
      <c r="U115">
        <f t="shared" si="4"/>
        <v>1</v>
      </c>
      <c r="V115" t="str">
        <f t="shared" si="5"/>
        <v>faible</v>
      </c>
      <c r="W115" t="str">
        <f>_xlfn.XLOOKUP(VentesMagasins!$B115,Clients!ClientID,Région)</f>
        <v>Sud</v>
      </c>
      <c r="X115" t="str">
        <f>INDEX(TypeClient,MATCH(VentesMagasins!$B115,Clients!ClientID))</f>
        <v>Nouveau</v>
      </c>
      <c r="Y115" t="str">
        <v>janv</v>
      </c>
    </row>
    <row r="116" spans="1:25" x14ac:dyDescent="0.25">
      <c r="A116" s="2">
        <v>115</v>
      </c>
      <c r="B116" s="12" t="s">
        <v>149</v>
      </c>
      <c r="C116" s="13">
        <v>45842</v>
      </c>
      <c r="D116" s="12" t="s">
        <v>350</v>
      </c>
      <c r="E116" s="14" t="s">
        <v>334</v>
      </c>
      <c r="F116" s="12" t="s">
        <v>324</v>
      </c>
      <c r="G116" s="2">
        <v>2</v>
      </c>
      <c r="H116" s="3">
        <v>478</v>
      </c>
      <c r="I116" s="14" t="s">
        <v>325</v>
      </c>
      <c r="J116" s="12" t="s">
        <v>465</v>
      </c>
      <c r="K116" s="2">
        <v>0</v>
      </c>
      <c r="L116" s="12" t="s">
        <v>369</v>
      </c>
      <c r="M116">
        <f>YEAR(VentesMagasins!$C116)</f>
        <v>2025</v>
      </c>
      <c r="N116" t="e" cm="1" vm="1">
        <f t="array" aca="1" ref="N116" ca="1">MONTH(DateVente)</f>
        <v>#VALUE!</v>
      </c>
      <c r="O116" t="str">
        <f>PROPER(VentesMagasins!$F116)</f>
        <v>Électronique</v>
      </c>
      <c r="P116">
        <f>VALUE(CLEAN(TRIM(SUBSTITUTE(VentesMagasins!$I116,".",","))))</f>
        <v>0.15</v>
      </c>
      <c r="Q116">
        <f>VALUE(TRIM(SUBSTITUTE(VentesMagasins!$J116,".",",")))</f>
        <v>812.6</v>
      </c>
      <c r="R116">
        <f t="shared" si="3"/>
        <v>690.71</v>
      </c>
      <c r="S116">
        <f>IF(VentesMagasins!$K116=1,(-1)*R116,R116)</f>
        <v>690.71</v>
      </c>
      <c r="T116">
        <f>IFERROR(VALUE(TRIM(SUBSTITUTE(VentesMagasins!$L116,".",","))),0)</f>
        <v>1</v>
      </c>
      <c r="U116">
        <f t="shared" si="4"/>
        <v>1</v>
      </c>
      <c r="V116" t="str">
        <f t="shared" si="5"/>
        <v>faible</v>
      </c>
      <c r="W116" t="str">
        <f>_xlfn.XLOOKUP(VentesMagasins!$B116,Clients!ClientID,Région)</f>
        <v>Centre</v>
      </c>
      <c r="X116" t="str">
        <f>INDEX(TypeClient,MATCH(VentesMagasins!$B116,Clients!ClientID))</f>
        <v>Nouveau</v>
      </c>
      <c r="Y116" t="str">
        <v>juil</v>
      </c>
    </row>
    <row r="117" spans="1:25" x14ac:dyDescent="0.25">
      <c r="A117" s="2">
        <v>116</v>
      </c>
      <c r="B117" s="12" t="s">
        <v>260</v>
      </c>
      <c r="C117" s="13">
        <v>45729</v>
      </c>
      <c r="D117" s="12" t="s">
        <v>350</v>
      </c>
      <c r="E117" s="14" t="s">
        <v>329</v>
      </c>
      <c r="F117" s="12" t="s">
        <v>330</v>
      </c>
      <c r="G117" s="2">
        <v>1</v>
      </c>
      <c r="H117" s="3">
        <v>224</v>
      </c>
      <c r="I117" s="14" t="s">
        <v>325</v>
      </c>
      <c r="J117" s="12" t="s">
        <v>466</v>
      </c>
      <c r="K117" s="2">
        <v>0</v>
      </c>
      <c r="L117" s="12" t="s">
        <v>344</v>
      </c>
      <c r="M117">
        <f>YEAR(VentesMagasins!$C117)</f>
        <v>2025</v>
      </c>
      <c r="N117" t="e" cm="1" vm="1">
        <f t="array" aca="1" ref="N117" ca="1">MONTH(DateVente)</f>
        <v>#VALUE!</v>
      </c>
      <c r="O117" t="str">
        <f>PROPER(VentesMagasins!$F117)</f>
        <v>Décoration</v>
      </c>
      <c r="P117">
        <f>VALUE(CLEAN(TRIM(SUBSTITUTE(VentesMagasins!$I117,".",","))))</f>
        <v>0.15</v>
      </c>
      <c r="Q117">
        <f>VALUE(TRIM(SUBSTITUTE(VentesMagasins!$J117,".",",")))</f>
        <v>190.4</v>
      </c>
      <c r="R117">
        <f t="shared" si="3"/>
        <v>161.84</v>
      </c>
      <c r="S117">
        <f>IF(VentesMagasins!$K117=1,(-1)*R117,R117)</f>
        <v>161.84</v>
      </c>
      <c r="T117">
        <f>IFERROR(VALUE(TRIM(SUBSTITUTE(VentesMagasins!$L117,".",","))),0)</f>
        <v>2</v>
      </c>
      <c r="U117">
        <f t="shared" si="4"/>
        <v>2</v>
      </c>
      <c r="V117" t="str">
        <f t="shared" si="5"/>
        <v>faible</v>
      </c>
      <c r="W117" t="str">
        <f>_xlfn.XLOOKUP(VentesMagasins!$B117,Clients!ClientID,Région)</f>
        <v>Est</v>
      </c>
      <c r="X117" t="str">
        <f>INDEX(TypeClient,MATCH(VentesMagasins!$B117,Clients!ClientID))</f>
        <v>Fidèle</v>
      </c>
      <c r="Y117" t="str">
        <v>mars</v>
      </c>
    </row>
    <row r="118" spans="1:25" x14ac:dyDescent="0.25">
      <c r="A118" s="2">
        <v>117</v>
      </c>
      <c r="B118" s="12" t="s">
        <v>274</v>
      </c>
      <c r="C118" s="13">
        <v>45514</v>
      </c>
      <c r="D118" s="12" t="s">
        <v>350</v>
      </c>
      <c r="E118" s="14" t="s">
        <v>329</v>
      </c>
      <c r="F118" s="12" t="s">
        <v>324</v>
      </c>
      <c r="G118" s="2">
        <v>4</v>
      </c>
      <c r="H118" s="3">
        <v>318</v>
      </c>
      <c r="I118" s="14" t="s">
        <v>342</v>
      </c>
      <c r="J118" s="12" t="s">
        <v>467</v>
      </c>
      <c r="K118" s="2">
        <v>0</v>
      </c>
      <c r="L118" s="12" t="s">
        <v>344</v>
      </c>
      <c r="M118">
        <f>YEAR(VentesMagasins!$C118)</f>
        <v>2024</v>
      </c>
      <c r="N118" t="e" cm="1" vm="1">
        <f t="array" aca="1" ref="N118" ca="1">MONTH(DateVente)</f>
        <v>#VALUE!</v>
      </c>
      <c r="O118" t="str">
        <f>PROPER(VentesMagasins!$F118)</f>
        <v>Électronique</v>
      </c>
      <c r="P118">
        <f>VALUE(CLEAN(TRIM(SUBSTITUTE(VentesMagasins!$I118,".",","))))</f>
        <v>0.05</v>
      </c>
      <c r="Q118">
        <f>VALUE(TRIM(SUBSTITUTE(VentesMagasins!$J118,".",",")))</f>
        <v>1208.3999999999901</v>
      </c>
      <c r="R118">
        <f t="shared" si="3"/>
        <v>1147.9799999999905</v>
      </c>
      <c r="S118">
        <f>IF(VentesMagasins!$K118=1,(-1)*R118,R118)</f>
        <v>1147.9799999999905</v>
      </c>
      <c r="T118">
        <f>IFERROR(VALUE(TRIM(SUBSTITUTE(VentesMagasins!$L118,".",","))),0)</f>
        <v>2</v>
      </c>
      <c r="U118">
        <f t="shared" si="4"/>
        <v>2</v>
      </c>
      <c r="V118" t="str">
        <f t="shared" si="5"/>
        <v>faible</v>
      </c>
      <c r="W118" t="str">
        <f>_xlfn.XLOOKUP(VentesMagasins!$B118,Clients!ClientID,Région)</f>
        <v>Ouest</v>
      </c>
      <c r="X118" t="str">
        <f>INDEX(TypeClient,MATCH(VentesMagasins!$B118,Clients!ClientID))</f>
        <v>Fidèle</v>
      </c>
      <c r="Y118" t="str">
        <v>août</v>
      </c>
    </row>
    <row r="119" spans="1:25" x14ac:dyDescent="0.25">
      <c r="A119" s="2">
        <v>118</v>
      </c>
      <c r="B119" s="12" t="s">
        <v>92</v>
      </c>
      <c r="C119" s="13">
        <v>45879</v>
      </c>
      <c r="D119" s="12" t="s">
        <v>322</v>
      </c>
      <c r="E119" s="14" t="s">
        <v>362</v>
      </c>
      <c r="F119" s="12" t="s">
        <v>324</v>
      </c>
      <c r="G119" s="2">
        <v>1</v>
      </c>
      <c r="H119" s="3">
        <v>400</v>
      </c>
      <c r="I119" s="14" t="s">
        <v>335</v>
      </c>
      <c r="J119" s="12" t="s">
        <v>468</v>
      </c>
      <c r="K119" s="2">
        <v>1</v>
      </c>
      <c r="L119" s="12" t="s">
        <v>369</v>
      </c>
      <c r="M119">
        <f>YEAR(VentesMagasins!$C119)</f>
        <v>2025</v>
      </c>
      <c r="N119" t="e" cm="1" vm="1">
        <f t="array" aca="1" ref="N119" ca="1">MONTH(DateVente)</f>
        <v>#VALUE!</v>
      </c>
      <c r="O119" t="str">
        <f>PROPER(VentesMagasins!$F119)</f>
        <v>Électronique</v>
      </c>
      <c r="P119">
        <f>VALUE(CLEAN(TRIM(SUBSTITUTE(VentesMagasins!$I119,".",","))))</f>
        <v>0</v>
      </c>
      <c r="Q119">
        <f>VALUE(TRIM(SUBSTITUTE(VentesMagasins!$J119,".",",")))</f>
        <v>400</v>
      </c>
      <c r="R119">
        <f t="shared" si="3"/>
        <v>400</v>
      </c>
      <c r="S119">
        <f>IF(VentesMagasins!$K119=1,(-1)*R119,R119)</f>
        <v>-400</v>
      </c>
      <c r="T119">
        <f>IFERROR(VALUE(TRIM(SUBSTITUTE(VentesMagasins!$L119,".",","))),0)</f>
        <v>1</v>
      </c>
      <c r="U119">
        <f t="shared" si="4"/>
        <v>1</v>
      </c>
      <c r="V119" t="str">
        <f t="shared" si="5"/>
        <v>faible</v>
      </c>
      <c r="W119" t="str">
        <f>_xlfn.XLOOKUP(VentesMagasins!$B119,Clients!ClientID,Région)</f>
        <v>Centre</v>
      </c>
      <c r="X119" t="str">
        <f>INDEX(TypeClient,MATCH(VentesMagasins!$B119,Clients!ClientID))</f>
        <v>Fidèle</v>
      </c>
      <c r="Y119" t="str">
        <v>août</v>
      </c>
    </row>
    <row r="120" spans="1:25" x14ac:dyDescent="0.25">
      <c r="A120" s="2">
        <v>119</v>
      </c>
      <c r="B120" s="12" t="s">
        <v>180</v>
      </c>
      <c r="C120" s="13">
        <v>45114</v>
      </c>
      <c r="D120" s="12" t="s">
        <v>322</v>
      </c>
      <c r="E120" s="14" t="s">
        <v>348</v>
      </c>
      <c r="F120" s="12" t="s">
        <v>341</v>
      </c>
      <c r="G120" s="2">
        <v>3</v>
      </c>
      <c r="H120" s="3">
        <v>391</v>
      </c>
      <c r="I120" s="14" t="s">
        <v>355</v>
      </c>
      <c r="J120" s="12" t="s">
        <v>469</v>
      </c>
      <c r="K120" s="2">
        <v>0</v>
      </c>
      <c r="L120" s="12" t="s">
        <v>352</v>
      </c>
      <c r="M120">
        <f>YEAR(VentesMagasins!$C120)</f>
        <v>2023</v>
      </c>
      <c r="N120" t="e" cm="1" vm="1">
        <f t="array" aca="1" ref="N120" ca="1">MONTH(DateVente)</f>
        <v>#VALUE!</v>
      </c>
      <c r="O120" t="str">
        <f>PROPER(VentesMagasins!$F120)</f>
        <v>Meuble</v>
      </c>
      <c r="P120">
        <f>VALUE(CLEAN(TRIM(SUBSTITUTE(VentesMagasins!$I120,".",","))))</f>
        <v>0.1</v>
      </c>
      <c r="Q120">
        <f>VALUE(TRIM(SUBSTITUTE(VentesMagasins!$J120,".",",")))</f>
        <v>1055.7</v>
      </c>
      <c r="R120">
        <f t="shared" si="3"/>
        <v>950.13000000000011</v>
      </c>
      <c r="S120">
        <f>IF(VentesMagasins!$K120=1,(-1)*R120,R120)</f>
        <v>950.13000000000011</v>
      </c>
      <c r="T120">
        <f>IFERROR(VALUE(TRIM(SUBSTITUTE(VentesMagasins!$L120,".",","))),0)</f>
        <v>0</v>
      </c>
      <c r="U120">
        <f t="shared" si="4"/>
        <v>3</v>
      </c>
      <c r="V120" t="str">
        <f t="shared" si="5"/>
        <v>moyenne</v>
      </c>
      <c r="W120" t="str">
        <f>_xlfn.XLOOKUP(VentesMagasins!$B120,Clients!ClientID,Région)</f>
        <v>Centre</v>
      </c>
      <c r="X120" t="str">
        <f>INDEX(TypeClient,MATCH(VentesMagasins!$B120,Clients!ClientID))</f>
        <v>Nouveau</v>
      </c>
      <c r="Y120" t="str">
        <v>juil</v>
      </c>
    </row>
    <row r="121" spans="1:25" x14ac:dyDescent="0.25">
      <c r="A121" s="2">
        <v>120</v>
      </c>
      <c r="B121" s="12" t="s">
        <v>40</v>
      </c>
      <c r="C121" s="13">
        <v>45687</v>
      </c>
      <c r="D121" s="12" t="s">
        <v>328</v>
      </c>
      <c r="E121" s="14" t="s">
        <v>339</v>
      </c>
      <c r="F121" s="12" t="s">
        <v>341</v>
      </c>
      <c r="G121" s="2">
        <v>1</v>
      </c>
      <c r="H121" s="3">
        <v>467</v>
      </c>
      <c r="I121" s="14" t="s">
        <v>355</v>
      </c>
      <c r="J121" s="12" t="s">
        <v>470</v>
      </c>
      <c r="K121" s="2">
        <v>0</v>
      </c>
      <c r="L121" s="12" t="s">
        <v>337</v>
      </c>
      <c r="M121">
        <f>YEAR(VentesMagasins!$C121)</f>
        <v>2025</v>
      </c>
      <c r="N121" t="e" cm="1" vm="1">
        <f t="array" aca="1" ref="N121" ca="1">MONTH(DateVente)</f>
        <v>#VALUE!</v>
      </c>
      <c r="O121" t="str">
        <f>PROPER(VentesMagasins!$F121)</f>
        <v>Meuble</v>
      </c>
      <c r="P121">
        <f>VALUE(CLEAN(TRIM(SUBSTITUTE(VentesMagasins!$I121,".",","))))</f>
        <v>0.1</v>
      </c>
      <c r="Q121">
        <f>VALUE(TRIM(SUBSTITUTE(VentesMagasins!$J121,".",",")))</f>
        <v>420.3</v>
      </c>
      <c r="R121">
        <f t="shared" si="3"/>
        <v>378.27000000000004</v>
      </c>
      <c r="S121">
        <f>IF(VentesMagasins!$K121=1,(-1)*R121,R121)</f>
        <v>378.27000000000004</v>
      </c>
      <c r="T121">
        <f>IFERROR(VALUE(TRIM(SUBSTITUTE(VentesMagasins!$L121,".",","))),0)</f>
        <v>3</v>
      </c>
      <c r="U121">
        <f t="shared" si="4"/>
        <v>3</v>
      </c>
      <c r="V121" t="str">
        <f t="shared" si="5"/>
        <v>moyenne</v>
      </c>
      <c r="W121" t="str">
        <f>_xlfn.XLOOKUP(VentesMagasins!$B121,Clients!ClientID,Région)</f>
        <v>Centre</v>
      </c>
      <c r="X121" t="str">
        <f>INDEX(TypeClient,MATCH(VentesMagasins!$B121,Clients!ClientID))</f>
        <v>Nouveau</v>
      </c>
      <c r="Y121" t="str">
        <v>janv</v>
      </c>
    </row>
    <row r="122" spans="1:25" x14ac:dyDescent="0.25">
      <c r="A122" s="2">
        <v>121</v>
      </c>
      <c r="B122" s="12" t="s">
        <v>115</v>
      </c>
      <c r="C122" s="13">
        <v>45131</v>
      </c>
      <c r="D122" s="12" t="s">
        <v>350</v>
      </c>
      <c r="E122" s="14" t="s">
        <v>329</v>
      </c>
      <c r="F122" s="12" t="s">
        <v>324</v>
      </c>
      <c r="G122" s="2">
        <v>2</v>
      </c>
      <c r="H122" s="3">
        <v>23</v>
      </c>
      <c r="I122" s="14" t="s">
        <v>335</v>
      </c>
      <c r="J122" s="12" t="s">
        <v>471</v>
      </c>
      <c r="K122" s="2">
        <v>0</v>
      </c>
      <c r="L122" s="12" t="s">
        <v>337</v>
      </c>
      <c r="M122">
        <f>YEAR(VentesMagasins!$C122)</f>
        <v>2023</v>
      </c>
      <c r="N122" t="e" cm="1" vm="1">
        <f t="array" aca="1" ref="N122" ca="1">MONTH(DateVente)</f>
        <v>#VALUE!</v>
      </c>
      <c r="O122" t="str">
        <f>PROPER(VentesMagasins!$F122)</f>
        <v>Électronique</v>
      </c>
      <c r="P122">
        <f>VALUE(CLEAN(TRIM(SUBSTITUTE(VentesMagasins!$I122,".",","))))</f>
        <v>0</v>
      </c>
      <c r="Q122">
        <f>VALUE(TRIM(SUBSTITUTE(VentesMagasins!$J122,".",",")))</f>
        <v>46</v>
      </c>
      <c r="R122">
        <f t="shared" si="3"/>
        <v>46</v>
      </c>
      <c r="S122">
        <f>IF(VentesMagasins!$K122=1,(-1)*R122,R122)</f>
        <v>46</v>
      </c>
      <c r="T122">
        <f>IFERROR(VALUE(TRIM(SUBSTITUTE(VentesMagasins!$L122,".",","))),0)</f>
        <v>3</v>
      </c>
      <c r="U122">
        <f t="shared" si="4"/>
        <v>3</v>
      </c>
      <c r="V122" t="str">
        <f t="shared" si="5"/>
        <v>moyenne</v>
      </c>
      <c r="W122" t="str">
        <f>_xlfn.XLOOKUP(VentesMagasins!$B122,Clients!ClientID,Région)</f>
        <v>Centre</v>
      </c>
      <c r="X122" t="str">
        <f>INDEX(TypeClient,MATCH(VentesMagasins!$B122,Clients!ClientID))</f>
        <v>Fidèle</v>
      </c>
      <c r="Y122" t="str">
        <v>juil</v>
      </c>
    </row>
    <row r="123" spans="1:25" x14ac:dyDescent="0.25">
      <c r="A123" s="2">
        <v>122</v>
      </c>
      <c r="B123" s="12" t="s">
        <v>73</v>
      </c>
      <c r="C123" s="13">
        <v>45914</v>
      </c>
      <c r="D123" s="12" t="s">
        <v>338</v>
      </c>
      <c r="E123" s="14" t="s">
        <v>364</v>
      </c>
      <c r="F123" s="12" t="s">
        <v>330</v>
      </c>
      <c r="G123" s="2">
        <v>3</v>
      </c>
      <c r="H123" s="3">
        <v>169</v>
      </c>
      <c r="I123" s="14" t="s">
        <v>342</v>
      </c>
      <c r="J123" s="12" t="s">
        <v>472</v>
      </c>
      <c r="K123" s="2">
        <v>1</v>
      </c>
      <c r="L123" s="12" t="s">
        <v>337</v>
      </c>
      <c r="M123">
        <f>YEAR(VentesMagasins!$C123)</f>
        <v>2025</v>
      </c>
      <c r="N123" t="e" cm="1" vm="1">
        <f t="array" aca="1" ref="N123" ca="1">MONTH(DateVente)</f>
        <v>#VALUE!</v>
      </c>
      <c r="O123" t="str">
        <f>PROPER(VentesMagasins!$F123)</f>
        <v>Décoration</v>
      </c>
      <c r="P123">
        <f>VALUE(CLEAN(TRIM(SUBSTITUTE(VentesMagasins!$I123,".",","))))</f>
        <v>0.05</v>
      </c>
      <c r="Q123">
        <f>VALUE(TRIM(SUBSTITUTE(VentesMagasins!$J123,".",",")))</f>
        <v>481.65</v>
      </c>
      <c r="R123">
        <f t="shared" si="3"/>
        <v>457.56749999999994</v>
      </c>
      <c r="S123">
        <f>IF(VentesMagasins!$K123=1,(-1)*R123,R123)</f>
        <v>-457.56749999999994</v>
      </c>
      <c r="T123">
        <f>IFERROR(VALUE(TRIM(SUBSTITUTE(VentesMagasins!$L123,".",","))),0)</f>
        <v>3</v>
      </c>
      <c r="U123">
        <f t="shared" si="4"/>
        <v>3</v>
      </c>
      <c r="V123" t="str">
        <f t="shared" si="5"/>
        <v>moyenne</v>
      </c>
      <c r="W123" t="str">
        <f>_xlfn.XLOOKUP(VentesMagasins!$B123,Clients!ClientID,Région)</f>
        <v>Sud</v>
      </c>
      <c r="X123" t="str">
        <f>INDEX(TypeClient,MATCH(VentesMagasins!$B123,Clients!ClientID))</f>
        <v>Occasionnel</v>
      </c>
      <c r="Y123" t="str">
        <v>sept</v>
      </c>
    </row>
    <row r="124" spans="1:25" x14ac:dyDescent="0.25">
      <c r="A124" s="2">
        <v>123</v>
      </c>
      <c r="B124" s="12" t="s">
        <v>188</v>
      </c>
      <c r="C124" s="13">
        <v>45162</v>
      </c>
      <c r="D124" s="12" t="s">
        <v>350</v>
      </c>
      <c r="E124" s="14" t="s">
        <v>334</v>
      </c>
      <c r="F124" s="12" t="s">
        <v>341</v>
      </c>
      <c r="G124" s="2">
        <v>5</v>
      </c>
      <c r="H124" s="3">
        <v>111</v>
      </c>
      <c r="I124" s="14" t="s">
        <v>355</v>
      </c>
      <c r="J124" s="12" t="s">
        <v>473</v>
      </c>
      <c r="K124" s="2">
        <v>0</v>
      </c>
      <c r="L124" s="12" t="s">
        <v>327</v>
      </c>
      <c r="M124">
        <f>YEAR(VentesMagasins!$C124)</f>
        <v>2023</v>
      </c>
      <c r="N124" t="e" cm="1" vm="1">
        <f t="array" aca="1" ref="N124" ca="1">MONTH(DateVente)</f>
        <v>#VALUE!</v>
      </c>
      <c r="O124" t="str">
        <f>PROPER(VentesMagasins!$F124)</f>
        <v>Meuble</v>
      </c>
      <c r="P124">
        <f>VALUE(CLEAN(TRIM(SUBSTITUTE(VentesMagasins!$I124,".",","))))</f>
        <v>0.1</v>
      </c>
      <c r="Q124">
        <f>VALUE(TRIM(SUBSTITUTE(VentesMagasins!$J124,".",",")))</f>
        <v>499.5</v>
      </c>
      <c r="R124">
        <f t="shared" si="3"/>
        <v>449.55</v>
      </c>
      <c r="S124">
        <f>IF(VentesMagasins!$K124=1,(-1)*R124,R124)</f>
        <v>449.55</v>
      </c>
      <c r="T124">
        <f>IFERROR(VALUE(TRIM(SUBSTITUTE(VentesMagasins!$L124,".",","))),0)</f>
        <v>5</v>
      </c>
      <c r="U124">
        <f t="shared" si="4"/>
        <v>5</v>
      </c>
      <c r="V124" t="str">
        <f t="shared" si="5"/>
        <v>élévé</v>
      </c>
      <c r="W124" t="str">
        <f>_xlfn.XLOOKUP(VentesMagasins!$B124,Clients!ClientID,Région)</f>
        <v>Nord</v>
      </c>
      <c r="X124" t="str">
        <f>INDEX(TypeClient,MATCH(VentesMagasins!$B124,Clients!ClientID))</f>
        <v>Occasionnel</v>
      </c>
      <c r="Y124" t="str">
        <v>août</v>
      </c>
    </row>
    <row r="125" spans="1:25" x14ac:dyDescent="0.25">
      <c r="A125" s="2">
        <v>124</v>
      </c>
      <c r="B125" s="12" t="s">
        <v>129</v>
      </c>
      <c r="C125" s="13">
        <v>44935</v>
      </c>
      <c r="D125" s="12" t="s">
        <v>328</v>
      </c>
      <c r="E125" s="14" t="s">
        <v>362</v>
      </c>
      <c r="F125" s="12" t="s">
        <v>330</v>
      </c>
      <c r="G125" s="2">
        <v>4</v>
      </c>
      <c r="H125" s="3">
        <v>244</v>
      </c>
      <c r="I125" s="14" t="s">
        <v>355</v>
      </c>
      <c r="J125" s="12" t="s">
        <v>474</v>
      </c>
      <c r="K125" s="2">
        <v>0</v>
      </c>
      <c r="L125" s="12" t="s">
        <v>327</v>
      </c>
      <c r="M125">
        <f>YEAR(VentesMagasins!$C125)</f>
        <v>2023</v>
      </c>
      <c r="N125" t="e" cm="1" vm="1">
        <f t="array" aca="1" ref="N125" ca="1">MONTH(DateVente)</f>
        <v>#VALUE!</v>
      </c>
      <c r="O125" t="str">
        <f>PROPER(VentesMagasins!$F125)</f>
        <v>Décoration</v>
      </c>
      <c r="P125">
        <f>VALUE(CLEAN(TRIM(SUBSTITUTE(VentesMagasins!$I125,".",","))))</f>
        <v>0.1</v>
      </c>
      <c r="Q125">
        <f>VALUE(TRIM(SUBSTITUTE(VentesMagasins!$J125,".",",")))</f>
        <v>878.4</v>
      </c>
      <c r="R125">
        <f t="shared" si="3"/>
        <v>790.56</v>
      </c>
      <c r="S125">
        <f>IF(VentesMagasins!$K125=1,(-1)*R125,R125)</f>
        <v>790.56</v>
      </c>
      <c r="T125">
        <f>IFERROR(VALUE(TRIM(SUBSTITUTE(VentesMagasins!$L125,".",","))),0)</f>
        <v>5</v>
      </c>
      <c r="U125">
        <f t="shared" si="4"/>
        <v>5</v>
      </c>
      <c r="V125" t="str">
        <f t="shared" si="5"/>
        <v>élévé</v>
      </c>
      <c r="W125" t="str">
        <f>_xlfn.XLOOKUP(VentesMagasins!$B125,Clients!ClientID,Région)</f>
        <v>Est</v>
      </c>
      <c r="X125" t="str">
        <f>INDEX(TypeClient,MATCH(VentesMagasins!$B125,Clients!ClientID))</f>
        <v>Fidèle</v>
      </c>
      <c r="Y125" t="str">
        <v>janv</v>
      </c>
    </row>
    <row r="126" spans="1:25" x14ac:dyDescent="0.25">
      <c r="A126" s="2">
        <v>125</v>
      </c>
      <c r="B126" s="12" t="s">
        <v>290</v>
      </c>
      <c r="C126" s="13">
        <v>45769</v>
      </c>
      <c r="D126" s="12" t="s">
        <v>350</v>
      </c>
      <c r="E126" s="14" t="s">
        <v>323</v>
      </c>
      <c r="F126" s="12" t="s">
        <v>341</v>
      </c>
      <c r="G126" s="2">
        <v>1</v>
      </c>
      <c r="H126" s="3">
        <v>285</v>
      </c>
      <c r="I126" s="14" t="s">
        <v>355</v>
      </c>
      <c r="J126" s="12" t="s">
        <v>475</v>
      </c>
      <c r="K126" s="2">
        <v>0</v>
      </c>
      <c r="L126" s="12" t="s">
        <v>369</v>
      </c>
      <c r="M126">
        <f>YEAR(VentesMagasins!$C126)</f>
        <v>2025</v>
      </c>
      <c r="N126" t="e" cm="1" vm="1">
        <f t="array" aca="1" ref="N126" ca="1">MONTH(DateVente)</f>
        <v>#VALUE!</v>
      </c>
      <c r="O126" t="str">
        <f>PROPER(VentesMagasins!$F126)</f>
        <v>Meuble</v>
      </c>
      <c r="P126">
        <f>VALUE(CLEAN(TRIM(SUBSTITUTE(VentesMagasins!$I126,".",","))))</f>
        <v>0.1</v>
      </c>
      <c r="Q126">
        <f>VALUE(TRIM(SUBSTITUTE(VentesMagasins!$J126,".",",")))</f>
        <v>256.5</v>
      </c>
      <c r="R126">
        <f t="shared" si="3"/>
        <v>230.85</v>
      </c>
      <c r="S126">
        <f>IF(VentesMagasins!$K126=1,(-1)*R126,R126)</f>
        <v>230.85</v>
      </c>
      <c r="T126">
        <f>IFERROR(VALUE(TRIM(SUBSTITUTE(VentesMagasins!$L126,".",","))),0)</f>
        <v>1</v>
      </c>
      <c r="U126">
        <f t="shared" si="4"/>
        <v>1</v>
      </c>
      <c r="V126" t="str">
        <f t="shared" si="5"/>
        <v>faible</v>
      </c>
      <c r="W126" t="str">
        <f>_xlfn.XLOOKUP(VentesMagasins!$B126,Clients!ClientID,Région)</f>
        <v>Est</v>
      </c>
      <c r="X126" t="str">
        <f>INDEX(TypeClient,MATCH(VentesMagasins!$B126,Clients!ClientID))</f>
        <v>Nouveau</v>
      </c>
      <c r="Y126" t="str">
        <v>avr</v>
      </c>
    </row>
    <row r="127" spans="1:25" x14ac:dyDescent="0.25">
      <c r="A127" s="2">
        <v>126</v>
      </c>
      <c r="B127" s="12" t="s">
        <v>284</v>
      </c>
      <c r="C127" s="13">
        <v>45818</v>
      </c>
      <c r="D127" s="12" t="s">
        <v>333</v>
      </c>
      <c r="E127" s="14" t="s">
        <v>323</v>
      </c>
      <c r="F127" s="12" t="s">
        <v>324</v>
      </c>
      <c r="G127" s="2">
        <v>5</v>
      </c>
      <c r="H127" s="3">
        <v>455</v>
      </c>
      <c r="I127" s="14" t="s">
        <v>342</v>
      </c>
      <c r="J127" s="12" t="s">
        <v>476</v>
      </c>
      <c r="K127" s="2">
        <v>0</v>
      </c>
      <c r="L127" s="12" t="s">
        <v>337</v>
      </c>
      <c r="M127">
        <f>YEAR(VentesMagasins!$C127)</f>
        <v>2025</v>
      </c>
      <c r="N127" t="e" cm="1" vm="1">
        <f t="array" aca="1" ref="N127" ca="1">MONTH(DateVente)</f>
        <v>#VALUE!</v>
      </c>
      <c r="O127" t="str">
        <f>PROPER(VentesMagasins!$F127)</f>
        <v>Électronique</v>
      </c>
      <c r="P127">
        <f>VALUE(CLEAN(TRIM(SUBSTITUTE(VentesMagasins!$I127,".",","))))</f>
        <v>0.05</v>
      </c>
      <c r="Q127">
        <f>VALUE(TRIM(SUBSTITUTE(VentesMagasins!$J127,".",",")))</f>
        <v>2161.25</v>
      </c>
      <c r="R127">
        <f t="shared" si="3"/>
        <v>2053.1875</v>
      </c>
      <c r="S127">
        <f>IF(VentesMagasins!$K127=1,(-1)*R127,R127)</f>
        <v>2053.1875</v>
      </c>
      <c r="T127">
        <f>IFERROR(VALUE(TRIM(SUBSTITUTE(VentesMagasins!$L127,".",","))),0)</f>
        <v>3</v>
      </c>
      <c r="U127">
        <f t="shared" si="4"/>
        <v>3</v>
      </c>
      <c r="V127" t="str">
        <f t="shared" si="5"/>
        <v>moyenne</v>
      </c>
      <c r="W127" t="str">
        <f>_xlfn.XLOOKUP(VentesMagasins!$B127,Clients!ClientID,Région)</f>
        <v>Ouest</v>
      </c>
      <c r="X127" t="str">
        <f>INDEX(TypeClient,MATCH(VentesMagasins!$B127,Clients!ClientID))</f>
        <v>Fidèle</v>
      </c>
      <c r="Y127" t="str">
        <v>juin</v>
      </c>
    </row>
    <row r="128" spans="1:25" x14ac:dyDescent="0.25">
      <c r="A128" s="2">
        <v>127</v>
      </c>
      <c r="B128" s="12" t="s">
        <v>217</v>
      </c>
      <c r="C128" s="13">
        <v>45855</v>
      </c>
      <c r="D128" s="12" t="s">
        <v>333</v>
      </c>
      <c r="E128" s="14" t="s">
        <v>362</v>
      </c>
      <c r="F128" s="12" t="s">
        <v>324</v>
      </c>
      <c r="G128" s="2">
        <v>2</v>
      </c>
      <c r="H128" s="3">
        <v>404</v>
      </c>
      <c r="I128" s="14" t="s">
        <v>325</v>
      </c>
      <c r="J128" s="12" t="s">
        <v>477</v>
      </c>
      <c r="K128" s="2">
        <v>0</v>
      </c>
      <c r="L128" s="12" t="s">
        <v>337</v>
      </c>
      <c r="M128">
        <f>YEAR(VentesMagasins!$C128)</f>
        <v>2025</v>
      </c>
      <c r="N128" t="e" cm="1" vm="1">
        <f t="array" aca="1" ref="N128" ca="1">MONTH(DateVente)</f>
        <v>#VALUE!</v>
      </c>
      <c r="O128" t="str">
        <f>PROPER(VentesMagasins!$F128)</f>
        <v>Électronique</v>
      </c>
      <c r="P128">
        <f>VALUE(CLEAN(TRIM(SUBSTITUTE(VentesMagasins!$I128,".",","))))</f>
        <v>0.15</v>
      </c>
      <c r="Q128">
        <f>VALUE(TRIM(SUBSTITUTE(VentesMagasins!$J128,".",",")))</f>
        <v>686.8</v>
      </c>
      <c r="R128">
        <f t="shared" si="3"/>
        <v>583.78</v>
      </c>
      <c r="S128">
        <f>IF(VentesMagasins!$K128=1,(-1)*R128,R128)</f>
        <v>583.78</v>
      </c>
      <c r="T128">
        <f>IFERROR(VALUE(TRIM(SUBSTITUTE(VentesMagasins!$L128,".",","))),0)</f>
        <v>3</v>
      </c>
      <c r="U128">
        <f t="shared" si="4"/>
        <v>3</v>
      </c>
      <c r="V128" t="str">
        <f t="shared" si="5"/>
        <v>moyenne</v>
      </c>
      <c r="W128" t="str">
        <f>_xlfn.XLOOKUP(VentesMagasins!$B128,Clients!ClientID,Région)</f>
        <v>Centre</v>
      </c>
      <c r="X128" t="str">
        <f>INDEX(TypeClient,MATCH(VentesMagasins!$B128,Clients!ClientID))</f>
        <v>Nouveau</v>
      </c>
      <c r="Y128" t="str">
        <v>juil</v>
      </c>
    </row>
    <row r="129" spans="1:25" x14ac:dyDescent="0.25">
      <c r="A129" s="2">
        <v>128</v>
      </c>
      <c r="B129" s="12" t="s">
        <v>239</v>
      </c>
      <c r="C129" s="13">
        <v>45878</v>
      </c>
      <c r="D129" s="12" t="s">
        <v>333</v>
      </c>
      <c r="E129" s="14" t="s">
        <v>323</v>
      </c>
      <c r="F129" s="12" t="s">
        <v>330</v>
      </c>
      <c r="G129" s="2">
        <v>4</v>
      </c>
      <c r="H129" s="3">
        <v>36</v>
      </c>
      <c r="I129" s="14" t="s">
        <v>325</v>
      </c>
      <c r="J129" s="12" t="s">
        <v>478</v>
      </c>
      <c r="K129" s="2">
        <v>1</v>
      </c>
      <c r="L129" s="12" t="s">
        <v>344</v>
      </c>
      <c r="M129">
        <f>YEAR(VentesMagasins!$C129)</f>
        <v>2025</v>
      </c>
      <c r="N129" t="e" cm="1" vm="1">
        <f t="array" aca="1" ref="N129" ca="1">MONTH(DateVente)</f>
        <v>#VALUE!</v>
      </c>
      <c r="O129" t="str">
        <f>PROPER(VentesMagasins!$F129)</f>
        <v>Décoration</v>
      </c>
      <c r="P129">
        <f>VALUE(CLEAN(TRIM(SUBSTITUTE(VentesMagasins!$I129,".",","))))</f>
        <v>0.15</v>
      </c>
      <c r="Q129">
        <f>VALUE(TRIM(SUBSTITUTE(VentesMagasins!$J129,".",",")))</f>
        <v>122.399999999999</v>
      </c>
      <c r="R129">
        <f t="shared" si="3"/>
        <v>104.03999999999914</v>
      </c>
      <c r="S129">
        <f>IF(VentesMagasins!$K129=1,(-1)*R129,R129)</f>
        <v>-104.03999999999914</v>
      </c>
      <c r="T129">
        <f>IFERROR(VALUE(TRIM(SUBSTITUTE(VentesMagasins!$L129,".",","))),0)</f>
        <v>2</v>
      </c>
      <c r="U129">
        <f t="shared" si="4"/>
        <v>2</v>
      </c>
      <c r="V129" t="str">
        <f t="shared" si="5"/>
        <v>faible</v>
      </c>
      <c r="W129" t="str">
        <f>_xlfn.XLOOKUP(VentesMagasins!$B129,Clients!ClientID,Région)</f>
        <v>Centre</v>
      </c>
      <c r="X129" t="str">
        <f>INDEX(TypeClient,MATCH(VentesMagasins!$B129,Clients!ClientID))</f>
        <v>Fidèle</v>
      </c>
      <c r="Y129" t="str">
        <v>août</v>
      </c>
    </row>
    <row r="130" spans="1:25" x14ac:dyDescent="0.25">
      <c r="A130" s="2">
        <v>129</v>
      </c>
      <c r="B130" s="12" t="s">
        <v>136</v>
      </c>
      <c r="C130" s="13">
        <v>45563</v>
      </c>
      <c r="D130" s="12" t="s">
        <v>322</v>
      </c>
      <c r="E130" s="14" t="s">
        <v>348</v>
      </c>
      <c r="F130" s="12" t="s">
        <v>341</v>
      </c>
      <c r="G130" s="2">
        <v>2</v>
      </c>
      <c r="H130" s="3">
        <v>357</v>
      </c>
      <c r="I130" s="14" t="s">
        <v>325</v>
      </c>
      <c r="J130" s="12" t="s">
        <v>479</v>
      </c>
      <c r="K130" s="2">
        <v>0</v>
      </c>
      <c r="L130" s="12" t="s">
        <v>332</v>
      </c>
      <c r="M130">
        <f>YEAR(VentesMagasins!$C130)</f>
        <v>2024</v>
      </c>
      <c r="N130" t="e" cm="1" vm="1">
        <f t="array" aca="1" ref="N130" ca="1">MONTH(DateVente)</f>
        <v>#VALUE!</v>
      </c>
      <c r="O130" t="str">
        <f>PROPER(VentesMagasins!$F130)</f>
        <v>Meuble</v>
      </c>
      <c r="P130">
        <f>VALUE(CLEAN(TRIM(SUBSTITUTE(VentesMagasins!$I130,".",","))))</f>
        <v>0.15</v>
      </c>
      <c r="Q130">
        <f>VALUE(TRIM(SUBSTITUTE(VentesMagasins!$J130,".",",")))</f>
        <v>606.9</v>
      </c>
      <c r="R130">
        <f t="shared" si="3"/>
        <v>515.86500000000001</v>
      </c>
      <c r="S130">
        <f>IF(VentesMagasins!$K130=1,(-1)*R130,R130)</f>
        <v>515.86500000000001</v>
      </c>
      <c r="T130">
        <f>IFERROR(VALUE(TRIM(SUBSTITUTE(VentesMagasins!$L130,".",","))),0)</f>
        <v>4</v>
      </c>
      <c r="U130">
        <f t="shared" si="4"/>
        <v>4</v>
      </c>
      <c r="V130" t="str">
        <f t="shared" si="5"/>
        <v>moyenne</v>
      </c>
      <c r="W130" t="str">
        <f>_xlfn.XLOOKUP(VentesMagasins!$B130,Clients!ClientID,Région)</f>
        <v>Sud</v>
      </c>
      <c r="X130" t="str">
        <f>INDEX(TypeClient,MATCH(VentesMagasins!$B130,Clients!ClientID))</f>
        <v>Fidèle</v>
      </c>
      <c r="Y130" t="str">
        <v>sept</v>
      </c>
    </row>
    <row r="131" spans="1:25" x14ac:dyDescent="0.25">
      <c r="A131" s="2">
        <v>130</v>
      </c>
      <c r="B131" s="12" t="s">
        <v>212</v>
      </c>
      <c r="C131" s="13">
        <v>44935</v>
      </c>
      <c r="D131" s="12" t="s">
        <v>350</v>
      </c>
      <c r="E131" s="14" t="s">
        <v>334</v>
      </c>
      <c r="F131" s="12" t="s">
        <v>324</v>
      </c>
      <c r="G131" s="2">
        <v>5</v>
      </c>
      <c r="H131" s="3">
        <v>329</v>
      </c>
      <c r="I131" s="14" t="s">
        <v>342</v>
      </c>
      <c r="J131" s="12" t="s">
        <v>480</v>
      </c>
      <c r="K131" s="2">
        <v>0</v>
      </c>
      <c r="L131" s="12" t="s">
        <v>344</v>
      </c>
      <c r="M131">
        <f>YEAR(VentesMagasins!$C131)</f>
        <v>2023</v>
      </c>
      <c r="N131" t="e" cm="1" vm="1">
        <f t="array" aca="1" ref="N131" ca="1">MONTH(DateVente)</f>
        <v>#VALUE!</v>
      </c>
      <c r="O131" t="str">
        <f>PROPER(VentesMagasins!$F131)</f>
        <v>Électronique</v>
      </c>
      <c r="P131">
        <f>VALUE(CLEAN(TRIM(SUBSTITUTE(VentesMagasins!$I131,".",","))))</f>
        <v>0.05</v>
      </c>
      <c r="Q131">
        <f>VALUE(TRIM(SUBSTITUTE(VentesMagasins!$J131,".",",")))</f>
        <v>1562.75</v>
      </c>
      <c r="R131">
        <f t="shared" ref="R131:R194" si="6">Q131*(1-P131)</f>
        <v>1484.6125</v>
      </c>
      <c r="S131">
        <f>IF(VentesMagasins!$K131=1,(-1)*R131,R131)</f>
        <v>1484.6125</v>
      </c>
      <c r="T131">
        <f>IFERROR(VALUE(TRIM(SUBSTITUTE(VentesMagasins!$L131,".",","))),0)</f>
        <v>2</v>
      </c>
      <c r="U131">
        <f t="shared" ref="U131:U194" si="7">ROUND(IF(T131=0,AVERAGE(T131:T1130),T131),0)</f>
        <v>2</v>
      </c>
      <c r="V131" t="str">
        <f t="shared" ref="V131:V194" si="8">IF(AND(U131&gt;0,U131&lt;=2),"faible",IF(AND(U131&gt;=3,U131&lt;=4),"moyenne",IF(U131=5,"élévé",0)))</f>
        <v>faible</v>
      </c>
      <c r="W131" t="str">
        <f>_xlfn.XLOOKUP(VentesMagasins!$B131,Clients!ClientID,Région)</f>
        <v>Sud</v>
      </c>
      <c r="X131" t="str">
        <f>INDEX(TypeClient,MATCH(VentesMagasins!$B131,Clients!ClientID))</f>
        <v>Fidèle</v>
      </c>
      <c r="Y131" t="str">
        <v>janv</v>
      </c>
    </row>
    <row r="132" spans="1:25" x14ac:dyDescent="0.25">
      <c r="A132" s="2">
        <v>131</v>
      </c>
      <c r="B132" s="12" t="s">
        <v>198</v>
      </c>
      <c r="C132" s="13">
        <v>45237</v>
      </c>
      <c r="D132" s="12" t="s">
        <v>350</v>
      </c>
      <c r="E132" s="14" t="s">
        <v>364</v>
      </c>
      <c r="F132" s="12" t="s">
        <v>330</v>
      </c>
      <c r="G132" s="2">
        <v>4</v>
      </c>
      <c r="H132" s="3">
        <v>237</v>
      </c>
      <c r="I132" s="14" t="s">
        <v>342</v>
      </c>
      <c r="J132" s="12" t="s">
        <v>481</v>
      </c>
      <c r="K132" s="2">
        <v>0</v>
      </c>
      <c r="L132" s="12" t="s">
        <v>369</v>
      </c>
      <c r="M132">
        <f>YEAR(VentesMagasins!$C132)</f>
        <v>2023</v>
      </c>
      <c r="N132" t="e" cm="1" vm="1">
        <f t="array" aca="1" ref="N132" ca="1">MONTH(DateVente)</f>
        <v>#VALUE!</v>
      </c>
      <c r="O132" t="str">
        <f>PROPER(VentesMagasins!$F132)</f>
        <v>Décoration</v>
      </c>
      <c r="P132">
        <f>VALUE(CLEAN(TRIM(SUBSTITUTE(VentesMagasins!$I132,".",","))))</f>
        <v>0.05</v>
      </c>
      <c r="Q132">
        <f>VALUE(TRIM(SUBSTITUTE(VentesMagasins!$J132,".",",")))</f>
        <v>900.599999999999</v>
      </c>
      <c r="R132">
        <f t="shared" si="6"/>
        <v>855.56999999999903</v>
      </c>
      <c r="S132">
        <f>IF(VentesMagasins!$K132=1,(-1)*R132,R132)</f>
        <v>855.56999999999903</v>
      </c>
      <c r="T132">
        <f>IFERROR(VALUE(TRIM(SUBSTITUTE(VentesMagasins!$L132,".",","))),0)</f>
        <v>1</v>
      </c>
      <c r="U132">
        <f t="shared" si="7"/>
        <v>1</v>
      </c>
      <c r="V132" t="str">
        <f t="shared" si="8"/>
        <v>faible</v>
      </c>
      <c r="W132" t="str">
        <f>_xlfn.XLOOKUP(VentesMagasins!$B132,Clients!ClientID,Région)</f>
        <v>Nord</v>
      </c>
      <c r="X132" t="str">
        <f>INDEX(TypeClient,MATCH(VentesMagasins!$B132,Clients!ClientID))</f>
        <v>Fidèle</v>
      </c>
      <c r="Y132" t="str">
        <v>nov</v>
      </c>
    </row>
    <row r="133" spans="1:25" x14ac:dyDescent="0.25">
      <c r="A133" s="2">
        <v>132</v>
      </c>
      <c r="B133" s="12" t="s">
        <v>270</v>
      </c>
      <c r="C133" s="13">
        <v>45598</v>
      </c>
      <c r="D133" s="12" t="s">
        <v>350</v>
      </c>
      <c r="E133" s="14" t="s">
        <v>334</v>
      </c>
      <c r="F133" s="12" t="s">
        <v>330</v>
      </c>
      <c r="G133" s="2">
        <v>5</v>
      </c>
      <c r="H133" s="3">
        <v>423</v>
      </c>
      <c r="I133" s="14" t="s">
        <v>355</v>
      </c>
      <c r="J133" s="12" t="s">
        <v>482</v>
      </c>
      <c r="K133" s="2">
        <v>0</v>
      </c>
      <c r="L133" s="12" t="s">
        <v>369</v>
      </c>
      <c r="M133">
        <f>YEAR(VentesMagasins!$C133)</f>
        <v>2024</v>
      </c>
      <c r="N133" t="e" cm="1" vm="1">
        <f t="array" aca="1" ref="N133" ca="1">MONTH(DateVente)</f>
        <v>#VALUE!</v>
      </c>
      <c r="O133" t="str">
        <f>PROPER(VentesMagasins!$F133)</f>
        <v>Décoration</v>
      </c>
      <c r="P133">
        <f>VALUE(CLEAN(TRIM(SUBSTITUTE(VentesMagasins!$I133,".",","))))</f>
        <v>0.1</v>
      </c>
      <c r="Q133">
        <f>VALUE(TRIM(SUBSTITUTE(VentesMagasins!$J133,".",",")))</f>
        <v>1903.5</v>
      </c>
      <c r="R133">
        <f t="shared" si="6"/>
        <v>1713.15</v>
      </c>
      <c r="S133">
        <f>IF(VentesMagasins!$K133=1,(-1)*R133,R133)</f>
        <v>1713.15</v>
      </c>
      <c r="T133">
        <f>IFERROR(VALUE(TRIM(SUBSTITUTE(VentesMagasins!$L133,".",","))),0)</f>
        <v>1</v>
      </c>
      <c r="U133">
        <f t="shared" si="7"/>
        <v>1</v>
      </c>
      <c r="V133" t="str">
        <f t="shared" si="8"/>
        <v>faible</v>
      </c>
      <c r="W133" t="str">
        <f>_xlfn.XLOOKUP(VentesMagasins!$B133,Clients!ClientID,Région)</f>
        <v>Centre</v>
      </c>
      <c r="X133" t="str">
        <f>INDEX(TypeClient,MATCH(VentesMagasins!$B133,Clients!ClientID))</f>
        <v>Nouveau</v>
      </c>
      <c r="Y133" t="str">
        <v>nov</v>
      </c>
    </row>
    <row r="134" spans="1:25" x14ac:dyDescent="0.25">
      <c r="A134" s="2">
        <v>133</v>
      </c>
      <c r="B134" s="12" t="s">
        <v>241</v>
      </c>
      <c r="C134" s="13">
        <v>45508</v>
      </c>
      <c r="D134" s="12" t="s">
        <v>333</v>
      </c>
      <c r="E134" s="14" t="s">
        <v>364</v>
      </c>
      <c r="F134" s="12" t="s">
        <v>330</v>
      </c>
      <c r="G134" s="2">
        <v>2</v>
      </c>
      <c r="H134" s="3">
        <v>150</v>
      </c>
      <c r="I134" s="14" t="s">
        <v>342</v>
      </c>
      <c r="J134" s="12" t="s">
        <v>483</v>
      </c>
      <c r="K134" s="2">
        <v>0</v>
      </c>
      <c r="L134" s="12" t="s">
        <v>352</v>
      </c>
      <c r="M134">
        <f>YEAR(VentesMagasins!$C134)</f>
        <v>2024</v>
      </c>
      <c r="N134" t="e" cm="1" vm="1">
        <f t="array" aca="1" ref="N134" ca="1">MONTH(DateVente)</f>
        <v>#VALUE!</v>
      </c>
      <c r="O134" t="str">
        <f>PROPER(VentesMagasins!$F134)</f>
        <v>Décoration</v>
      </c>
      <c r="P134">
        <f>VALUE(CLEAN(TRIM(SUBSTITUTE(VentesMagasins!$I134,".",","))))</f>
        <v>0.05</v>
      </c>
      <c r="Q134">
        <f>VALUE(TRIM(SUBSTITUTE(VentesMagasins!$J134,".",",")))</f>
        <v>285</v>
      </c>
      <c r="R134">
        <f t="shared" si="6"/>
        <v>270.75</v>
      </c>
      <c r="S134">
        <f>IF(VentesMagasins!$K134=1,(-1)*R134,R134)</f>
        <v>270.75</v>
      </c>
      <c r="T134">
        <f>IFERROR(VALUE(TRIM(SUBSTITUTE(VentesMagasins!$L134,".",","))),0)</f>
        <v>0</v>
      </c>
      <c r="U134">
        <f t="shared" si="7"/>
        <v>3</v>
      </c>
      <c r="V134" t="str">
        <f t="shared" si="8"/>
        <v>moyenne</v>
      </c>
      <c r="W134" t="str">
        <f>_xlfn.XLOOKUP(VentesMagasins!$B134,Clients!ClientID,Région)</f>
        <v>Ouest</v>
      </c>
      <c r="X134" t="str">
        <f>INDEX(TypeClient,MATCH(VentesMagasins!$B134,Clients!ClientID))</f>
        <v>Occasionnel</v>
      </c>
      <c r="Y134" t="str">
        <v>août</v>
      </c>
    </row>
    <row r="135" spans="1:25" x14ac:dyDescent="0.25">
      <c r="A135" s="2">
        <v>134</v>
      </c>
      <c r="B135" s="12" t="s">
        <v>85</v>
      </c>
      <c r="C135" s="13">
        <v>45160</v>
      </c>
      <c r="D135" s="12" t="s">
        <v>333</v>
      </c>
      <c r="E135" s="14" t="s">
        <v>334</v>
      </c>
      <c r="F135" s="12" t="s">
        <v>324</v>
      </c>
      <c r="G135" s="2">
        <v>3</v>
      </c>
      <c r="H135" s="3">
        <v>177</v>
      </c>
      <c r="I135" s="14" t="s">
        <v>335</v>
      </c>
      <c r="J135" s="12" t="s">
        <v>484</v>
      </c>
      <c r="K135" s="2">
        <v>0</v>
      </c>
      <c r="L135" s="12" t="s">
        <v>332</v>
      </c>
      <c r="M135">
        <f>YEAR(VentesMagasins!$C135)</f>
        <v>2023</v>
      </c>
      <c r="N135" t="e" cm="1" vm="1">
        <f t="array" aca="1" ref="N135" ca="1">MONTH(DateVente)</f>
        <v>#VALUE!</v>
      </c>
      <c r="O135" t="str">
        <f>PROPER(VentesMagasins!$F135)</f>
        <v>Électronique</v>
      </c>
      <c r="P135">
        <f>VALUE(CLEAN(TRIM(SUBSTITUTE(VentesMagasins!$I135,".",","))))</f>
        <v>0</v>
      </c>
      <c r="Q135">
        <f>VALUE(TRIM(SUBSTITUTE(VentesMagasins!$J135,".",",")))</f>
        <v>584.1</v>
      </c>
      <c r="R135">
        <f t="shared" si="6"/>
        <v>584.1</v>
      </c>
      <c r="S135">
        <f>IF(VentesMagasins!$K135=1,(-1)*R135,R135)</f>
        <v>584.1</v>
      </c>
      <c r="T135">
        <f>IFERROR(VALUE(TRIM(SUBSTITUTE(VentesMagasins!$L135,".",","))),0)</f>
        <v>4</v>
      </c>
      <c r="U135">
        <f t="shared" si="7"/>
        <v>4</v>
      </c>
      <c r="V135" t="str">
        <f t="shared" si="8"/>
        <v>moyenne</v>
      </c>
      <c r="W135" t="str">
        <f>_xlfn.XLOOKUP(VentesMagasins!$B135,Clients!ClientID,Région)</f>
        <v>Sud</v>
      </c>
      <c r="X135" t="str">
        <f>INDEX(TypeClient,MATCH(VentesMagasins!$B135,Clients!ClientID))</f>
        <v>Fidèle</v>
      </c>
      <c r="Y135" t="str">
        <v>août</v>
      </c>
    </row>
    <row r="136" spans="1:25" x14ac:dyDescent="0.25">
      <c r="A136" s="2">
        <v>135</v>
      </c>
      <c r="B136" s="12" t="s">
        <v>212</v>
      </c>
      <c r="C136" s="13">
        <v>45371</v>
      </c>
      <c r="D136" s="12" t="s">
        <v>333</v>
      </c>
      <c r="E136" s="14" t="s">
        <v>329</v>
      </c>
      <c r="F136" s="12" t="s">
        <v>330</v>
      </c>
      <c r="G136" s="2">
        <v>1</v>
      </c>
      <c r="H136" s="3">
        <v>86</v>
      </c>
      <c r="I136" s="14" t="s">
        <v>355</v>
      </c>
      <c r="J136" s="12" t="s">
        <v>485</v>
      </c>
      <c r="K136" s="2">
        <v>0</v>
      </c>
      <c r="L136" s="12" t="s">
        <v>327</v>
      </c>
      <c r="M136">
        <f>YEAR(VentesMagasins!$C136)</f>
        <v>2024</v>
      </c>
      <c r="N136" t="e" cm="1" vm="1">
        <f t="array" aca="1" ref="N136" ca="1">MONTH(DateVente)</f>
        <v>#VALUE!</v>
      </c>
      <c r="O136" t="str">
        <f>PROPER(VentesMagasins!$F136)</f>
        <v>Décoration</v>
      </c>
      <c r="P136">
        <f>VALUE(CLEAN(TRIM(SUBSTITUTE(VentesMagasins!$I136,".",","))))</f>
        <v>0.1</v>
      </c>
      <c r="Q136">
        <f>VALUE(TRIM(SUBSTITUTE(VentesMagasins!$J136,".",",")))</f>
        <v>77.400000000000006</v>
      </c>
      <c r="R136">
        <f t="shared" si="6"/>
        <v>69.660000000000011</v>
      </c>
      <c r="S136">
        <f>IF(VentesMagasins!$K136=1,(-1)*R136,R136)</f>
        <v>69.660000000000011</v>
      </c>
      <c r="T136">
        <f>IFERROR(VALUE(TRIM(SUBSTITUTE(VentesMagasins!$L136,".",","))),0)</f>
        <v>5</v>
      </c>
      <c r="U136">
        <f t="shared" si="7"/>
        <v>5</v>
      </c>
      <c r="V136" t="str">
        <f t="shared" si="8"/>
        <v>élévé</v>
      </c>
      <c r="W136" t="str">
        <f>_xlfn.XLOOKUP(VentesMagasins!$B136,Clients!ClientID,Région)</f>
        <v>Sud</v>
      </c>
      <c r="X136" t="str">
        <f>INDEX(TypeClient,MATCH(VentesMagasins!$B136,Clients!ClientID))</f>
        <v>Fidèle</v>
      </c>
      <c r="Y136" t="str">
        <v>mars</v>
      </c>
    </row>
    <row r="137" spans="1:25" x14ac:dyDescent="0.25">
      <c r="A137" s="2">
        <v>136</v>
      </c>
      <c r="B137" s="12" t="s">
        <v>228</v>
      </c>
      <c r="C137" s="13">
        <v>45977</v>
      </c>
      <c r="D137" s="12" t="s">
        <v>350</v>
      </c>
      <c r="E137" s="14" t="s">
        <v>345</v>
      </c>
      <c r="F137" s="12" t="s">
        <v>330</v>
      </c>
      <c r="G137" s="2">
        <v>3</v>
      </c>
      <c r="H137" s="3">
        <v>333</v>
      </c>
      <c r="I137" s="14" t="s">
        <v>355</v>
      </c>
      <c r="J137" s="12" t="s">
        <v>486</v>
      </c>
      <c r="K137" s="2">
        <v>1</v>
      </c>
      <c r="L137" s="12" t="s">
        <v>352</v>
      </c>
      <c r="M137">
        <f>YEAR(VentesMagasins!$C137)</f>
        <v>2025</v>
      </c>
      <c r="N137" t="e" cm="1" vm="1">
        <f t="array" aca="1" ref="N137" ca="1">MONTH(DateVente)</f>
        <v>#VALUE!</v>
      </c>
      <c r="O137" t="str">
        <f>PROPER(VentesMagasins!$F137)</f>
        <v>Décoration</v>
      </c>
      <c r="P137">
        <f>VALUE(CLEAN(TRIM(SUBSTITUTE(VentesMagasins!$I137,".",","))))</f>
        <v>0.1</v>
      </c>
      <c r="Q137">
        <f>VALUE(TRIM(SUBSTITUTE(VentesMagasins!$J137,".",",")))</f>
        <v>899.1</v>
      </c>
      <c r="R137">
        <f t="shared" si="6"/>
        <v>809.19</v>
      </c>
      <c r="S137">
        <f>IF(VentesMagasins!$K137=1,(-1)*R137,R137)</f>
        <v>-809.19</v>
      </c>
      <c r="T137">
        <f>IFERROR(VALUE(TRIM(SUBSTITUTE(VentesMagasins!$L137,".",","))),0)</f>
        <v>0</v>
      </c>
      <c r="U137">
        <f t="shared" si="7"/>
        <v>3</v>
      </c>
      <c r="V137" t="str">
        <f t="shared" si="8"/>
        <v>moyenne</v>
      </c>
      <c r="W137" t="str">
        <f>_xlfn.XLOOKUP(VentesMagasins!$B137,Clients!ClientID,Région)</f>
        <v>Centre</v>
      </c>
      <c r="X137" t="str">
        <f>INDEX(TypeClient,MATCH(VentesMagasins!$B137,Clients!ClientID))</f>
        <v>Occasionnel</v>
      </c>
      <c r="Y137" t="str">
        <v>nov</v>
      </c>
    </row>
    <row r="138" spans="1:25" x14ac:dyDescent="0.25">
      <c r="A138" s="2">
        <v>137</v>
      </c>
      <c r="B138" s="12" t="s">
        <v>129</v>
      </c>
      <c r="C138" s="13">
        <v>45282</v>
      </c>
      <c r="D138" s="12" t="s">
        <v>350</v>
      </c>
      <c r="E138" s="14" t="s">
        <v>362</v>
      </c>
      <c r="F138" s="12" t="s">
        <v>324</v>
      </c>
      <c r="G138" s="2">
        <v>5</v>
      </c>
      <c r="H138" s="3">
        <v>424</v>
      </c>
      <c r="I138" s="14" t="s">
        <v>325</v>
      </c>
      <c r="J138" s="12" t="s">
        <v>487</v>
      </c>
      <c r="K138" s="2">
        <v>0</v>
      </c>
      <c r="L138" s="12" t="s">
        <v>337</v>
      </c>
      <c r="M138">
        <f>YEAR(VentesMagasins!$C138)</f>
        <v>2023</v>
      </c>
      <c r="N138" t="e" cm="1" vm="1">
        <f t="array" aca="1" ref="N138" ca="1">MONTH(DateVente)</f>
        <v>#VALUE!</v>
      </c>
      <c r="O138" t="str">
        <f>PROPER(VentesMagasins!$F138)</f>
        <v>Électronique</v>
      </c>
      <c r="P138">
        <f>VALUE(CLEAN(TRIM(SUBSTITUTE(VentesMagasins!$I138,".",","))))</f>
        <v>0.15</v>
      </c>
      <c r="Q138">
        <f>VALUE(TRIM(SUBSTITUTE(VentesMagasins!$J138,".",",")))</f>
        <v>1802</v>
      </c>
      <c r="R138">
        <f t="shared" si="6"/>
        <v>1531.7</v>
      </c>
      <c r="S138">
        <f>IF(VentesMagasins!$K138=1,(-1)*R138,R138)</f>
        <v>1531.7</v>
      </c>
      <c r="T138">
        <f>IFERROR(VALUE(TRIM(SUBSTITUTE(VentesMagasins!$L138,".",","))),0)</f>
        <v>3</v>
      </c>
      <c r="U138">
        <f t="shared" si="7"/>
        <v>3</v>
      </c>
      <c r="V138" t="str">
        <f t="shared" si="8"/>
        <v>moyenne</v>
      </c>
      <c r="W138" t="str">
        <f>_xlfn.XLOOKUP(VentesMagasins!$B138,Clients!ClientID,Région)</f>
        <v>Est</v>
      </c>
      <c r="X138" t="str">
        <f>INDEX(TypeClient,MATCH(VentesMagasins!$B138,Clients!ClientID))</f>
        <v>Fidèle</v>
      </c>
      <c r="Y138" t="str">
        <v>déc</v>
      </c>
    </row>
    <row r="139" spans="1:25" x14ac:dyDescent="0.25">
      <c r="A139" s="2">
        <v>138</v>
      </c>
      <c r="B139" s="12" t="s">
        <v>272</v>
      </c>
      <c r="C139" s="13">
        <v>45304</v>
      </c>
      <c r="D139" s="12" t="s">
        <v>338</v>
      </c>
      <c r="E139" s="14" t="s">
        <v>345</v>
      </c>
      <c r="F139" s="12" t="s">
        <v>324</v>
      </c>
      <c r="G139" s="2">
        <v>4</v>
      </c>
      <c r="H139" s="3">
        <v>176</v>
      </c>
      <c r="I139" s="14" t="s">
        <v>342</v>
      </c>
      <c r="J139" s="12" t="s">
        <v>488</v>
      </c>
      <c r="K139" s="2">
        <v>0</v>
      </c>
      <c r="L139" s="12" t="s">
        <v>337</v>
      </c>
      <c r="M139">
        <f>YEAR(VentesMagasins!$C139)</f>
        <v>2024</v>
      </c>
      <c r="N139" t="e" cm="1" vm="1">
        <f t="array" aca="1" ref="N139" ca="1">MONTH(DateVente)</f>
        <v>#VALUE!</v>
      </c>
      <c r="O139" t="str">
        <f>PROPER(VentesMagasins!$F139)</f>
        <v>Électronique</v>
      </c>
      <c r="P139">
        <f>VALUE(CLEAN(TRIM(SUBSTITUTE(VentesMagasins!$I139,".",","))))</f>
        <v>0.05</v>
      </c>
      <c r="Q139">
        <f>VALUE(TRIM(SUBSTITUTE(VentesMagasins!$J139,".",",")))</f>
        <v>668.8</v>
      </c>
      <c r="R139">
        <f t="shared" si="6"/>
        <v>635.3599999999999</v>
      </c>
      <c r="S139">
        <f>IF(VentesMagasins!$K139=1,(-1)*R139,R139)</f>
        <v>635.3599999999999</v>
      </c>
      <c r="T139">
        <f>IFERROR(VALUE(TRIM(SUBSTITUTE(VentesMagasins!$L139,".",","))),0)</f>
        <v>3</v>
      </c>
      <c r="U139">
        <f t="shared" si="7"/>
        <v>3</v>
      </c>
      <c r="V139" t="str">
        <f t="shared" si="8"/>
        <v>moyenne</v>
      </c>
      <c r="W139" t="str">
        <f>_xlfn.XLOOKUP(VentesMagasins!$B139,Clients!ClientID,Région)</f>
        <v>Centre</v>
      </c>
      <c r="X139" t="str">
        <f>INDEX(TypeClient,MATCH(VentesMagasins!$B139,Clients!ClientID))</f>
        <v>Fidèle</v>
      </c>
      <c r="Y139" t="str">
        <v>janv</v>
      </c>
    </row>
    <row r="140" spans="1:25" x14ac:dyDescent="0.25">
      <c r="A140" s="2">
        <v>139</v>
      </c>
      <c r="B140" s="12" t="s">
        <v>196</v>
      </c>
      <c r="C140" s="13">
        <v>45197</v>
      </c>
      <c r="D140" s="12" t="s">
        <v>333</v>
      </c>
      <c r="E140" s="14" t="s">
        <v>364</v>
      </c>
      <c r="F140" s="12" t="s">
        <v>330</v>
      </c>
      <c r="G140" s="2">
        <v>4</v>
      </c>
      <c r="H140" s="3">
        <v>290</v>
      </c>
      <c r="I140" s="14" t="s">
        <v>342</v>
      </c>
      <c r="J140" s="12" t="s">
        <v>489</v>
      </c>
      <c r="K140" s="2">
        <v>0</v>
      </c>
      <c r="L140" s="12" t="s">
        <v>352</v>
      </c>
      <c r="M140">
        <f>YEAR(VentesMagasins!$C140)</f>
        <v>2023</v>
      </c>
      <c r="N140" t="e" cm="1" vm="1">
        <f t="array" aca="1" ref="N140" ca="1">MONTH(DateVente)</f>
        <v>#VALUE!</v>
      </c>
      <c r="O140" t="str">
        <f>PROPER(VentesMagasins!$F140)</f>
        <v>Décoration</v>
      </c>
      <c r="P140">
        <f>VALUE(CLEAN(TRIM(SUBSTITUTE(VentesMagasins!$I140,".",","))))</f>
        <v>0.05</v>
      </c>
      <c r="Q140">
        <f>VALUE(TRIM(SUBSTITUTE(VentesMagasins!$J140,".",",")))</f>
        <v>1102</v>
      </c>
      <c r="R140">
        <f t="shared" si="6"/>
        <v>1046.8999999999999</v>
      </c>
      <c r="S140">
        <f>IF(VentesMagasins!$K140=1,(-1)*R140,R140)</f>
        <v>1046.8999999999999</v>
      </c>
      <c r="T140">
        <f>IFERROR(VALUE(TRIM(SUBSTITUTE(VentesMagasins!$L140,".",","))),0)</f>
        <v>0</v>
      </c>
      <c r="U140">
        <f t="shared" si="7"/>
        <v>3</v>
      </c>
      <c r="V140" t="str">
        <f t="shared" si="8"/>
        <v>moyenne</v>
      </c>
      <c r="W140" t="str">
        <f>_xlfn.XLOOKUP(VentesMagasins!$B140,Clients!ClientID,Région)</f>
        <v>Centre</v>
      </c>
      <c r="X140" t="str">
        <f>INDEX(TypeClient,MATCH(VentesMagasins!$B140,Clients!ClientID))</f>
        <v>Nouveau</v>
      </c>
      <c r="Y140" t="str">
        <v>sept</v>
      </c>
    </row>
    <row r="141" spans="1:25" x14ac:dyDescent="0.25">
      <c r="A141" s="2">
        <v>140</v>
      </c>
      <c r="B141" s="12" t="s">
        <v>61</v>
      </c>
      <c r="C141" s="13">
        <v>45261</v>
      </c>
      <c r="D141" s="12" t="s">
        <v>322</v>
      </c>
      <c r="E141" s="14" t="s">
        <v>364</v>
      </c>
      <c r="F141" s="12" t="s">
        <v>330</v>
      </c>
      <c r="G141" s="2">
        <v>4</v>
      </c>
      <c r="H141" s="3">
        <v>21</v>
      </c>
      <c r="I141" s="14" t="s">
        <v>355</v>
      </c>
      <c r="J141" s="12" t="s">
        <v>490</v>
      </c>
      <c r="K141" s="2">
        <v>0</v>
      </c>
      <c r="L141" s="12" t="s">
        <v>327</v>
      </c>
      <c r="M141">
        <f>YEAR(VentesMagasins!$C141)</f>
        <v>2023</v>
      </c>
      <c r="N141" t="e" cm="1" vm="1">
        <f t="array" aca="1" ref="N141" ca="1">MONTH(DateVente)</f>
        <v>#VALUE!</v>
      </c>
      <c r="O141" t="str">
        <f>PROPER(VentesMagasins!$F141)</f>
        <v>Décoration</v>
      </c>
      <c r="P141">
        <f>VALUE(CLEAN(TRIM(SUBSTITUTE(VentesMagasins!$I141,".",","))))</f>
        <v>0.1</v>
      </c>
      <c r="Q141">
        <f>VALUE(TRIM(SUBSTITUTE(VentesMagasins!$J141,".",",")))</f>
        <v>75.599999999999994</v>
      </c>
      <c r="R141">
        <f t="shared" si="6"/>
        <v>68.039999999999992</v>
      </c>
      <c r="S141">
        <f>IF(VentesMagasins!$K141=1,(-1)*R141,R141)</f>
        <v>68.039999999999992</v>
      </c>
      <c r="T141">
        <f>IFERROR(VALUE(TRIM(SUBSTITUTE(VentesMagasins!$L141,".",","))),0)</f>
        <v>5</v>
      </c>
      <c r="U141">
        <f t="shared" si="7"/>
        <v>5</v>
      </c>
      <c r="V141" t="str">
        <f t="shared" si="8"/>
        <v>élévé</v>
      </c>
      <c r="W141" t="str">
        <f>_xlfn.XLOOKUP(VentesMagasins!$B141,Clients!ClientID,Région)</f>
        <v>Nord</v>
      </c>
      <c r="X141" t="str">
        <f>INDEX(TypeClient,MATCH(VentesMagasins!$B141,Clients!ClientID))</f>
        <v>Fidèle</v>
      </c>
      <c r="Y141" t="str">
        <v>déc</v>
      </c>
    </row>
    <row r="142" spans="1:25" x14ac:dyDescent="0.25">
      <c r="A142" s="2">
        <v>141</v>
      </c>
      <c r="B142" s="12" t="s">
        <v>282</v>
      </c>
      <c r="C142" s="13">
        <v>45086</v>
      </c>
      <c r="D142" s="12" t="s">
        <v>338</v>
      </c>
      <c r="E142" s="14" t="s">
        <v>362</v>
      </c>
      <c r="F142" s="12" t="s">
        <v>341</v>
      </c>
      <c r="G142" s="2">
        <v>5</v>
      </c>
      <c r="H142" s="3">
        <v>127</v>
      </c>
      <c r="I142" s="14" t="s">
        <v>325</v>
      </c>
      <c r="J142" s="12" t="s">
        <v>491</v>
      </c>
      <c r="K142" s="2">
        <v>0</v>
      </c>
      <c r="L142" s="12" t="s">
        <v>332</v>
      </c>
      <c r="M142">
        <f>YEAR(VentesMagasins!$C142)</f>
        <v>2023</v>
      </c>
      <c r="N142" t="e" cm="1" vm="1">
        <f t="array" aca="1" ref="N142" ca="1">MONTH(DateVente)</f>
        <v>#VALUE!</v>
      </c>
      <c r="O142" t="str">
        <f>PROPER(VentesMagasins!$F142)</f>
        <v>Meuble</v>
      </c>
      <c r="P142">
        <f>VALUE(CLEAN(TRIM(SUBSTITUTE(VentesMagasins!$I142,".",","))))</f>
        <v>0.15</v>
      </c>
      <c r="Q142">
        <f>VALUE(TRIM(SUBSTITUTE(VentesMagasins!$J142,".",",")))</f>
        <v>539.75</v>
      </c>
      <c r="R142">
        <f t="shared" si="6"/>
        <v>458.78749999999997</v>
      </c>
      <c r="S142">
        <f>IF(VentesMagasins!$K142=1,(-1)*R142,R142)</f>
        <v>458.78749999999997</v>
      </c>
      <c r="T142">
        <f>IFERROR(VALUE(TRIM(SUBSTITUTE(VentesMagasins!$L142,".",","))),0)</f>
        <v>4</v>
      </c>
      <c r="U142">
        <f t="shared" si="7"/>
        <v>4</v>
      </c>
      <c r="V142" t="str">
        <f t="shared" si="8"/>
        <v>moyenne</v>
      </c>
      <c r="W142" t="str">
        <f>_xlfn.XLOOKUP(VentesMagasins!$B142,Clients!ClientID,Région)</f>
        <v>Nord</v>
      </c>
      <c r="X142" t="str">
        <f>INDEX(TypeClient,MATCH(VentesMagasins!$B142,Clients!ClientID))</f>
        <v>Nouveau</v>
      </c>
      <c r="Y142" t="str">
        <v>juin</v>
      </c>
    </row>
    <row r="143" spans="1:25" x14ac:dyDescent="0.25">
      <c r="A143" s="2">
        <v>142</v>
      </c>
      <c r="B143" s="12" t="s">
        <v>290</v>
      </c>
      <c r="C143" s="13">
        <v>45924</v>
      </c>
      <c r="D143" s="12" t="s">
        <v>322</v>
      </c>
      <c r="E143" s="14" t="s">
        <v>364</v>
      </c>
      <c r="F143" s="12" t="s">
        <v>341</v>
      </c>
      <c r="G143" s="2">
        <v>4</v>
      </c>
      <c r="H143" s="3">
        <v>98</v>
      </c>
      <c r="I143" s="14" t="s">
        <v>325</v>
      </c>
      <c r="J143" s="12" t="s">
        <v>442</v>
      </c>
      <c r="K143" s="2">
        <v>0</v>
      </c>
      <c r="L143" s="12" t="s">
        <v>369</v>
      </c>
      <c r="M143">
        <f>YEAR(VentesMagasins!$C143)</f>
        <v>2025</v>
      </c>
      <c r="N143" t="e" cm="1" vm="1">
        <f t="array" aca="1" ref="N143" ca="1">MONTH(DateVente)</f>
        <v>#VALUE!</v>
      </c>
      <c r="O143" t="str">
        <f>PROPER(VentesMagasins!$F143)</f>
        <v>Meuble</v>
      </c>
      <c r="P143">
        <f>VALUE(CLEAN(TRIM(SUBSTITUTE(VentesMagasins!$I143,".",","))))</f>
        <v>0.15</v>
      </c>
      <c r="Q143">
        <f>VALUE(TRIM(SUBSTITUTE(VentesMagasins!$J143,".",",")))</f>
        <v>333.2</v>
      </c>
      <c r="R143">
        <f t="shared" si="6"/>
        <v>283.21999999999997</v>
      </c>
      <c r="S143">
        <f>IF(VentesMagasins!$K143=1,(-1)*R143,R143)</f>
        <v>283.21999999999997</v>
      </c>
      <c r="T143">
        <f>IFERROR(VALUE(TRIM(SUBSTITUTE(VentesMagasins!$L143,".",","))),0)</f>
        <v>1</v>
      </c>
      <c r="U143">
        <f t="shared" si="7"/>
        <v>1</v>
      </c>
      <c r="V143" t="str">
        <f t="shared" si="8"/>
        <v>faible</v>
      </c>
      <c r="W143" t="str">
        <f>_xlfn.XLOOKUP(VentesMagasins!$B143,Clients!ClientID,Région)</f>
        <v>Est</v>
      </c>
      <c r="X143" t="str">
        <f>INDEX(TypeClient,MATCH(VentesMagasins!$B143,Clients!ClientID))</f>
        <v>Nouveau</v>
      </c>
      <c r="Y143" t="str">
        <v>sept</v>
      </c>
    </row>
    <row r="144" spans="1:25" x14ac:dyDescent="0.25">
      <c r="A144" s="2">
        <v>143</v>
      </c>
      <c r="B144" s="12" t="s">
        <v>164</v>
      </c>
      <c r="C144" s="13">
        <v>45822</v>
      </c>
      <c r="D144" s="12" t="s">
        <v>350</v>
      </c>
      <c r="E144" s="14" t="s">
        <v>329</v>
      </c>
      <c r="F144" s="12" t="s">
        <v>330</v>
      </c>
      <c r="G144" s="2">
        <v>5</v>
      </c>
      <c r="H144" s="3">
        <v>481</v>
      </c>
      <c r="I144" s="14" t="s">
        <v>335</v>
      </c>
      <c r="J144" s="12" t="s">
        <v>492</v>
      </c>
      <c r="K144" s="2">
        <v>1</v>
      </c>
      <c r="L144" s="12" t="s">
        <v>352</v>
      </c>
      <c r="M144">
        <f>YEAR(VentesMagasins!$C144)</f>
        <v>2025</v>
      </c>
      <c r="N144" t="e" cm="1" vm="1">
        <f t="array" aca="1" ref="N144" ca="1">MONTH(DateVente)</f>
        <v>#VALUE!</v>
      </c>
      <c r="O144" t="str">
        <f>PROPER(VentesMagasins!$F144)</f>
        <v>Décoration</v>
      </c>
      <c r="P144">
        <f>VALUE(CLEAN(TRIM(SUBSTITUTE(VentesMagasins!$I144,".",","))))</f>
        <v>0</v>
      </c>
      <c r="Q144">
        <f>VALUE(TRIM(SUBSTITUTE(VentesMagasins!$J144,".",",")))</f>
        <v>2405</v>
      </c>
      <c r="R144">
        <f t="shared" si="6"/>
        <v>2405</v>
      </c>
      <c r="S144">
        <f>IF(VentesMagasins!$K144=1,(-1)*R144,R144)</f>
        <v>-2405</v>
      </c>
      <c r="T144">
        <f>IFERROR(VALUE(TRIM(SUBSTITUTE(VentesMagasins!$L144,".",","))),0)</f>
        <v>0</v>
      </c>
      <c r="U144">
        <f t="shared" si="7"/>
        <v>3</v>
      </c>
      <c r="V144" t="str">
        <f t="shared" si="8"/>
        <v>moyenne</v>
      </c>
      <c r="W144" t="str">
        <f>_xlfn.XLOOKUP(VentesMagasins!$B144,Clients!ClientID,Région)</f>
        <v>Est</v>
      </c>
      <c r="X144" t="str">
        <f>INDEX(TypeClient,MATCH(VentesMagasins!$B144,Clients!ClientID))</f>
        <v>Occasionnel</v>
      </c>
      <c r="Y144" t="str">
        <v>juin</v>
      </c>
    </row>
    <row r="145" spans="1:25" x14ac:dyDescent="0.25">
      <c r="A145" s="2">
        <v>144</v>
      </c>
      <c r="B145" s="12" t="s">
        <v>129</v>
      </c>
      <c r="C145" s="13">
        <v>45924</v>
      </c>
      <c r="D145" s="12" t="s">
        <v>328</v>
      </c>
      <c r="E145" s="14" t="s">
        <v>345</v>
      </c>
      <c r="F145" s="12" t="s">
        <v>330</v>
      </c>
      <c r="G145" s="2">
        <v>1</v>
      </c>
      <c r="H145" s="3">
        <v>135</v>
      </c>
      <c r="I145" s="14" t="s">
        <v>342</v>
      </c>
      <c r="J145" s="12" t="s">
        <v>493</v>
      </c>
      <c r="K145" s="2">
        <v>0</v>
      </c>
      <c r="L145" s="12" t="s">
        <v>327</v>
      </c>
      <c r="M145">
        <f>YEAR(VentesMagasins!$C145)</f>
        <v>2025</v>
      </c>
      <c r="N145" t="e" cm="1" vm="1">
        <f t="array" aca="1" ref="N145" ca="1">MONTH(DateVente)</f>
        <v>#VALUE!</v>
      </c>
      <c r="O145" t="str">
        <f>PROPER(VentesMagasins!$F145)</f>
        <v>Décoration</v>
      </c>
      <c r="P145">
        <f>VALUE(CLEAN(TRIM(SUBSTITUTE(VentesMagasins!$I145,".",","))))</f>
        <v>0.05</v>
      </c>
      <c r="Q145">
        <f>VALUE(TRIM(SUBSTITUTE(VentesMagasins!$J145,".",",")))</f>
        <v>128.25</v>
      </c>
      <c r="R145">
        <f t="shared" si="6"/>
        <v>121.83749999999999</v>
      </c>
      <c r="S145">
        <f>IF(VentesMagasins!$K145=1,(-1)*R145,R145)</f>
        <v>121.83749999999999</v>
      </c>
      <c r="T145">
        <f>IFERROR(VALUE(TRIM(SUBSTITUTE(VentesMagasins!$L145,".",","))),0)</f>
        <v>5</v>
      </c>
      <c r="U145">
        <f t="shared" si="7"/>
        <v>5</v>
      </c>
      <c r="V145" t="str">
        <f t="shared" si="8"/>
        <v>élévé</v>
      </c>
      <c r="W145" t="str">
        <f>_xlfn.XLOOKUP(VentesMagasins!$B145,Clients!ClientID,Région)</f>
        <v>Est</v>
      </c>
      <c r="X145" t="str">
        <f>INDEX(TypeClient,MATCH(VentesMagasins!$B145,Clients!ClientID))</f>
        <v>Fidèle</v>
      </c>
      <c r="Y145" t="str">
        <v>sept</v>
      </c>
    </row>
    <row r="146" spans="1:25" x14ac:dyDescent="0.25">
      <c r="A146" s="2">
        <v>145</v>
      </c>
      <c r="B146" s="12" t="s">
        <v>48</v>
      </c>
      <c r="C146" s="13">
        <v>45467</v>
      </c>
      <c r="D146" s="12" t="s">
        <v>350</v>
      </c>
      <c r="E146" s="14" t="s">
        <v>364</v>
      </c>
      <c r="F146" s="12" t="s">
        <v>341</v>
      </c>
      <c r="G146" s="2">
        <v>3</v>
      </c>
      <c r="H146" s="3">
        <v>393</v>
      </c>
      <c r="I146" s="14" t="s">
        <v>335</v>
      </c>
      <c r="J146" s="12" t="s">
        <v>494</v>
      </c>
      <c r="K146" s="2">
        <v>0</v>
      </c>
      <c r="L146" s="12" t="s">
        <v>337</v>
      </c>
      <c r="M146">
        <f>YEAR(VentesMagasins!$C146)</f>
        <v>2024</v>
      </c>
      <c r="N146" t="e" cm="1" vm="1">
        <f t="array" aca="1" ref="N146" ca="1">MONTH(DateVente)</f>
        <v>#VALUE!</v>
      </c>
      <c r="O146" t="str">
        <f>PROPER(VentesMagasins!$F146)</f>
        <v>Meuble</v>
      </c>
      <c r="P146">
        <f>VALUE(CLEAN(TRIM(SUBSTITUTE(VentesMagasins!$I146,".",","))))</f>
        <v>0</v>
      </c>
      <c r="Q146">
        <f>VALUE(TRIM(SUBSTITUTE(VentesMagasins!$J146,".",",")))</f>
        <v>1179</v>
      </c>
      <c r="R146">
        <f t="shared" si="6"/>
        <v>1179</v>
      </c>
      <c r="S146">
        <f>IF(VentesMagasins!$K146=1,(-1)*R146,R146)</f>
        <v>1179</v>
      </c>
      <c r="T146">
        <f>IFERROR(VALUE(TRIM(SUBSTITUTE(VentesMagasins!$L146,".",","))),0)</f>
        <v>3</v>
      </c>
      <c r="U146">
        <f t="shared" si="7"/>
        <v>3</v>
      </c>
      <c r="V146" t="str">
        <f t="shared" si="8"/>
        <v>moyenne</v>
      </c>
      <c r="W146" t="str">
        <f>_xlfn.XLOOKUP(VentesMagasins!$B146,Clients!ClientID,Région)</f>
        <v>Sud</v>
      </c>
      <c r="X146" t="str">
        <f>INDEX(TypeClient,MATCH(VentesMagasins!$B146,Clients!ClientID))</f>
        <v>Fidèle</v>
      </c>
      <c r="Y146" t="str">
        <v>juin</v>
      </c>
    </row>
    <row r="147" spans="1:25" x14ac:dyDescent="0.25">
      <c r="A147" s="2">
        <v>146</v>
      </c>
      <c r="B147" s="12" t="s">
        <v>177</v>
      </c>
      <c r="C147" s="13">
        <v>45561</v>
      </c>
      <c r="D147" s="12" t="s">
        <v>350</v>
      </c>
      <c r="E147" s="14" t="s">
        <v>334</v>
      </c>
      <c r="F147" s="12" t="s">
        <v>341</v>
      </c>
      <c r="G147" s="2">
        <v>1</v>
      </c>
      <c r="H147" s="3">
        <v>122</v>
      </c>
      <c r="I147" s="14" t="s">
        <v>355</v>
      </c>
      <c r="J147" s="12" t="s">
        <v>495</v>
      </c>
      <c r="K147" s="2">
        <v>0</v>
      </c>
      <c r="L147" s="12" t="s">
        <v>337</v>
      </c>
      <c r="M147">
        <f>YEAR(VentesMagasins!$C147)</f>
        <v>2024</v>
      </c>
      <c r="N147" t="e" cm="1" vm="1">
        <f t="array" aca="1" ref="N147" ca="1">MONTH(DateVente)</f>
        <v>#VALUE!</v>
      </c>
      <c r="O147" t="str">
        <f>PROPER(VentesMagasins!$F147)</f>
        <v>Meuble</v>
      </c>
      <c r="P147">
        <f>VALUE(CLEAN(TRIM(SUBSTITUTE(VentesMagasins!$I147,".",","))))</f>
        <v>0.1</v>
      </c>
      <c r="Q147">
        <f>VALUE(TRIM(SUBSTITUTE(VentesMagasins!$J147,".",",")))</f>
        <v>109.8</v>
      </c>
      <c r="R147">
        <f t="shared" si="6"/>
        <v>98.82</v>
      </c>
      <c r="S147">
        <f>IF(VentesMagasins!$K147=1,(-1)*R147,R147)</f>
        <v>98.82</v>
      </c>
      <c r="T147">
        <f>IFERROR(VALUE(TRIM(SUBSTITUTE(VentesMagasins!$L147,".",","))),0)</f>
        <v>3</v>
      </c>
      <c r="U147">
        <f t="shared" si="7"/>
        <v>3</v>
      </c>
      <c r="V147" t="str">
        <f t="shared" si="8"/>
        <v>moyenne</v>
      </c>
      <c r="W147" t="str">
        <f>_xlfn.XLOOKUP(VentesMagasins!$B147,Clients!ClientID,Région)</f>
        <v>Est</v>
      </c>
      <c r="X147" t="str">
        <f>INDEX(TypeClient,MATCH(VentesMagasins!$B147,Clients!ClientID))</f>
        <v>Nouveau</v>
      </c>
      <c r="Y147" t="str">
        <v>sept</v>
      </c>
    </row>
    <row r="148" spans="1:25" x14ac:dyDescent="0.25">
      <c r="A148" s="2">
        <v>147</v>
      </c>
      <c r="B148" s="12" t="s">
        <v>293</v>
      </c>
      <c r="C148" s="13">
        <v>45273</v>
      </c>
      <c r="D148" s="12" t="s">
        <v>328</v>
      </c>
      <c r="E148" s="14" t="s">
        <v>339</v>
      </c>
      <c r="F148" s="12" t="s">
        <v>341</v>
      </c>
      <c r="G148" s="2">
        <v>1</v>
      </c>
      <c r="H148" s="3">
        <v>28</v>
      </c>
      <c r="I148" s="14" t="s">
        <v>342</v>
      </c>
      <c r="J148" s="12" t="s">
        <v>496</v>
      </c>
      <c r="K148" s="2">
        <v>1</v>
      </c>
      <c r="L148" s="12" t="s">
        <v>369</v>
      </c>
      <c r="M148">
        <f>YEAR(VentesMagasins!$C148)</f>
        <v>2023</v>
      </c>
      <c r="N148" t="e" cm="1" vm="1">
        <f t="array" aca="1" ref="N148" ca="1">MONTH(DateVente)</f>
        <v>#VALUE!</v>
      </c>
      <c r="O148" t="str">
        <f>PROPER(VentesMagasins!$F148)</f>
        <v>Meuble</v>
      </c>
      <c r="P148">
        <f>VALUE(CLEAN(TRIM(SUBSTITUTE(VentesMagasins!$I148,".",","))))</f>
        <v>0.05</v>
      </c>
      <c r="Q148">
        <f>VALUE(TRIM(SUBSTITUTE(VentesMagasins!$J148,".",",")))</f>
        <v>26.599999999999898</v>
      </c>
      <c r="R148">
        <f t="shared" si="6"/>
        <v>25.269999999999904</v>
      </c>
      <c r="S148">
        <f>IF(VentesMagasins!$K148=1,(-1)*R148,R148)</f>
        <v>-25.269999999999904</v>
      </c>
      <c r="T148">
        <f>IFERROR(VALUE(TRIM(SUBSTITUTE(VentesMagasins!$L148,".",","))),0)</f>
        <v>1</v>
      </c>
      <c r="U148">
        <f t="shared" si="7"/>
        <v>1</v>
      </c>
      <c r="V148" t="str">
        <f t="shared" si="8"/>
        <v>faible</v>
      </c>
      <c r="W148" t="str">
        <f>_xlfn.XLOOKUP(VentesMagasins!$B148,Clients!ClientID,Région)</f>
        <v>Sud</v>
      </c>
      <c r="X148" t="str">
        <f>INDEX(TypeClient,MATCH(VentesMagasins!$B148,Clients!ClientID))</f>
        <v>Fidèle</v>
      </c>
      <c r="Y148" t="str">
        <v>déc</v>
      </c>
    </row>
    <row r="149" spans="1:25" x14ac:dyDescent="0.25">
      <c r="A149" s="2">
        <v>148</v>
      </c>
      <c r="B149" s="12" t="s">
        <v>265</v>
      </c>
      <c r="C149" s="13">
        <v>44956</v>
      </c>
      <c r="D149" s="12" t="s">
        <v>328</v>
      </c>
      <c r="E149" s="14" t="s">
        <v>339</v>
      </c>
      <c r="F149" s="12" t="s">
        <v>341</v>
      </c>
      <c r="G149" s="2">
        <v>4</v>
      </c>
      <c r="H149" s="3">
        <v>225</v>
      </c>
      <c r="I149" s="14" t="s">
        <v>325</v>
      </c>
      <c r="J149" s="12" t="s">
        <v>497</v>
      </c>
      <c r="K149" s="2">
        <v>0</v>
      </c>
      <c r="L149" s="12" t="s">
        <v>327</v>
      </c>
      <c r="M149">
        <f>YEAR(VentesMagasins!$C149)</f>
        <v>2023</v>
      </c>
      <c r="N149" t="e" cm="1" vm="1">
        <f t="array" aca="1" ref="N149" ca="1">MONTH(DateVente)</f>
        <v>#VALUE!</v>
      </c>
      <c r="O149" t="str">
        <f>PROPER(VentesMagasins!$F149)</f>
        <v>Meuble</v>
      </c>
      <c r="P149">
        <f>VALUE(CLEAN(TRIM(SUBSTITUTE(VentesMagasins!$I149,".",","))))</f>
        <v>0.15</v>
      </c>
      <c r="Q149">
        <f>VALUE(TRIM(SUBSTITUTE(VentesMagasins!$J149,".",",")))</f>
        <v>765</v>
      </c>
      <c r="R149">
        <f t="shared" si="6"/>
        <v>650.25</v>
      </c>
      <c r="S149">
        <f>IF(VentesMagasins!$K149=1,(-1)*R149,R149)</f>
        <v>650.25</v>
      </c>
      <c r="T149">
        <f>IFERROR(VALUE(TRIM(SUBSTITUTE(VentesMagasins!$L149,".",","))),0)</f>
        <v>5</v>
      </c>
      <c r="U149">
        <f t="shared" si="7"/>
        <v>5</v>
      </c>
      <c r="V149" t="str">
        <f t="shared" si="8"/>
        <v>élévé</v>
      </c>
      <c r="W149" t="str">
        <f>_xlfn.XLOOKUP(VentesMagasins!$B149,Clients!ClientID,Région)</f>
        <v>Ouest</v>
      </c>
      <c r="X149" t="str">
        <f>INDEX(TypeClient,MATCH(VentesMagasins!$B149,Clients!ClientID))</f>
        <v>Fidèle</v>
      </c>
      <c r="Y149" t="str">
        <v>janv</v>
      </c>
    </row>
    <row r="150" spans="1:25" x14ac:dyDescent="0.25">
      <c r="A150" s="2">
        <v>149</v>
      </c>
      <c r="B150" s="12" t="s">
        <v>254</v>
      </c>
      <c r="C150" s="13">
        <v>45926</v>
      </c>
      <c r="D150" s="12" t="s">
        <v>333</v>
      </c>
      <c r="E150" s="14" t="s">
        <v>362</v>
      </c>
      <c r="F150" s="12" t="s">
        <v>324</v>
      </c>
      <c r="G150" s="2">
        <v>1</v>
      </c>
      <c r="H150" s="3">
        <v>302</v>
      </c>
      <c r="I150" s="14" t="s">
        <v>342</v>
      </c>
      <c r="J150" s="12" t="s">
        <v>498</v>
      </c>
      <c r="K150" s="2">
        <v>0</v>
      </c>
      <c r="L150" s="12" t="s">
        <v>369</v>
      </c>
      <c r="M150">
        <f>YEAR(VentesMagasins!$C150)</f>
        <v>2025</v>
      </c>
      <c r="N150" t="e" cm="1" vm="1">
        <f t="array" aca="1" ref="N150" ca="1">MONTH(DateVente)</f>
        <v>#VALUE!</v>
      </c>
      <c r="O150" t="str">
        <f>PROPER(VentesMagasins!$F150)</f>
        <v>Électronique</v>
      </c>
      <c r="P150">
        <f>VALUE(CLEAN(TRIM(SUBSTITUTE(VentesMagasins!$I150,".",","))))</f>
        <v>0.05</v>
      </c>
      <c r="Q150">
        <f>VALUE(TRIM(SUBSTITUTE(VentesMagasins!$J150,".",",")))</f>
        <v>286.89999999999998</v>
      </c>
      <c r="R150">
        <f t="shared" si="6"/>
        <v>272.55499999999995</v>
      </c>
      <c r="S150">
        <f>IF(VentesMagasins!$K150=1,(-1)*R150,R150)</f>
        <v>272.55499999999995</v>
      </c>
      <c r="T150">
        <f>IFERROR(VALUE(TRIM(SUBSTITUTE(VentesMagasins!$L150,".",","))),0)</f>
        <v>1</v>
      </c>
      <c r="U150">
        <f t="shared" si="7"/>
        <v>1</v>
      </c>
      <c r="V150" t="str">
        <f t="shared" si="8"/>
        <v>faible</v>
      </c>
      <c r="W150" t="str">
        <f>_xlfn.XLOOKUP(VentesMagasins!$B150,Clients!ClientID,Région)</f>
        <v>Ouest</v>
      </c>
      <c r="X150" t="str">
        <f>INDEX(TypeClient,MATCH(VentesMagasins!$B150,Clients!ClientID))</f>
        <v>Fidèle</v>
      </c>
      <c r="Y150" t="str">
        <v>sept</v>
      </c>
    </row>
    <row r="151" spans="1:25" x14ac:dyDescent="0.25">
      <c r="A151" s="2">
        <v>150</v>
      </c>
      <c r="B151" s="12" t="s">
        <v>84</v>
      </c>
      <c r="C151" s="13">
        <v>45729</v>
      </c>
      <c r="D151" s="12" t="s">
        <v>322</v>
      </c>
      <c r="E151" s="14" t="s">
        <v>362</v>
      </c>
      <c r="F151" s="12" t="s">
        <v>330</v>
      </c>
      <c r="G151" s="2">
        <v>4</v>
      </c>
      <c r="H151" s="3">
        <v>248</v>
      </c>
      <c r="I151" s="14" t="s">
        <v>342</v>
      </c>
      <c r="J151" s="12" t="s">
        <v>499</v>
      </c>
      <c r="K151" s="2">
        <v>0</v>
      </c>
      <c r="L151" s="12" t="s">
        <v>369</v>
      </c>
      <c r="M151">
        <f>YEAR(VentesMagasins!$C151)</f>
        <v>2025</v>
      </c>
      <c r="N151" t="e" cm="1" vm="1">
        <f t="array" aca="1" ref="N151" ca="1">MONTH(DateVente)</f>
        <v>#VALUE!</v>
      </c>
      <c r="O151" t="str">
        <f>PROPER(VentesMagasins!$F151)</f>
        <v>Décoration</v>
      </c>
      <c r="P151">
        <f>VALUE(CLEAN(TRIM(SUBSTITUTE(VentesMagasins!$I151,".",","))))</f>
        <v>0.05</v>
      </c>
      <c r="Q151">
        <f>VALUE(TRIM(SUBSTITUTE(VentesMagasins!$J151,".",",")))</f>
        <v>942.4</v>
      </c>
      <c r="R151">
        <f t="shared" si="6"/>
        <v>895.28</v>
      </c>
      <c r="S151">
        <f>IF(VentesMagasins!$K151=1,(-1)*R151,R151)</f>
        <v>895.28</v>
      </c>
      <c r="T151">
        <f>IFERROR(VALUE(TRIM(SUBSTITUTE(VentesMagasins!$L151,".",","))),0)</f>
        <v>1</v>
      </c>
      <c r="U151">
        <f t="shared" si="7"/>
        <v>1</v>
      </c>
      <c r="V151" t="str">
        <f t="shared" si="8"/>
        <v>faible</v>
      </c>
      <c r="W151" t="str">
        <f>_xlfn.XLOOKUP(VentesMagasins!$B151,Clients!ClientID,Région)</f>
        <v>Sud</v>
      </c>
      <c r="X151" t="str">
        <f>INDEX(TypeClient,MATCH(VentesMagasins!$B151,Clients!ClientID))</f>
        <v>Occasionnel</v>
      </c>
      <c r="Y151" t="str">
        <v>mars</v>
      </c>
    </row>
    <row r="152" spans="1:25" x14ac:dyDescent="0.25">
      <c r="A152" s="2">
        <v>151</v>
      </c>
      <c r="B152" s="12" t="s">
        <v>29</v>
      </c>
      <c r="C152" s="13">
        <v>45682</v>
      </c>
      <c r="D152" s="12" t="s">
        <v>322</v>
      </c>
      <c r="E152" s="14" t="s">
        <v>348</v>
      </c>
      <c r="F152" s="12" t="s">
        <v>341</v>
      </c>
      <c r="G152" s="2">
        <v>1</v>
      </c>
      <c r="H152" s="3">
        <v>495</v>
      </c>
      <c r="I152" s="14" t="s">
        <v>342</v>
      </c>
      <c r="J152" s="12" t="s">
        <v>500</v>
      </c>
      <c r="K152" s="2">
        <v>0</v>
      </c>
      <c r="L152" s="12" t="s">
        <v>344</v>
      </c>
      <c r="M152">
        <f>YEAR(VentesMagasins!$C152)</f>
        <v>2025</v>
      </c>
      <c r="N152" t="e" cm="1" vm="1">
        <f t="array" aca="1" ref="N152" ca="1">MONTH(DateVente)</f>
        <v>#VALUE!</v>
      </c>
      <c r="O152" t="str">
        <f>PROPER(VentesMagasins!$F152)</f>
        <v>Meuble</v>
      </c>
      <c r="P152">
        <f>VALUE(CLEAN(TRIM(SUBSTITUTE(VentesMagasins!$I152,".",","))))</f>
        <v>0.05</v>
      </c>
      <c r="Q152">
        <f>VALUE(TRIM(SUBSTITUTE(VentesMagasins!$J152,".",",")))</f>
        <v>470.25</v>
      </c>
      <c r="R152">
        <f t="shared" si="6"/>
        <v>446.73749999999995</v>
      </c>
      <c r="S152">
        <f>IF(VentesMagasins!$K152=1,(-1)*R152,R152)</f>
        <v>446.73749999999995</v>
      </c>
      <c r="T152">
        <f>IFERROR(VALUE(TRIM(SUBSTITUTE(VentesMagasins!$L152,".",","))),0)</f>
        <v>2</v>
      </c>
      <c r="U152">
        <f t="shared" si="7"/>
        <v>2</v>
      </c>
      <c r="V152" t="str">
        <f t="shared" si="8"/>
        <v>faible</v>
      </c>
      <c r="W152" t="str">
        <f>_xlfn.XLOOKUP(VentesMagasins!$B152,Clients!ClientID,Région)</f>
        <v>Centre</v>
      </c>
      <c r="X152" t="str">
        <f>INDEX(TypeClient,MATCH(VentesMagasins!$B152,Clients!ClientID))</f>
        <v>Fidèle</v>
      </c>
      <c r="Y152" t="str">
        <v>janv</v>
      </c>
    </row>
    <row r="153" spans="1:25" x14ac:dyDescent="0.25">
      <c r="A153" s="2">
        <v>152</v>
      </c>
      <c r="B153" s="12" t="s">
        <v>240</v>
      </c>
      <c r="C153" s="13">
        <v>45150</v>
      </c>
      <c r="D153" s="12" t="s">
        <v>328</v>
      </c>
      <c r="E153" s="14" t="s">
        <v>364</v>
      </c>
      <c r="F153" s="12" t="s">
        <v>324</v>
      </c>
      <c r="G153" s="2">
        <v>2</v>
      </c>
      <c r="H153" s="3">
        <v>90</v>
      </c>
      <c r="I153" s="14" t="s">
        <v>335</v>
      </c>
      <c r="J153" s="12" t="s">
        <v>501</v>
      </c>
      <c r="K153" s="2">
        <v>0</v>
      </c>
      <c r="L153" s="12" t="s">
        <v>344</v>
      </c>
      <c r="M153">
        <f>YEAR(VentesMagasins!$C153)</f>
        <v>2023</v>
      </c>
      <c r="N153" t="e" cm="1" vm="1">
        <f t="array" aca="1" ref="N153" ca="1">MONTH(DateVente)</f>
        <v>#VALUE!</v>
      </c>
      <c r="O153" t="str">
        <f>PROPER(VentesMagasins!$F153)</f>
        <v>Électronique</v>
      </c>
      <c r="P153">
        <f>VALUE(CLEAN(TRIM(SUBSTITUTE(VentesMagasins!$I153,".",","))))</f>
        <v>0</v>
      </c>
      <c r="Q153">
        <f>VALUE(TRIM(SUBSTITUTE(VentesMagasins!$J153,".",",")))</f>
        <v>180</v>
      </c>
      <c r="R153">
        <f t="shared" si="6"/>
        <v>180</v>
      </c>
      <c r="S153">
        <f>IF(VentesMagasins!$K153=1,(-1)*R153,R153)</f>
        <v>180</v>
      </c>
      <c r="T153">
        <f>IFERROR(VALUE(TRIM(SUBSTITUTE(VentesMagasins!$L153,".",","))),0)</f>
        <v>2</v>
      </c>
      <c r="U153">
        <f t="shared" si="7"/>
        <v>2</v>
      </c>
      <c r="V153" t="str">
        <f t="shared" si="8"/>
        <v>faible</v>
      </c>
      <c r="W153" t="str">
        <f>_xlfn.XLOOKUP(VentesMagasins!$B153,Clients!ClientID,Région)</f>
        <v>Est</v>
      </c>
      <c r="X153" t="str">
        <f>INDEX(TypeClient,MATCH(VentesMagasins!$B153,Clients!ClientID))</f>
        <v>Nouveau</v>
      </c>
      <c r="Y153" t="str">
        <v>août</v>
      </c>
    </row>
    <row r="154" spans="1:25" x14ac:dyDescent="0.25">
      <c r="A154" s="2">
        <v>153</v>
      </c>
      <c r="B154" s="12" t="s">
        <v>145</v>
      </c>
      <c r="C154" s="13">
        <v>45631</v>
      </c>
      <c r="D154" s="12" t="s">
        <v>333</v>
      </c>
      <c r="E154" s="14" t="s">
        <v>334</v>
      </c>
      <c r="F154" s="12" t="s">
        <v>324</v>
      </c>
      <c r="G154" s="2">
        <v>2</v>
      </c>
      <c r="H154" s="3">
        <v>76</v>
      </c>
      <c r="I154" s="14" t="s">
        <v>335</v>
      </c>
      <c r="J154" s="12" t="s">
        <v>502</v>
      </c>
      <c r="K154" s="2">
        <v>1</v>
      </c>
      <c r="L154" s="12" t="s">
        <v>344</v>
      </c>
      <c r="M154">
        <f>YEAR(VentesMagasins!$C154)</f>
        <v>2024</v>
      </c>
      <c r="N154" t="e" cm="1" vm="1">
        <f t="array" aca="1" ref="N154" ca="1">MONTH(DateVente)</f>
        <v>#VALUE!</v>
      </c>
      <c r="O154" t="str">
        <f>PROPER(VentesMagasins!$F154)</f>
        <v>Électronique</v>
      </c>
      <c r="P154">
        <f>VALUE(CLEAN(TRIM(SUBSTITUTE(VentesMagasins!$I154,".",","))))</f>
        <v>0</v>
      </c>
      <c r="Q154">
        <f>VALUE(TRIM(SUBSTITUTE(VentesMagasins!$J154,".",",")))</f>
        <v>152</v>
      </c>
      <c r="R154">
        <f t="shared" si="6"/>
        <v>152</v>
      </c>
      <c r="S154">
        <f>IF(VentesMagasins!$K154=1,(-1)*R154,R154)</f>
        <v>-152</v>
      </c>
      <c r="T154">
        <f>IFERROR(VALUE(TRIM(SUBSTITUTE(VentesMagasins!$L154,".",","))),0)</f>
        <v>2</v>
      </c>
      <c r="U154">
        <f t="shared" si="7"/>
        <v>2</v>
      </c>
      <c r="V154" t="str">
        <f t="shared" si="8"/>
        <v>faible</v>
      </c>
      <c r="W154" t="str">
        <f>_xlfn.XLOOKUP(VentesMagasins!$B154,Clients!ClientID,Région)</f>
        <v>Ouest</v>
      </c>
      <c r="X154" t="str">
        <f>INDEX(TypeClient,MATCH(VentesMagasins!$B154,Clients!ClientID))</f>
        <v>Fidèle</v>
      </c>
      <c r="Y154" t="str">
        <v>déc</v>
      </c>
    </row>
    <row r="155" spans="1:25" x14ac:dyDescent="0.25">
      <c r="A155" s="2">
        <v>154</v>
      </c>
      <c r="B155" s="12" t="s">
        <v>84</v>
      </c>
      <c r="C155" s="13">
        <v>45165</v>
      </c>
      <c r="D155" s="12" t="s">
        <v>350</v>
      </c>
      <c r="E155" s="14" t="s">
        <v>362</v>
      </c>
      <c r="F155" s="12" t="s">
        <v>341</v>
      </c>
      <c r="G155" s="2">
        <v>1</v>
      </c>
      <c r="H155" s="3">
        <v>475</v>
      </c>
      <c r="I155" s="14" t="s">
        <v>325</v>
      </c>
      <c r="J155" s="12" t="s">
        <v>503</v>
      </c>
      <c r="K155" s="2">
        <v>0</v>
      </c>
      <c r="L155" s="12" t="s">
        <v>344</v>
      </c>
      <c r="M155">
        <f>YEAR(VentesMagasins!$C155)</f>
        <v>2023</v>
      </c>
      <c r="N155" t="e" cm="1" vm="1">
        <f t="array" aca="1" ref="N155" ca="1">MONTH(DateVente)</f>
        <v>#VALUE!</v>
      </c>
      <c r="O155" t="str">
        <f>PROPER(VentesMagasins!$F155)</f>
        <v>Meuble</v>
      </c>
      <c r="P155">
        <f>VALUE(CLEAN(TRIM(SUBSTITUTE(VentesMagasins!$I155,".",","))))</f>
        <v>0.15</v>
      </c>
      <c r="Q155">
        <f>VALUE(TRIM(SUBSTITUTE(VentesMagasins!$J155,".",",")))</f>
        <v>403.75</v>
      </c>
      <c r="R155">
        <f t="shared" si="6"/>
        <v>343.1875</v>
      </c>
      <c r="S155">
        <f>IF(VentesMagasins!$K155=1,(-1)*R155,R155)</f>
        <v>343.1875</v>
      </c>
      <c r="T155">
        <f>IFERROR(VALUE(TRIM(SUBSTITUTE(VentesMagasins!$L155,".",","))),0)</f>
        <v>2</v>
      </c>
      <c r="U155">
        <f t="shared" si="7"/>
        <v>2</v>
      </c>
      <c r="V155" t="str">
        <f t="shared" si="8"/>
        <v>faible</v>
      </c>
      <c r="W155" t="str">
        <f>_xlfn.XLOOKUP(VentesMagasins!$B155,Clients!ClientID,Région)</f>
        <v>Sud</v>
      </c>
      <c r="X155" t="str">
        <f>INDEX(TypeClient,MATCH(VentesMagasins!$B155,Clients!ClientID))</f>
        <v>Occasionnel</v>
      </c>
      <c r="Y155" t="str">
        <v>août</v>
      </c>
    </row>
    <row r="156" spans="1:25" x14ac:dyDescent="0.25">
      <c r="A156" s="2">
        <v>155</v>
      </c>
      <c r="B156" s="12" t="s">
        <v>180</v>
      </c>
      <c r="C156" s="13">
        <v>45753</v>
      </c>
      <c r="D156" s="12" t="s">
        <v>328</v>
      </c>
      <c r="E156" s="14" t="s">
        <v>364</v>
      </c>
      <c r="F156" s="12" t="s">
        <v>341</v>
      </c>
      <c r="G156" s="2">
        <v>4</v>
      </c>
      <c r="H156" s="3">
        <v>180</v>
      </c>
      <c r="I156" s="14" t="s">
        <v>355</v>
      </c>
      <c r="J156" s="12" t="s">
        <v>504</v>
      </c>
      <c r="K156" s="2">
        <v>0</v>
      </c>
      <c r="L156" s="12" t="s">
        <v>337</v>
      </c>
      <c r="M156">
        <f>YEAR(VentesMagasins!$C156)</f>
        <v>2025</v>
      </c>
      <c r="N156" t="e" cm="1" vm="1">
        <f t="array" aca="1" ref="N156" ca="1">MONTH(DateVente)</f>
        <v>#VALUE!</v>
      </c>
      <c r="O156" t="str">
        <f>PROPER(VentesMagasins!$F156)</f>
        <v>Meuble</v>
      </c>
      <c r="P156">
        <f>VALUE(CLEAN(TRIM(SUBSTITUTE(VentesMagasins!$I156,".",","))))</f>
        <v>0.1</v>
      </c>
      <c r="Q156">
        <f>VALUE(TRIM(SUBSTITUTE(VentesMagasins!$J156,".",",")))</f>
        <v>648</v>
      </c>
      <c r="R156">
        <f t="shared" si="6"/>
        <v>583.20000000000005</v>
      </c>
      <c r="S156">
        <f>IF(VentesMagasins!$K156=1,(-1)*R156,R156)</f>
        <v>583.20000000000005</v>
      </c>
      <c r="T156">
        <f>IFERROR(VALUE(TRIM(SUBSTITUTE(VentesMagasins!$L156,".",","))),0)</f>
        <v>3</v>
      </c>
      <c r="U156">
        <f t="shared" si="7"/>
        <v>3</v>
      </c>
      <c r="V156" t="str">
        <f t="shared" si="8"/>
        <v>moyenne</v>
      </c>
      <c r="W156" t="str">
        <f>_xlfn.XLOOKUP(VentesMagasins!$B156,Clients!ClientID,Région)</f>
        <v>Centre</v>
      </c>
      <c r="X156" t="str">
        <f>INDEX(TypeClient,MATCH(VentesMagasins!$B156,Clients!ClientID))</f>
        <v>Nouveau</v>
      </c>
      <c r="Y156" t="str">
        <v>avr</v>
      </c>
    </row>
    <row r="157" spans="1:25" x14ac:dyDescent="0.25">
      <c r="A157" s="2">
        <v>156</v>
      </c>
      <c r="B157" s="12" t="s">
        <v>198</v>
      </c>
      <c r="C157" s="13">
        <v>45179</v>
      </c>
      <c r="D157" s="12" t="s">
        <v>350</v>
      </c>
      <c r="E157" s="14" t="s">
        <v>329</v>
      </c>
      <c r="F157" s="12" t="s">
        <v>341</v>
      </c>
      <c r="G157" s="2">
        <v>4</v>
      </c>
      <c r="H157" s="3">
        <v>359</v>
      </c>
      <c r="I157" s="14" t="s">
        <v>325</v>
      </c>
      <c r="J157" s="12" t="s">
        <v>505</v>
      </c>
      <c r="K157" s="2">
        <v>1</v>
      </c>
      <c r="L157" s="12" t="s">
        <v>352</v>
      </c>
      <c r="M157">
        <f>YEAR(VentesMagasins!$C157)</f>
        <v>2023</v>
      </c>
      <c r="N157" t="e" cm="1" vm="1">
        <f t="array" aca="1" ref="N157" ca="1">MONTH(DateVente)</f>
        <v>#VALUE!</v>
      </c>
      <c r="O157" t="str">
        <f>PROPER(VentesMagasins!$F157)</f>
        <v>Meuble</v>
      </c>
      <c r="P157">
        <f>VALUE(CLEAN(TRIM(SUBSTITUTE(VentesMagasins!$I157,".",","))))</f>
        <v>0.15</v>
      </c>
      <c r="Q157">
        <f>VALUE(TRIM(SUBSTITUTE(VentesMagasins!$J157,".",",")))</f>
        <v>1220.5999999999999</v>
      </c>
      <c r="R157">
        <f t="shared" si="6"/>
        <v>1037.51</v>
      </c>
      <c r="S157">
        <f>IF(VentesMagasins!$K157=1,(-1)*R157,R157)</f>
        <v>-1037.51</v>
      </c>
      <c r="T157">
        <f>IFERROR(VALUE(TRIM(SUBSTITUTE(VentesMagasins!$L157,".",","))),0)</f>
        <v>0</v>
      </c>
      <c r="U157">
        <f t="shared" si="7"/>
        <v>3</v>
      </c>
      <c r="V157" t="str">
        <f t="shared" si="8"/>
        <v>moyenne</v>
      </c>
      <c r="W157" t="str">
        <f>_xlfn.XLOOKUP(VentesMagasins!$B157,Clients!ClientID,Région)</f>
        <v>Nord</v>
      </c>
      <c r="X157" t="str">
        <f>INDEX(TypeClient,MATCH(VentesMagasins!$B157,Clients!ClientID))</f>
        <v>Fidèle</v>
      </c>
      <c r="Y157" t="str">
        <v>sept</v>
      </c>
    </row>
    <row r="158" spans="1:25" x14ac:dyDescent="0.25">
      <c r="A158" s="2">
        <v>157</v>
      </c>
      <c r="B158" s="12" t="s">
        <v>239</v>
      </c>
      <c r="C158" s="13">
        <v>45038</v>
      </c>
      <c r="D158" s="12" t="s">
        <v>328</v>
      </c>
      <c r="E158" s="14" t="s">
        <v>364</v>
      </c>
      <c r="F158" s="12" t="s">
        <v>341</v>
      </c>
      <c r="G158" s="2">
        <v>1</v>
      </c>
      <c r="H158" s="3">
        <v>256</v>
      </c>
      <c r="I158" s="14" t="s">
        <v>342</v>
      </c>
      <c r="J158" s="12" t="s">
        <v>506</v>
      </c>
      <c r="K158" s="2">
        <v>0</v>
      </c>
      <c r="L158" s="12" t="s">
        <v>352</v>
      </c>
      <c r="M158">
        <f>YEAR(VentesMagasins!$C158)</f>
        <v>2023</v>
      </c>
      <c r="N158" t="e" cm="1" vm="1">
        <f t="array" aca="1" ref="N158" ca="1">MONTH(DateVente)</f>
        <v>#VALUE!</v>
      </c>
      <c r="O158" t="str">
        <f>PROPER(VentesMagasins!$F158)</f>
        <v>Meuble</v>
      </c>
      <c r="P158">
        <f>VALUE(CLEAN(TRIM(SUBSTITUTE(VentesMagasins!$I158,".",","))))</f>
        <v>0.05</v>
      </c>
      <c r="Q158">
        <f>VALUE(TRIM(SUBSTITUTE(VentesMagasins!$J158,".",",")))</f>
        <v>243.2</v>
      </c>
      <c r="R158">
        <f t="shared" si="6"/>
        <v>231.04</v>
      </c>
      <c r="S158">
        <f>IF(VentesMagasins!$K158=1,(-1)*R158,R158)</f>
        <v>231.04</v>
      </c>
      <c r="T158">
        <f>IFERROR(VALUE(TRIM(SUBSTITUTE(VentesMagasins!$L158,".",","))),0)</f>
        <v>0</v>
      </c>
      <c r="U158">
        <f t="shared" si="7"/>
        <v>3</v>
      </c>
      <c r="V158" t="str">
        <f t="shared" si="8"/>
        <v>moyenne</v>
      </c>
      <c r="W158" t="str">
        <f>_xlfn.XLOOKUP(VentesMagasins!$B158,Clients!ClientID,Région)</f>
        <v>Centre</v>
      </c>
      <c r="X158" t="str">
        <f>INDEX(TypeClient,MATCH(VentesMagasins!$B158,Clients!ClientID))</f>
        <v>Fidèle</v>
      </c>
      <c r="Y158" t="str">
        <v>avr</v>
      </c>
    </row>
    <row r="159" spans="1:25" x14ac:dyDescent="0.25">
      <c r="A159" s="2">
        <v>158</v>
      </c>
      <c r="B159" s="12" t="s">
        <v>104</v>
      </c>
      <c r="C159" s="13">
        <v>45487</v>
      </c>
      <c r="D159" s="12" t="s">
        <v>328</v>
      </c>
      <c r="E159" s="14" t="s">
        <v>329</v>
      </c>
      <c r="F159" s="12" t="s">
        <v>324</v>
      </c>
      <c r="G159" s="2">
        <v>3</v>
      </c>
      <c r="H159" s="3">
        <v>264</v>
      </c>
      <c r="I159" s="14" t="s">
        <v>335</v>
      </c>
      <c r="J159" s="12" t="s">
        <v>507</v>
      </c>
      <c r="K159" s="2">
        <v>0</v>
      </c>
      <c r="L159" s="12" t="s">
        <v>352</v>
      </c>
      <c r="M159">
        <f>YEAR(VentesMagasins!$C159)</f>
        <v>2024</v>
      </c>
      <c r="N159" t="e" cm="1" vm="1">
        <f t="array" aca="1" ref="N159" ca="1">MONTH(DateVente)</f>
        <v>#VALUE!</v>
      </c>
      <c r="O159" t="str">
        <f>PROPER(VentesMagasins!$F159)</f>
        <v>Électronique</v>
      </c>
      <c r="P159">
        <f>VALUE(CLEAN(TRIM(SUBSTITUTE(VentesMagasins!$I159,".",","))))</f>
        <v>0</v>
      </c>
      <c r="Q159">
        <f>VALUE(TRIM(SUBSTITUTE(VentesMagasins!$J159,".",",")))</f>
        <v>792</v>
      </c>
      <c r="R159">
        <f t="shared" si="6"/>
        <v>792</v>
      </c>
      <c r="S159">
        <f>IF(VentesMagasins!$K159=1,(-1)*R159,R159)</f>
        <v>792</v>
      </c>
      <c r="T159">
        <f>IFERROR(VALUE(TRIM(SUBSTITUTE(VentesMagasins!$L159,".",","))),0)</f>
        <v>0</v>
      </c>
      <c r="U159">
        <f t="shared" si="7"/>
        <v>3</v>
      </c>
      <c r="V159" t="str">
        <f t="shared" si="8"/>
        <v>moyenne</v>
      </c>
      <c r="W159" t="str">
        <f>_xlfn.XLOOKUP(VentesMagasins!$B159,Clients!ClientID,Région)</f>
        <v>Nord</v>
      </c>
      <c r="X159" t="str">
        <f>INDEX(TypeClient,MATCH(VentesMagasins!$B159,Clients!ClientID))</f>
        <v>Occasionnel</v>
      </c>
      <c r="Y159" t="str">
        <v>juil</v>
      </c>
    </row>
    <row r="160" spans="1:25" x14ac:dyDescent="0.25">
      <c r="A160" s="2">
        <v>159</v>
      </c>
      <c r="B160" s="12" t="s">
        <v>108</v>
      </c>
      <c r="C160" s="13">
        <v>45152</v>
      </c>
      <c r="D160" s="12" t="s">
        <v>350</v>
      </c>
      <c r="E160" s="14" t="s">
        <v>364</v>
      </c>
      <c r="F160" s="12" t="s">
        <v>324</v>
      </c>
      <c r="G160" s="2">
        <v>5</v>
      </c>
      <c r="H160" s="3">
        <v>239</v>
      </c>
      <c r="I160" s="14" t="s">
        <v>342</v>
      </c>
      <c r="J160" s="12" t="s">
        <v>508</v>
      </c>
      <c r="K160" s="2">
        <v>0</v>
      </c>
      <c r="L160" s="12" t="s">
        <v>369</v>
      </c>
      <c r="M160">
        <f>YEAR(VentesMagasins!$C160)</f>
        <v>2023</v>
      </c>
      <c r="N160" t="e" cm="1" vm="1">
        <f t="array" aca="1" ref="N160" ca="1">MONTH(DateVente)</f>
        <v>#VALUE!</v>
      </c>
      <c r="O160" t="str">
        <f>PROPER(VentesMagasins!$F160)</f>
        <v>Électronique</v>
      </c>
      <c r="P160">
        <f>VALUE(CLEAN(TRIM(SUBSTITUTE(VentesMagasins!$I160,".",","))))</f>
        <v>0.05</v>
      </c>
      <c r="Q160">
        <f>VALUE(TRIM(SUBSTITUTE(VentesMagasins!$J160,".",",")))</f>
        <v>1135.25</v>
      </c>
      <c r="R160">
        <f t="shared" si="6"/>
        <v>1078.4875</v>
      </c>
      <c r="S160">
        <f>IF(VentesMagasins!$K160=1,(-1)*R160,R160)</f>
        <v>1078.4875</v>
      </c>
      <c r="T160">
        <f>IFERROR(VALUE(TRIM(SUBSTITUTE(VentesMagasins!$L160,".",","))),0)</f>
        <v>1</v>
      </c>
      <c r="U160">
        <f t="shared" si="7"/>
        <v>1</v>
      </c>
      <c r="V160" t="str">
        <f t="shared" si="8"/>
        <v>faible</v>
      </c>
      <c r="W160" t="str">
        <f>_xlfn.XLOOKUP(VentesMagasins!$B160,Clients!ClientID,Région)</f>
        <v>Sud</v>
      </c>
      <c r="X160" t="str">
        <f>INDEX(TypeClient,MATCH(VentesMagasins!$B160,Clients!ClientID))</f>
        <v>Fidèle</v>
      </c>
      <c r="Y160" t="str">
        <v>août</v>
      </c>
    </row>
    <row r="161" spans="1:25" x14ac:dyDescent="0.25">
      <c r="A161" s="2">
        <v>160</v>
      </c>
      <c r="B161" s="12" t="s">
        <v>251</v>
      </c>
      <c r="C161" s="13">
        <v>45513</v>
      </c>
      <c r="D161" s="12" t="s">
        <v>350</v>
      </c>
      <c r="E161" s="14" t="s">
        <v>329</v>
      </c>
      <c r="F161" s="12" t="s">
        <v>330</v>
      </c>
      <c r="G161" s="2">
        <v>4</v>
      </c>
      <c r="H161" s="3">
        <v>324</v>
      </c>
      <c r="I161" s="14" t="s">
        <v>335</v>
      </c>
      <c r="J161" s="12" t="s">
        <v>509</v>
      </c>
      <c r="K161" s="2">
        <v>1</v>
      </c>
      <c r="L161" s="12" t="s">
        <v>327</v>
      </c>
      <c r="M161">
        <f>YEAR(VentesMagasins!$C161)</f>
        <v>2024</v>
      </c>
      <c r="N161" t="e" cm="1" vm="1">
        <f t="array" aca="1" ref="N161" ca="1">MONTH(DateVente)</f>
        <v>#VALUE!</v>
      </c>
      <c r="O161" t="str">
        <f>PROPER(VentesMagasins!$F161)</f>
        <v>Décoration</v>
      </c>
      <c r="P161">
        <f>VALUE(CLEAN(TRIM(SUBSTITUTE(VentesMagasins!$I161,".",","))))</f>
        <v>0</v>
      </c>
      <c r="Q161">
        <f>VALUE(TRIM(SUBSTITUTE(VentesMagasins!$J161,".",",")))</f>
        <v>1296</v>
      </c>
      <c r="R161">
        <f t="shared" si="6"/>
        <v>1296</v>
      </c>
      <c r="S161">
        <f>IF(VentesMagasins!$K161=1,(-1)*R161,R161)</f>
        <v>-1296</v>
      </c>
      <c r="T161">
        <f>IFERROR(VALUE(TRIM(SUBSTITUTE(VentesMagasins!$L161,".",","))),0)</f>
        <v>5</v>
      </c>
      <c r="U161">
        <f t="shared" si="7"/>
        <v>5</v>
      </c>
      <c r="V161" t="str">
        <f t="shared" si="8"/>
        <v>élévé</v>
      </c>
      <c r="W161" t="str">
        <f>_xlfn.XLOOKUP(VentesMagasins!$B161,Clients!ClientID,Région)</f>
        <v>Nord</v>
      </c>
      <c r="X161" t="str">
        <f>INDEX(TypeClient,MATCH(VentesMagasins!$B161,Clients!ClientID))</f>
        <v>Nouveau</v>
      </c>
      <c r="Y161" t="str">
        <v>août</v>
      </c>
    </row>
    <row r="162" spans="1:25" x14ac:dyDescent="0.25">
      <c r="A162" s="2">
        <v>161</v>
      </c>
      <c r="B162" s="12" t="s">
        <v>306</v>
      </c>
      <c r="C162" s="13">
        <v>46010</v>
      </c>
      <c r="D162" s="12" t="s">
        <v>338</v>
      </c>
      <c r="E162" s="14" t="s">
        <v>339</v>
      </c>
      <c r="F162" s="12" t="s">
        <v>341</v>
      </c>
      <c r="G162" s="2">
        <v>2</v>
      </c>
      <c r="H162" s="3">
        <v>354</v>
      </c>
      <c r="I162" s="14" t="s">
        <v>335</v>
      </c>
      <c r="J162" s="12" t="s">
        <v>510</v>
      </c>
      <c r="K162" s="2">
        <v>0</v>
      </c>
      <c r="L162" s="12" t="s">
        <v>332</v>
      </c>
      <c r="M162">
        <f>YEAR(VentesMagasins!$C162)</f>
        <v>2025</v>
      </c>
      <c r="N162" t="e" cm="1" vm="1">
        <f t="array" aca="1" ref="N162" ca="1">MONTH(DateVente)</f>
        <v>#VALUE!</v>
      </c>
      <c r="O162" t="str">
        <f>PROPER(VentesMagasins!$F162)</f>
        <v>Meuble</v>
      </c>
      <c r="P162">
        <f>VALUE(CLEAN(TRIM(SUBSTITUTE(VentesMagasins!$I162,".",","))))</f>
        <v>0</v>
      </c>
      <c r="Q162">
        <f>VALUE(TRIM(SUBSTITUTE(VentesMagasins!$J162,".",",")))</f>
        <v>708</v>
      </c>
      <c r="R162">
        <f t="shared" si="6"/>
        <v>708</v>
      </c>
      <c r="S162">
        <f>IF(VentesMagasins!$K162=1,(-1)*R162,R162)</f>
        <v>708</v>
      </c>
      <c r="T162">
        <f>IFERROR(VALUE(TRIM(SUBSTITUTE(VentesMagasins!$L162,".",","))),0)</f>
        <v>4</v>
      </c>
      <c r="U162">
        <f t="shared" si="7"/>
        <v>4</v>
      </c>
      <c r="V162" t="str">
        <f t="shared" si="8"/>
        <v>moyenne</v>
      </c>
      <c r="W162" t="str">
        <f>_xlfn.XLOOKUP(VentesMagasins!$B162,Clients!ClientID,Région)</f>
        <v>Sud</v>
      </c>
      <c r="X162" t="str">
        <f>INDEX(TypeClient,MATCH(VentesMagasins!$B162,Clients!ClientID))</f>
        <v>Nouveau</v>
      </c>
      <c r="Y162" t="str">
        <v>déc</v>
      </c>
    </row>
    <row r="163" spans="1:25" x14ac:dyDescent="0.25">
      <c r="A163" s="2">
        <v>162</v>
      </c>
      <c r="B163" s="12" t="s">
        <v>256</v>
      </c>
      <c r="C163" s="13">
        <v>45316</v>
      </c>
      <c r="D163" s="12" t="s">
        <v>350</v>
      </c>
      <c r="E163" s="14" t="s">
        <v>362</v>
      </c>
      <c r="F163" s="12" t="s">
        <v>324</v>
      </c>
      <c r="G163" s="2">
        <v>1</v>
      </c>
      <c r="H163" s="3">
        <v>352</v>
      </c>
      <c r="I163" s="14" t="s">
        <v>335</v>
      </c>
      <c r="J163" s="12" t="s">
        <v>511</v>
      </c>
      <c r="K163" s="2">
        <v>0</v>
      </c>
      <c r="L163" s="12" t="s">
        <v>337</v>
      </c>
      <c r="M163">
        <f>YEAR(VentesMagasins!$C163)</f>
        <v>2024</v>
      </c>
      <c r="N163" t="e" cm="1" vm="1">
        <f t="array" aca="1" ref="N163" ca="1">MONTH(DateVente)</f>
        <v>#VALUE!</v>
      </c>
      <c r="O163" t="str">
        <f>PROPER(VentesMagasins!$F163)</f>
        <v>Électronique</v>
      </c>
      <c r="P163">
        <f>VALUE(CLEAN(TRIM(SUBSTITUTE(VentesMagasins!$I163,".",","))))</f>
        <v>0</v>
      </c>
      <c r="Q163">
        <f>VALUE(TRIM(SUBSTITUTE(VentesMagasins!$J163,".",",")))</f>
        <v>352</v>
      </c>
      <c r="R163">
        <f t="shared" si="6"/>
        <v>352</v>
      </c>
      <c r="S163">
        <f>IF(VentesMagasins!$K163=1,(-1)*R163,R163)</f>
        <v>352</v>
      </c>
      <c r="T163">
        <f>IFERROR(VALUE(TRIM(SUBSTITUTE(VentesMagasins!$L163,".",","))),0)</f>
        <v>3</v>
      </c>
      <c r="U163">
        <f t="shared" si="7"/>
        <v>3</v>
      </c>
      <c r="V163" t="str">
        <f t="shared" si="8"/>
        <v>moyenne</v>
      </c>
      <c r="W163" t="str">
        <f>_xlfn.XLOOKUP(VentesMagasins!$B163,Clients!ClientID,Région)</f>
        <v>Sud</v>
      </c>
      <c r="X163" t="str">
        <f>INDEX(TypeClient,MATCH(VentesMagasins!$B163,Clients!ClientID))</f>
        <v>Occasionnel</v>
      </c>
      <c r="Y163" t="str">
        <v>janv</v>
      </c>
    </row>
    <row r="164" spans="1:25" x14ac:dyDescent="0.25">
      <c r="A164" s="2">
        <v>163</v>
      </c>
      <c r="B164" s="12" t="s">
        <v>139</v>
      </c>
      <c r="C164" s="13">
        <v>45691</v>
      </c>
      <c r="D164" s="12" t="s">
        <v>338</v>
      </c>
      <c r="E164" s="14" t="s">
        <v>323</v>
      </c>
      <c r="F164" s="12" t="s">
        <v>330</v>
      </c>
      <c r="G164" s="2">
        <v>2</v>
      </c>
      <c r="H164" s="3">
        <v>325</v>
      </c>
      <c r="I164" s="14" t="s">
        <v>335</v>
      </c>
      <c r="J164" s="12" t="s">
        <v>512</v>
      </c>
      <c r="K164" s="2">
        <v>0</v>
      </c>
      <c r="L164" s="12" t="s">
        <v>327</v>
      </c>
      <c r="M164">
        <f>YEAR(VentesMagasins!$C164)</f>
        <v>2025</v>
      </c>
      <c r="N164" t="e" cm="1" vm="1">
        <f t="array" aca="1" ref="N164" ca="1">MONTH(DateVente)</f>
        <v>#VALUE!</v>
      </c>
      <c r="O164" t="str">
        <f>PROPER(VentesMagasins!$F164)</f>
        <v>Décoration</v>
      </c>
      <c r="P164">
        <f>VALUE(CLEAN(TRIM(SUBSTITUTE(VentesMagasins!$I164,".",","))))</f>
        <v>0</v>
      </c>
      <c r="Q164">
        <f>VALUE(TRIM(SUBSTITUTE(VentesMagasins!$J164,".",",")))</f>
        <v>650</v>
      </c>
      <c r="R164">
        <f t="shared" si="6"/>
        <v>650</v>
      </c>
      <c r="S164">
        <f>IF(VentesMagasins!$K164=1,(-1)*R164,R164)</f>
        <v>650</v>
      </c>
      <c r="T164">
        <f>IFERROR(VALUE(TRIM(SUBSTITUTE(VentesMagasins!$L164,".",","))),0)</f>
        <v>5</v>
      </c>
      <c r="U164">
        <f t="shared" si="7"/>
        <v>5</v>
      </c>
      <c r="V164" t="str">
        <f t="shared" si="8"/>
        <v>élévé</v>
      </c>
      <c r="W164" t="str">
        <f>_xlfn.XLOOKUP(VentesMagasins!$B164,Clients!ClientID,Région)</f>
        <v>Sud</v>
      </c>
      <c r="X164" t="str">
        <f>INDEX(TypeClient,MATCH(VentesMagasins!$B164,Clients!ClientID))</f>
        <v>Nouveau</v>
      </c>
      <c r="Y164" t="str">
        <v>févr</v>
      </c>
    </row>
    <row r="165" spans="1:25" x14ac:dyDescent="0.25">
      <c r="A165" s="2">
        <v>164</v>
      </c>
      <c r="B165" s="12" t="s">
        <v>86</v>
      </c>
      <c r="C165" s="13">
        <v>45879</v>
      </c>
      <c r="D165" s="12" t="s">
        <v>333</v>
      </c>
      <c r="E165" s="14" t="s">
        <v>348</v>
      </c>
      <c r="F165" s="12" t="s">
        <v>330</v>
      </c>
      <c r="G165" s="2">
        <v>3</v>
      </c>
      <c r="H165" s="3">
        <v>283</v>
      </c>
      <c r="I165" s="14" t="s">
        <v>355</v>
      </c>
      <c r="J165" s="12" t="s">
        <v>513</v>
      </c>
      <c r="K165" s="2">
        <v>1</v>
      </c>
      <c r="L165" s="12" t="s">
        <v>344</v>
      </c>
      <c r="M165">
        <f>YEAR(VentesMagasins!$C165)</f>
        <v>2025</v>
      </c>
      <c r="N165" t="e" cm="1" vm="1">
        <f t="array" aca="1" ref="N165" ca="1">MONTH(DateVente)</f>
        <v>#VALUE!</v>
      </c>
      <c r="O165" t="str">
        <f>PROPER(VentesMagasins!$F165)</f>
        <v>Décoration</v>
      </c>
      <c r="P165">
        <f>VALUE(CLEAN(TRIM(SUBSTITUTE(VentesMagasins!$I165,".",","))))</f>
        <v>0.1</v>
      </c>
      <c r="Q165">
        <f>VALUE(TRIM(SUBSTITUTE(VentesMagasins!$J165,".",",")))</f>
        <v>764.1</v>
      </c>
      <c r="R165">
        <f t="shared" si="6"/>
        <v>687.69</v>
      </c>
      <c r="S165">
        <f>IF(VentesMagasins!$K165=1,(-1)*R165,R165)</f>
        <v>-687.69</v>
      </c>
      <c r="T165">
        <f>IFERROR(VALUE(TRIM(SUBSTITUTE(VentesMagasins!$L165,".",","))),0)</f>
        <v>2</v>
      </c>
      <c r="U165">
        <f t="shared" si="7"/>
        <v>2</v>
      </c>
      <c r="V165" t="str">
        <f t="shared" si="8"/>
        <v>faible</v>
      </c>
      <c r="W165" t="str">
        <f>_xlfn.XLOOKUP(VentesMagasins!$B165,Clients!ClientID,Région)</f>
        <v>Sud</v>
      </c>
      <c r="X165" t="str">
        <f>INDEX(TypeClient,MATCH(VentesMagasins!$B165,Clients!ClientID))</f>
        <v>Nouveau</v>
      </c>
      <c r="Y165" t="str">
        <v>août</v>
      </c>
    </row>
    <row r="166" spans="1:25" x14ac:dyDescent="0.25">
      <c r="A166" s="2">
        <v>165</v>
      </c>
      <c r="B166" s="12" t="s">
        <v>296</v>
      </c>
      <c r="C166" s="13">
        <v>44990</v>
      </c>
      <c r="D166" s="12" t="s">
        <v>338</v>
      </c>
      <c r="E166" s="14" t="s">
        <v>364</v>
      </c>
      <c r="F166" s="12" t="s">
        <v>330</v>
      </c>
      <c r="G166" s="2">
        <v>1</v>
      </c>
      <c r="H166" s="3">
        <v>130</v>
      </c>
      <c r="I166" s="14" t="s">
        <v>325</v>
      </c>
      <c r="J166" s="12" t="s">
        <v>514</v>
      </c>
      <c r="K166" s="2">
        <v>0</v>
      </c>
      <c r="L166" s="12" t="s">
        <v>337</v>
      </c>
      <c r="M166">
        <f>YEAR(VentesMagasins!$C166)</f>
        <v>2023</v>
      </c>
      <c r="N166" t="e" cm="1" vm="1">
        <f t="array" aca="1" ref="N166" ca="1">MONTH(DateVente)</f>
        <v>#VALUE!</v>
      </c>
      <c r="O166" t="str">
        <f>PROPER(VentesMagasins!$F166)</f>
        <v>Décoration</v>
      </c>
      <c r="P166">
        <f>VALUE(CLEAN(TRIM(SUBSTITUTE(VentesMagasins!$I166,".",","))))</f>
        <v>0.15</v>
      </c>
      <c r="Q166">
        <f>VALUE(TRIM(SUBSTITUTE(VentesMagasins!$J166,".",",")))</f>
        <v>110.5</v>
      </c>
      <c r="R166">
        <f t="shared" si="6"/>
        <v>93.924999999999997</v>
      </c>
      <c r="S166">
        <f>IF(VentesMagasins!$K166=1,(-1)*R166,R166)</f>
        <v>93.924999999999997</v>
      </c>
      <c r="T166">
        <f>IFERROR(VALUE(TRIM(SUBSTITUTE(VentesMagasins!$L166,".",","))),0)</f>
        <v>3</v>
      </c>
      <c r="U166">
        <f t="shared" si="7"/>
        <v>3</v>
      </c>
      <c r="V166" t="str">
        <f t="shared" si="8"/>
        <v>moyenne</v>
      </c>
      <c r="W166" t="str">
        <f>_xlfn.XLOOKUP(VentesMagasins!$B166,Clients!ClientID,Région)</f>
        <v>Ouest</v>
      </c>
      <c r="X166" t="str">
        <f>INDEX(TypeClient,MATCH(VentesMagasins!$B166,Clients!ClientID))</f>
        <v>Fidèle</v>
      </c>
      <c r="Y166" t="str">
        <v>mars</v>
      </c>
    </row>
    <row r="167" spans="1:25" x14ac:dyDescent="0.25">
      <c r="A167" s="2">
        <v>166</v>
      </c>
      <c r="B167" s="12" t="s">
        <v>45</v>
      </c>
      <c r="C167" s="13">
        <v>45825</v>
      </c>
      <c r="D167" s="12" t="s">
        <v>328</v>
      </c>
      <c r="E167" s="14" t="s">
        <v>339</v>
      </c>
      <c r="F167" s="12" t="s">
        <v>341</v>
      </c>
      <c r="G167" s="2">
        <v>4</v>
      </c>
      <c r="H167" s="3">
        <v>493</v>
      </c>
      <c r="I167" s="14" t="s">
        <v>335</v>
      </c>
      <c r="J167" s="12" t="s">
        <v>515</v>
      </c>
      <c r="K167" s="2">
        <v>0</v>
      </c>
      <c r="L167" s="12" t="s">
        <v>344</v>
      </c>
      <c r="M167">
        <f>YEAR(VentesMagasins!$C167)</f>
        <v>2025</v>
      </c>
      <c r="N167" t="e" cm="1" vm="1">
        <f t="array" aca="1" ref="N167" ca="1">MONTH(DateVente)</f>
        <v>#VALUE!</v>
      </c>
      <c r="O167" t="str">
        <f>PROPER(VentesMagasins!$F167)</f>
        <v>Meuble</v>
      </c>
      <c r="P167">
        <f>VALUE(CLEAN(TRIM(SUBSTITUTE(VentesMagasins!$I167,".",","))))</f>
        <v>0</v>
      </c>
      <c r="Q167">
        <f>VALUE(TRIM(SUBSTITUTE(VentesMagasins!$J167,".",",")))</f>
        <v>1972</v>
      </c>
      <c r="R167">
        <f t="shared" si="6"/>
        <v>1972</v>
      </c>
      <c r="S167">
        <f>IF(VentesMagasins!$K167=1,(-1)*R167,R167)</f>
        <v>1972</v>
      </c>
      <c r="T167">
        <f>IFERROR(VALUE(TRIM(SUBSTITUTE(VentesMagasins!$L167,".",","))),0)</f>
        <v>2</v>
      </c>
      <c r="U167">
        <f t="shared" si="7"/>
        <v>2</v>
      </c>
      <c r="V167" t="str">
        <f t="shared" si="8"/>
        <v>faible</v>
      </c>
      <c r="W167" t="str">
        <f>_xlfn.XLOOKUP(VentesMagasins!$B167,Clients!ClientID,Région)</f>
        <v>Nord</v>
      </c>
      <c r="X167" t="str">
        <f>INDEX(TypeClient,MATCH(VentesMagasins!$B167,Clients!ClientID))</f>
        <v>Fidèle</v>
      </c>
      <c r="Y167" t="str">
        <v>juin</v>
      </c>
    </row>
    <row r="168" spans="1:25" x14ac:dyDescent="0.25">
      <c r="A168" s="2">
        <v>167</v>
      </c>
      <c r="B168" s="12" t="s">
        <v>263</v>
      </c>
      <c r="C168" s="13">
        <v>45870</v>
      </c>
      <c r="D168" s="12" t="s">
        <v>333</v>
      </c>
      <c r="E168" s="14" t="s">
        <v>362</v>
      </c>
      <c r="F168" s="12" t="s">
        <v>341</v>
      </c>
      <c r="G168" s="2">
        <v>2</v>
      </c>
      <c r="H168" s="3">
        <v>294</v>
      </c>
      <c r="I168" s="14" t="s">
        <v>335</v>
      </c>
      <c r="J168" s="12" t="s">
        <v>516</v>
      </c>
      <c r="K168" s="2">
        <v>1</v>
      </c>
      <c r="L168" s="12" t="s">
        <v>332</v>
      </c>
      <c r="M168">
        <f>YEAR(VentesMagasins!$C168)</f>
        <v>2025</v>
      </c>
      <c r="N168" t="e" cm="1" vm="1">
        <f t="array" aca="1" ref="N168" ca="1">MONTH(DateVente)</f>
        <v>#VALUE!</v>
      </c>
      <c r="O168" t="str">
        <f>PROPER(VentesMagasins!$F168)</f>
        <v>Meuble</v>
      </c>
      <c r="P168">
        <f>VALUE(CLEAN(TRIM(SUBSTITUTE(VentesMagasins!$I168,".",","))))</f>
        <v>0</v>
      </c>
      <c r="Q168">
        <f>VALUE(TRIM(SUBSTITUTE(VentesMagasins!$J168,".",",")))</f>
        <v>588</v>
      </c>
      <c r="R168">
        <f t="shared" si="6"/>
        <v>588</v>
      </c>
      <c r="S168">
        <f>IF(VentesMagasins!$K168=1,(-1)*R168,R168)</f>
        <v>-588</v>
      </c>
      <c r="T168">
        <f>IFERROR(VALUE(TRIM(SUBSTITUTE(VentesMagasins!$L168,".",","))),0)</f>
        <v>4</v>
      </c>
      <c r="U168">
        <f t="shared" si="7"/>
        <v>4</v>
      </c>
      <c r="V168" t="str">
        <f t="shared" si="8"/>
        <v>moyenne</v>
      </c>
      <c r="W168" t="str">
        <f>_xlfn.XLOOKUP(VentesMagasins!$B168,Clients!ClientID,Région)</f>
        <v>Est</v>
      </c>
      <c r="X168" t="str">
        <f>INDEX(TypeClient,MATCH(VentesMagasins!$B168,Clients!ClientID))</f>
        <v>Nouveau</v>
      </c>
      <c r="Y168" t="str">
        <v>août</v>
      </c>
    </row>
    <row r="169" spans="1:25" x14ac:dyDescent="0.25">
      <c r="A169" s="2">
        <v>168</v>
      </c>
      <c r="B169" s="12" t="s">
        <v>79</v>
      </c>
      <c r="C169" s="13">
        <v>45197</v>
      </c>
      <c r="D169" s="12" t="s">
        <v>333</v>
      </c>
      <c r="E169" s="14" t="s">
        <v>362</v>
      </c>
      <c r="F169" s="12" t="s">
        <v>324</v>
      </c>
      <c r="G169" s="2">
        <v>3</v>
      </c>
      <c r="H169" s="3">
        <v>312</v>
      </c>
      <c r="I169" s="14" t="s">
        <v>355</v>
      </c>
      <c r="J169" s="12" t="s">
        <v>517</v>
      </c>
      <c r="K169" s="2">
        <v>1</v>
      </c>
      <c r="L169" s="12" t="s">
        <v>352</v>
      </c>
      <c r="M169">
        <f>YEAR(VentesMagasins!$C169)</f>
        <v>2023</v>
      </c>
      <c r="N169" t="e" cm="1" vm="1">
        <f t="array" aca="1" ref="N169" ca="1">MONTH(DateVente)</f>
        <v>#VALUE!</v>
      </c>
      <c r="O169" t="str">
        <f>PROPER(VentesMagasins!$F169)</f>
        <v>Électronique</v>
      </c>
      <c r="P169">
        <f>VALUE(CLEAN(TRIM(SUBSTITUTE(VentesMagasins!$I169,".",","))))</f>
        <v>0.1</v>
      </c>
      <c r="Q169">
        <f>VALUE(TRIM(SUBSTITUTE(VentesMagasins!$J169,".",",")))</f>
        <v>842.4</v>
      </c>
      <c r="R169">
        <f t="shared" si="6"/>
        <v>758.16</v>
      </c>
      <c r="S169">
        <f>IF(VentesMagasins!$K169=1,(-1)*R169,R169)</f>
        <v>-758.16</v>
      </c>
      <c r="T169">
        <f>IFERROR(VALUE(TRIM(SUBSTITUTE(VentesMagasins!$L169,".",","))),0)</f>
        <v>0</v>
      </c>
      <c r="U169">
        <f t="shared" si="7"/>
        <v>3</v>
      </c>
      <c r="V169" t="str">
        <f t="shared" si="8"/>
        <v>moyenne</v>
      </c>
      <c r="W169" t="str">
        <f>_xlfn.XLOOKUP(VentesMagasins!$B169,Clients!ClientID,Région)</f>
        <v>Ouest</v>
      </c>
      <c r="X169" t="str">
        <f>INDEX(TypeClient,MATCH(VentesMagasins!$B169,Clients!ClientID))</f>
        <v>Occasionnel</v>
      </c>
      <c r="Y169" t="str">
        <v>sept</v>
      </c>
    </row>
    <row r="170" spans="1:25" x14ac:dyDescent="0.25">
      <c r="A170" s="2">
        <v>169</v>
      </c>
      <c r="B170" s="12" t="s">
        <v>292</v>
      </c>
      <c r="C170" s="13">
        <v>45595</v>
      </c>
      <c r="D170" s="12" t="s">
        <v>350</v>
      </c>
      <c r="E170" s="14" t="s">
        <v>329</v>
      </c>
      <c r="F170" s="12" t="s">
        <v>341</v>
      </c>
      <c r="G170" s="2">
        <v>2</v>
      </c>
      <c r="H170" s="3">
        <v>103</v>
      </c>
      <c r="I170" s="14" t="s">
        <v>335</v>
      </c>
      <c r="J170" s="12" t="s">
        <v>518</v>
      </c>
      <c r="K170" s="2">
        <v>1</v>
      </c>
      <c r="L170" s="12" t="s">
        <v>337</v>
      </c>
      <c r="M170">
        <f>YEAR(VentesMagasins!$C170)</f>
        <v>2024</v>
      </c>
      <c r="N170" t="e" cm="1" vm="1">
        <f t="array" aca="1" ref="N170" ca="1">MONTH(DateVente)</f>
        <v>#VALUE!</v>
      </c>
      <c r="O170" t="str">
        <f>PROPER(VentesMagasins!$F170)</f>
        <v>Meuble</v>
      </c>
      <c r="P170">
        <f>VALUE(CLEAN(TRIM(SUBSTITUTE(VentesMagasins!$I170,".",","))))</f>
        <v>0</v>
      </c>
      <c r="Q170">
        <f>VALUE(TRIM(SUBSTITUTE(VentesMagasins!$J170,".",",")))</f>
        <v>206</v>
      </c>
      <c r="R170">
        <f t="shared" si="6"/>
        <v>206</v>
      </c>
      <c r="S170">
        <f>IF(VentesMagasins!$K170=1,(-1)*R170,R170)</f>
        <v>-206</v>
      </c>
      <c r="T170">
        <f>IFERROR(VALUE(TRIM(SUBSTITUTE(VentesMagasins!$L170,".",","))),0)</f>
        <v>3</v>
      </c>
      <c r="U170">
        <f t="shared" si="7"/>
        <v>3</v>
      </c>
      <c r="V170" t="str">
        <f t="shared" si="8"/>
        <v>moyenne</v>
      </c>
      <c r="W170" t="str">
        <f>_xlfn.XLOOKUP(VentesMagasins!$B170,Clients!ClientID,Région)</f>
        <v>Ouest</v>
      </c>
      <c r="X170" t="str">
        <f>INDEX(TypeClient,MATCH(VentesMagasins!$B170,Clients!ClientID))</f>
        <v>Nouveau</v>
      </c>
      <c r="Y170" t="str">
        <v>oct</v>
      </c>
    </row>
    <row r="171" spans="1:25" x14ac:dyDescent="0.25">
      <c r="A171" s="2">
        <v>170</v>
      </c>
      <c r="B171" s="12" t="s">
        <v>256</v>
      </c>
      <c r="C171" s="13">
        <v>45404</v>
      </c>
      <c r="D171" s="12" t="s">
        <v>338</v>
      </c>
      <c r="E171" s="14" t="s">
        <v>323</v>
      </c>
      <c r="F171" s="12" t="s">
        <v>341</v>
      </c>
      <c r="G171" s="2">
        <v>3</v>
      </c>
      <c r="H171" s="3">
        <v>454</v>
      </c>
      <c r="I171" s="14" t="s">
        <v>325</v>
      </c>
      <c r="J171" s="12" t="s">
        <v>519</v>
      </c>
      <c r="K171" s="2">
        <v>0</v>
      </c>
      <c r="L171" s="12" t="s">
        <v>369</v>
      </c>
      <c r="M171">
        <f>YEAR(VentesMagasins!$C171)</f>
        <v>2024</v>
      </c>
      <c r="N171" t="e" cm="1" vm="1">
        <f t="array" aca="1" ref="N171" ca="1">MONTH(DateVente)</f>
        <v>#VALUE!</v>
      </c>
      <c r="O171" t="str">
        <f>PROPER(VentesMagasins!$F171)</f>
        <v>Meuble</v>
      </c>
      <c r="P171">
        <f>VALUE(CLEAN(TRIM(SUBSTITUTE(VentesMagasins!$I171,".",","))))</f>
        <v>0.15</v>
      </c>
      <c r="Q171">
        <f>VALUE(TRIM(SUBSTITUTE(VentesMagasins!$J171,".",",")))</f>
        <v>1157.7</v>
      </c>
      <c r="R171">
        <f t="shared" si="6"/>
        <v>984.04499999999996</v>
      </c>
      <c r="S171">
        <f>IF(VentesMagasins!$K171=1,(-1)*R171,R171)</f>
        <v>984.04499999999996</v>
      </c>
      <c r="T171">
        <f>IFERROR(VALUE(TRIM(SUBSTITUTE(VentesMagasins!$L171,".",","))),0)</f>
        <v>1</v>
      </c>
      <c r="U171">
        <f t="shared" si="7"/>
        <v>1</v>
      </c>
      <c r="V171" t="str">
        <f t="shared" si="8"/>
        <v>faible</v>
      </c>
      <c r="W171" t="str">
        <f>_xlfn.XLOOKUP(VentesMagasins!$B171,Clients!ClientID,Région)</f>
        <v>Sud</v>
      </c>
      <c r="X171" t="str">
        <f>INDEX(TypeClient,MATCH(VentesMagasins!$B171,Clients!ClientID))</f>
        <v>Occasionnel</v>
      </c>
      <c r="Y171" t="str">
        <v>avr</v>
      </c>
    </row>
    <row r="172" spans="1:25" x14ac:dyDescent="0.25">
      <c r="A172" s="2">
        <v>171</v>
      </c>
      <c r="B172" s="12" t="s">
        <v>39</v>
      </c>
      <c r="C172" s="13">
        <v>45015</v>
      </c>
      <c r="D172" s="12" t="s">
        <v>350</v>
      </c>
      <c r="E172" s="14" t="s">
        <v>362</v>
      </c>
      <c r="F172" s="12" t="s">
        <v>341</v>
      </c>
      <c r="G172" s="2">
        <v>5</v>
      </c>
      <c r="H172" s="3">
        <v>279</v>
      </c>
      <c r="I172" s="14" t="s">
        <v>355</v>
      </c>
      <c r="J172" s="12" t="s">
        <v>520</v>
      </c>
      <c r="K172" s="2">
        <v>1</v>
      </c>
      <c r="L172" s="12" t="s">
        <v>332</v>
      </c>
      <c r="M172">
        <f>YEAR(VentesMagasins!$C172)</f>
        <v>2023</v>
      </c>
      <c r="N172" t="e" cm="1" vm="1">
        <f t="array" aca="1" ref="N172" ca="1">MONTH(DateVente)</f>
        <v>#VALUE!</v>
      </c>
      <c r="O172" t="str">
        <f>PROPER(VentesMagasins!$F172)</f>
        <v>Meuble</v>
      </c>
      <c r="P172">
        <f>VALUE(CLEAN(TRIM(SUBSTITUTE(VentesMagasins!$I172,".",","))))</f>
        <v>0.1</v>
      </c>
      <c r="Q172">
        <f>VALUE(TRIM(SUBSTITUTE(VentesMagasins!$J172,".",",")))</f>
        <v>1255.5</v>
      </c>
      <c r="R172">
        <f t="shared" si="6"/>
        <v>1129.95</v>
      </c>
      <c r="S172">
        <f>IF(VentesMagasins!$K172=1,(-1)*R172,R172)</f>
        <v>-1129.95</v>
      </c>
      <c r="T172">
        <f>IFERROR(VALUE(TRIM(SUBSTITUTE(VentesMagasins!$L172,".",","))),0)</f>
        <v>4</v>
      </c>
      <c r="U172">
        <f t="shared" si="7"/>
        <v>4</v>
      </c>
      <c r="V172" t="str">
        <f t="shared" si="8"/>
        <v>moyenne</v>
      </c>
      <c r="W172" t="str">
        <f>_xlfn.XLOOKUP(VentesMagasins!$B172,Clients!ClientID,Région)</f>
        <v>Nord</v>
      </c>
      <c r="X172" t="str">
        <f>INDEX(TypeClient,MATCH(VentesMagasins!$B172,Clients!ClientID))</f>
        <v>Nouveau</v>
      </c>
      <c r="Y172" t="str">
        <v>mars</v>
      </c>
    </row>
    <row r="173" spans="1:25" x14ac:dyDescent="0.25">
      <c r="A173" s="2">
        <v>172</v>
      </c>
      <c r="B173" s="12" t="s">
        <v>111</v>
      </c>
      <c r="C173" s="13">
        <v>44941</v>
      </c>
      <c r="D173" s="12" t="s">
        <v>333</v>
      </c>
      <c r="E173" s="14" t="s">
        <v>339</v>
      </c>
      <c r="F173" s="12" t="s">
        <v>341</v>
      </c>
      <c r="G173" s="2">
        <v>3</v>
      </c>
      <c r="H173" s="3">
        <v>233</v>
      </c>
      <c r="I173" s="14" t="s">
        <v>335</v>
      </c>
      <c r="J173" s="12" t="s">
        <v>521</v>
      </c>
      <c r="K173" s="2">
        <v>0</v>
      </c>
      <c r="L173" s="12" t="s">
        <v>369</v>
      </c>
      <c r="M173">
        <f>YEAR(VentesMagasins!$C173)</f>
        <v>2023</v>
      </c>
      <c r="N173" t="e" cm="1" vm="1">
        <f t="array" aca="1" ref="N173" ca="1">MONTH(DateVente)</f>
        <v>#VALUE!</v>
      </c>
      <c r="O173" t="str">
        <f>PROPER(VentesMagasins!$F173)</f>
        <v>Meuble</v>
      </c>
      <c r="P173">
        <f>VALUE(CLEAN(TRIM(SUBSTITUTE(VentesMagasins!$I173,".",","))))</f>
        <v>0</v>
      </c>
      <c r="Q173">
        <f>VALUE(TRIM(SUBSTITUTE(VentesMagasins!$J173,".",",")))</f>
        <v>699</v>
      </c>
      <c r="R173">
        <f t="shared" si="6"/>
        <v>699</v>
      </c>
      <c r="S173">
        <f>IF(VentesMagasins!$K173=1,(-1)*R173,R173)</f>
        <v>699</v>
      </c>
      <c r="T173">
        <f>IFERROR(VALUE(TRIM(SUBSTITUTE(VentesMagasins!$L173,".",","))),0)</f>
        <v>1</v>
      </c>
      <c r="U173">
        <f t="shared" si="7"/>
        <v>1</v>
      </c>
      <c r="V173" t="str">
        <f t="shared" si="8"/>
        <v>faible</v>
      </c>
      <c r="W173" t="str">
        <f>_xlfn.XLOOKUP(VentesMagasins!$B173,Clients!ClientID,Région)</f>
        <v>Nord</v>
      </c>
      <c r="X173" t="str">
        <f>INDEX(TypeClient,MATCH(VentesMagasins!$B173,Clients!ClientID))</f>
        <v>Nouveau</v>
      </c>
      <c r="Y173" t="str">
        <v>janv</v>
      </c>
    </row>
    <row r="174" spans="1:25" x14ac:dyDescent="0.25">
      <c r="A174" s="2">
        <v>173</v>
      </c>
      <c r="B174" s="12" t="s">
        <v>216</v>
      </c>
      <c r="C174" s="13">
        <v>45094</v>
      </c>
      <c r="D174" s="12" t="s">
        <v>338</v>
      </c>
      <c r="E174" s="14" t="s">
        <v>364</v>
      </c>
      <c r="F174" s="12" t="s">
        <v>330</v>
      </c>
      <c r="G174" s="2">
        <v>4</v>
      </c>
      <c r="H174" s="3">
        <v>386</v>
      </c>
      <c r="I174" s="14" t="s">
        <v>355</v>
      </c>
      <c r="J174" s="12" t="s">
        <v>522</v>
      </c>
      <c r="K174" s="2">
        <v>1</v>
      </c>
      <c r="L174" s="12" t="s">
        <v>352</v>
      </c>
      <c r="M174">
        <f>YEAR(VentesMagasins!$C174)</f>
        <v>2023</v>
      </c>
      <c r="N174" t="e" cm="1" vm="1">
        <f t="array" aca="1" ref="N174" ca="1">MONTH(DateVente)</f>
        <v>#VALUE!</v>
      </c>
      <c r="O174" t="str">
        <f>PROPER(VentesMagasins!$F174)</f>
        <v>Décoration</v>
      </c>
      <c r="P174">
        <f>VALUE(CLEAN(TRIM(SUBSTITUTE(VentesMagasins!$I174,".",","))))</f>
        <v>0.1</v>
      </c>
      <c r="Q174">
        <f>VALUE(TRIM(SUBSTITUTE(VentesMagasins!$J174,".",",")))</f>
        <v>1389.6</v>
      </c>
      <c r="R174">
        <f t="shared" si="6"/>
        <v>1250.6399999999999</v>
      </c>
      <c r="S174">
        <f>IF(VentesMagasins!$K174=1,(-1)*R174,R174)</f>
        <v>-1250.6399999999999</v>
      </c>
      <c r="T174">
        <f>IFERROR(VALUE(TRIM(SUBSTITUTE(VentesMagasins!$L174,".",","))),0)</f>
        <v>0</v>
      </c>
      <c r="U174">
        <f t="shared" si="7"/>
        <v>3</v>
      </c>
      <c r="V174" t="str">
        <f t="shared" si="8"/>
        <v>moyenne</v>
      </c>
      <c r="W174" t="str">
        <f>_xlfn.XLOOKUP(VentesMagasins!$B174,Clients!ClientID,Région)</f>
        <v>Est</v>
      </c>
      <c r="X174" t="str">
        <f>INDEX(TypeClient,MATCH(VentesMagasins!$B174,Clients!ClientID))</f>
        <v>Fidèle</v>
      </c>
      <c r="Y174" t="str">
        <v>juin</v>
      </c>
    </row>
    <row r="175" spans="1:25" x14ac:dyDescent="0.25">
      <c r="A175" s="2">
        <v>174</v>
      </c>
      <c r="B175" s="12" t="s">
        <v>130</v>
      </c>
      <c r="C175" s="13">
        <v>45414</v>
      </c>
      <c r="D175" s="12" t="s">
        <v>322</v>
      </c>
      <c r="E175" s="14" t="s">
        <v>329</v>
      </c>
      <c r="F175" s="12" t="s">
        <v>330</v>
      </c>
      <c r="G175" s="2">
        <v>1</v>
      </c>
      <c r="H175" s="3">
        <v>409</v>
      </c>
      <c r="I175" s="14" t="s">
        <v>342</v>
      </c>
      <c r="J175" s="12" t="s">
        <v>523</v>
      </c>
      <c r="K175" s="2">
        <v>0</v>
      </c>
      <c r="L175" s="12" t="s">
        <v>344</v>
      </c>
      <c r="M175">
        <f>YEAR(VentesMagasins!$C175)</f>
        <v>2024</v>
      </c>
      <c r="N175" t="e" cm="1" vm="1">
        <f t="array" aca="1" ref="N175" ca="1">MONTH(DateVente)</f>
        <v>#VALUE!</v>
      </c>
      <c r="O175" t="str">
        <f>PROPER(VentesMagasins!$F175)</f>
        <v>Décoration</v>
      </c>
      <c r="P175">
        <f>VALUE(CLEAN(TRIM(SUBSTITUTE(VentesMagasins!$I175,".",","))))</f>
        <v>0.05</v>
      </c>
      <c r="Q175">
        <f>VALUE(TRIM(SUBSTITUTE(VentesMagasins!$J175,".",",")))</f>
        <v>388.54999999999899</v>
      </c>
      <c r="R175">
        <f t="shared" si="6"/>
        <v>369.12249999999904</v>
      </c>
      <c r="S175">
        <f>IF(VentesMagasins!$K175=1,(-1)*R175,R175)</f>
        <v>369.12249999999904</v>
      </c>
      <c r="T175">
        <f>IFERROR(VALUE(TRIM(SUBSTITUTE(VentesMagasins!$L175,".",","))),0)</f>
        <v>2</v>
      </c>
      <c r="U175">
        <f t="shared" si="7"/>
        <v>2</v>
      </c>
      <c r="V175" t="str">
        <f t="shared" si="8"/>
        <v>faible</v>
      </c>
      <c r="W175" t="str">
        <f>_xlfn.XLOOKUP(VentesMagasins!$B175,Clients!ClientID,Région)</f>
        <v>Sud</v>
      </c>
      <c r="X175" t="str">
        <f>INDEX(TypeClient,MATCH(VentesMagasins!$B175,Clients!ClientID))</f>
        <v>Occasionnel</v>
      </c>
      <c r="Y175" t="str">
        <v>mai</v>
      </c>
    </row>
    <row r="176" spans="1:25" x14ac:dyDescent="0.25">
      <c r="A176" s="2">
        <v>175</v>
      </c>
      <c r="B176" s="12" t="s">
        <v>271</v>
      </c>
      <c r="C176" s="13">
        <v>45336</v>
      </c>
      <c r="D176" s="12" t="s">
        <v>328</v>
      </c>
      <c r="E176" s="14" t="s">
        <v>345</v>
      </c>
      <c r="F176" s="12" t="s">
        <v>330</v>
      </c>
      <c r="G176" s="2">
        <v>2</v>
      </c>
      <c r="H176" s="3">
        <v>453</v>
      </c>
      <c r="I176" s="14" t="s">
        <v>335</v>
      </c>
      <c r="J176" s="12" t="s">
        <v>524</v>
      </c>
      <c r="K176" s="2">
        <v>0</v>
      </c>
      <c r="L176" s="12" t="s">
        <v>352</v>
      </c>
      <c r="M176">
        <f>YEAR(VentesMagasins!$C176)</f>
        <v>2024</v>
      </c>
      <c r="N176" t="e" cm="1" vm="1">
        <f t="array" aca="1" ref="N176" ca="1">MONTH(DateVente)</f>
        <v>#VALUE!</v>
      </c>
      <c r="O176" t="str">
        <f>PROPER(VentesMagasins!$F176)</f>
        <v>Décoration</v>
      </c>
      <c r="P176">
        <f>VALUE(CLEAN(TRIM(SUBSTITUTE(VentesMagasins!$I176,".",","))))</f>
        <v>0</v>
      </c>
      <c r="Q176">
        <f>VALUE(TRIM(SUBSTITUTE(VentesMagasins!$J176,".",",")))</f>
        <v>906</v>
      </c>
      <c r="R176">
        <f t="shared" si="6"/>
        <v>906</v>
      </c>
      <c r="S176">
        <f>IF(VentesMagasins!$K176=1,(-1)*R176,R176)</f>
        <v>906</v>
      </c>
      <c r="T176">
        <f>IFERROR(VALUE(TRIM(SUBSTITUTE(VentesMagasins!$L176,".",","))),0)</f>
        <v>0</v>
      </c>
      <c r="U176">
        <f t="shared" si="7"/>
        <v>3</v>
      </c>
      <c r="V176" t="str">
        <f t="shared" si="8"/>
        <v>moyenne</v>
      </c>
      <c r="W176" t="str">
        <f>_xlfn.XLOOKUP(VentesMagasins!$B176,Clients!ClientID,Région)</f>
        <v>Centre</v>
      </c>
      <c r="X176" t="str">
        <f>INDEX(TypeClient,MATCH(VentesMagasins!$B176,Clients!ClientID))</f>
        <v>Occasionnel</v>
      </c>
      <c r="Y176" t="str">
        <v>févr</v>
      </c>
    </row>
    <row r="177" spans="1:25" x14ac:dyDescent="0.25">
      <c r="A177" s="2">
        <v>176</v>
      </c>
      <c r="B177" s="12" t="s">
        <v>308</v>
      </c>
      <c r="C177" s="13">
        <v>45220</v>
      </c>
      <c r="D177" s="12" t="s">
        <v>328</v>
      </c>
      <c r="E177" s="14" t="s">
        <v>323</v>
      </c>
      <c r="F177" s="12" t="s">
        <v>330</v>
      </c>
      <c r="G177" s="2">
        <v>4</v>
      </c>
      <c r="H177" s="3">
        <v>24</v>
      </c>
      <c r="I177" s="14" t="s">
        <v>325</v>
      </c>
      <c r="J177" s="12" t="s">
        <v>525</v>
      </c>
      <c r="K177" s="2">
        <v>0</v>
      </c>
      <c r="L177" s="12" t="s">
        <v>337</v>
      </c>
      <c r="M177">
        <f>YEAR(VentesMagasins!$C177)</f>
        <v>2023</v>
      </c>
      <c r="N177" t="e" cm="1" vm="1">
        <f t="array" aca="1" ref="N177" ca="1">MONTH(DateVente)</f>
        <v>#VALUE!</v>
      </c>
      <c r="O177" t="str">
        <f>PROPER(VentesMagasins!$F177)</f>
        <v>Décoration</v>
      </c>
      <c r="P177">
        <f>VALUE(CLEAN(TRIM(SUBSTITUTE(VentesMagasins!$I177,".",","))))</f>
        <v>0.15</v>
      </c>
      <c r="Q177">
        <f>VALUE(TRIM(SUBSTITUTE(VentesMagasins!$J177,".",",")))</f>
        <v>81.599999999999994</v>
      </c>
      <c r="R177">
        <f t="shared" si="6"/>
        <v>69.36</v>
      </c>
      <c r="S177">
        <f>IF(VentesMagasins!$K177=1,(-1)*R177,R177)</f>
        <v>69.36</v>
      </c>
      <c r="T177">
        <f>IFERROR(VALUE(TRIM(SUBSTITUTE(VentesMagasins!$L177,".",","))),0)</f>
        <v>3</v>
      </c>
      <c r="U177">
        <f t="shared" si="7"/>
        <v>3</v>
      </c>
      <c r="V177" t="str">
        <f t="shared" si="8"/>
        <v>moyenne</v>
      </c>
      <c r="W177" t="str">
        <f>_xlfn.XLOOKUP(VentesMagasins!$B177,Clients!ClientID,Région)</f>
        <v>Centre</v>
      </c>
      <c r="X177" t="str">
        <f>INDEX(TypeClient,MATCH(VentesMagasins!$B177,Clients!ClientID))</f>
        <v>Fidèle</v>
      </c>
      <c r="Y177" t="str">
        <v>oct</v>
      </c>
    </row>
    <row r="178" spans="1:25" x14ac:dyDescent="0.25">
      <c r="A178" s="2">
        <v>177</v>
      </c>
      <c r="B178" s="12" t="s">
        <v>80</v>
      </c>
      <c r="C178" s="13">
        <v>45864</v>
      </c>
      <c r="D178" s="12" t="s">
        <v>333</v>
      </c>
      <c r="E178" s="14" t="s">
        <v>364</v>
      </c>
      <c r="F178" s="12" t="s">
        <v>330</v>
      </c>
      <c r="G178" s="2">
        <v>2</v>
      </c>
      <c r="H178" s="3">
        <v>275</v>
      </c>
      <c r="I178" s="14" t="s">
        <v>335</v>
      </c>
      <c r="J178" s="12" t="s">
        <v>526</v>
      </c>
      <c r="K178" s="2">
        <v>0</v>
      </c>
      <c r="L178" s="12" t="s">
        <v>369</v>
      </c>
      <c r="M178">
        <f>YEAR(VentesMagasins!$C178)</f>
        <v>2025</v>
      </c>
      <c r="N178" t="e" cm="1" vm="1">
        <f t="array" aca="1" ref="N178" ca="1">MONTH(DateVente)</f>
        <v>#VALUE!</v>
      </c>
      <c r="O178" t="str">
        <f>PROPER(VentesMagasins!$F178)</f>
        <v>Décoration</v>
      </c>
      <c r="P178">
        <f>VALUE(CLEAN(TRIM(SUBSTITUTE(VentesMagasins!$I178,".",","))))</f>
        <v>0</v>
      </c>
      <c r="Q178">
        <f>VALUE(TRIM(SUBSTITUTE(VentesMagasins!$J178,".",",")))</f>
        <v>550</v>
      </c>
      <c r="R178">
        <f t="shared" si="6"/>
        <v>550</v>
      </c>
      <c r="S178">
        <f>IF(VentesMagasins!$K178=1,(-1)*R178,R178)</f>
        <v>550</v>
      </c>
      <c r="T178">
        <f>IFERROR(VALUE(TRIM(SUBSTITUTE(VentesMagasins!$L178,".",","))),0)</f>
        <v>1</v>
      </c>
      <c r="U178">
        <f t="shared" si="7"/>
        <v>1</v>
      </c>
      <c r="V178" t="str">
        <f t="shared" si="8"/>
        <v>faible</v>
      </c>
      <c r="W178" t="str">
        <f>_xlfn.XLOOKUP(VentesMagasins!$B178,Clients!ClientID,Région)</f>
        <v>Centre</v>
      </c>
      <c r="X178" t="str">
        <f>INDEX(TypeClient,MATCH(VentesMagasins!$B178,Clients!ClientID))</f>
        <v>Occasionnel</v>
      </c>
      <c r="Y178" t="str">
        <v>juil</v>
      </c>
    </row>
    <row r="179" spans="1:25" x14ac:dyDescent="0.25">
      <c r="A179" s="2">
        <v>178</v>
      </c>
      <c r="B179" s="12" t="s">
        <v>37</v>
      </c>
      <c r="C179" s="13">
        <v>45765</v>
      </c>
      <c r="D179" s="12" t="s">
        <v>350</v>
      </c>
      <c r="E179" s="14" t="s">
        <v>345</v>
      </c>
      <c r="F179" s="12" t="s">
        <v>341</v>
      </c>
      <c r="G179" s="2">
        <v>4</v>
      </c>
      <c r="H179" s="3">
        <v>370</v>
      </c>
      <c r="I179" s="14" t="s">
        <v>335</v>
      </c>
      <c r="J179" s="12" t="s">
        <v>527</v>
      </c>
      <c r="K179" s="2">
        <v>0</v>
      </c>
      <c r="L179" s="12" t="s">
        <v>352</v>
      </c>
      <c r="M179">
        <f>YEAR(VentesMagasins!$C179)</f>
        <v>2025</v>
      </c>
      <c r="N179" t="e" cm="1" vm="1">
        <f t="array" aca="1" ref="N179" ca="1">MONTH(DateVente)</f>
        <v>#VALUE!</v>
      </c>
      <c r="O179" t="str">
        <f>PROPER(VentesMagasins!$F179)</f>
        <v>Meuble</v>
      </c>
      <c r="P179">
        <f>VALUE(CLEAN(TRIM(SUBSTITUTE(VentesMagasins!$I179,".",","))))</f>
        <v>0</v>
      </c>
      <c r="Q179">
        <f>VALUE(TRIM(SUBSTITUTE(VentesMagasins!$J179,".",",")))</f>
        <v>1480</v>
      </c>
      <c r="R179">
        <f t="shared" si="6"/>
        <v>1480</v>
      </c>
      <c r="S179">
        <f>IF(VentesMagasins!$K179=1,(-1)*R179,R179)</f>
        <v>1480</v>
      </c>
      <c r="T179">
        <f>IFERROR(VALUE(TRIM(SUBSTITUTE(VentesMagasins!$L179,".",","))),0)</f>
        <v>0</v>
      </c>
      <c r="U179">
        <f t="shared" si="7"/>
        <v>3</v>
      </c>
      <c r="V179" t="str">
        <f t="shared" si="8"/>
        <v>moyenne</v>
      </c>
      <c r="W179" t="str">
        <f>_xlfn.XLOOKUP(VentesMagasins!$B179,Clients!ClientID,Région)</f>
        <v>Centre</v>
      </c>
      <c r="X179" t="str">
        <f>INDEX(TypeClient,MATCH(VentesMagasins!$B179,Clients!ClientID))</f>
        <v>Nouveau</v>
      </c>
      <c r="Y179" t="str">
        <v>avr</v>
      </c>
    </row>
    <row r="180" spans="1:25" x14ac:dyDescent="0.25">
      <c r="A180" s="2">
        <v>179</v>
      </c>
      <c r="B180" s="12" t="s">
        <v>99</v>
      </c>
      <c r="C180" s="13">
        <v>45157</v>
      </c>
      <c r="D180" s="12" t="s">
        <v>333</v>
      </c>
      <c r="E180" s="14" t="s">
        <v>364</v>
      </c>
      <c r="F180" s="12" t="s">
        <v>341</v>
      </c>
      <c r="G180" s="2">
        <v>3</v>
      </c>
      <c r="H180" s="3">
        <v>131</v>
      </c>
      <c r="I180" s="14" t="s">
        <v>355</v>
      </c>
      <c r="J180" s="12" t="s">
        <v>528</v>
      </c>
      <c r="K180" s="2">
        <v>1</v>
      </c>
      <c r="L180" s="12" t="s">
        <v>332</v>
      </c>
      <c r="M180">
        <f>YEAR(VentesMagasins!$C180)</f>
        <v>2023</v>
      </c>
      <c r="N180" t="e" cm="1" vm="1">
        <f t="array" aca="1" ref="N180" ca="1">MONTH(DateVente)</f>
        <v>#VALUE!</v>
      </c>
      <c r="O180" t="str">
        <f>PROPER(VentesMagasins!$F180)</f>
        <v>Meuble</v>
      </c>
      <c r="P180">
        <f>VALUE(CLEAN(TRIM(SUBSTITUTE(VentesMagasins!$I180,".",","))))</f>
        <v>0.1</v>
      </c>
      <c r="Q180">
        <f>VALUE(TRIM(SUBSTITUTE(VentesMagasins!$J180,".",",")))</f>
        <v>353.7</v>
      </c>
      <c r="R180">
        <f t="shared" si="6"/>
        <v>318.33</v>
      </c>
      <c r="S180">
        <f>IF(VentesMagasins!$K180=1,(-1)*R180,R180)</f>
        <v>-318.33</v>
      </c>
      <c r="T180">
        <f>IFERROR(VALUE(TRIM(SUBSTITUTE(VentesMagasins!$L180,".",","))),0)</f>
        <v>4</v>
      </c>
      <c r="U180">
        <f t="shared" si="7"/>
        <v>4</v>
      </c>
      <c r="V180" t="str">
        <f t="shared" si="8"/>
        <v>moyenne</v>
      </c>
      <c r="W180" t="str">
        <f>_xlfn.XLOOKUP(VentesMagasins!$B180,Clients!ClientID,Région)</f>
        <v>Ouest</v>
      </c>
      <c r="X180" t="str">
        <f>INDEX(TypeClient,MATCH(VentesMagasins!$B180,Clients!ClientID))</f>
        <v>Occasionnel</v>
      </c>
      <c r="Y180" t="str">
        <v>août</v>
      </c>
    </row>
    <row r="181" spans="1:25" x14ac:dyDescent="0.25">
      <c r="A181" s="2">
        <v>180</v>
      </c>
      <c r="B181" s="12" t="s">
        <v>229</v>
      </c>
      <c r="C181" s="13">
        <v>45669</v>
      </c>
      <c r="D181" s="12" t="s">
        <v>338</v>
      </c>
      <c r="E181" s="14" t="s">
        <v>323</v>
      </c>
      <c r="F181" s="12" t="s">
        <v>330</v>
      </c>
      <c r="G181" s="2">
        <v>2</v>
      </c>
      <c r="H181" s="3">
        <v>260</v>
      </c>
      <c r="I181" s="14" t="s">
        <v>335</v>
      </c>
      <c r="J181" s="12" t="s">
        <v>529</v>
      </c>
      <c r="K181" s="2">
        <v>0</v>
      </c>
      <c r="L181" s="12" t="s">
        <v>337</v>
      </c>
      <c r="M181">
        <f>YEAR(VentesMagasins!$C181)</f>
        <v>2025</v>
      </c>
      <c r="N181" t="e" cm="1" vm="1">
        <f t="array" aca="1" ref="N181" ca="1">MONTH(DateVente)</f>
        <v>#VALUE!</v>
      </c>
      <c r="O181" t="str">
        <f>PROPER(VentesMagasins!$F181)</f>
        <v>Décoration</v>
      </c>
      <c r="P181">
        <f>VALUE(CLEAN(TRIM(SUBSTITUTE(VentesMagasins!$I181,".",","))))</f>
        <v>0</v>
      </c>
      <c r="Q181">
        <f>VALUE(TRIM(SUBSTITUTE(VentesMagasins!$J181,".",",")))</f>
        <v>468</v>
      </c>
      <c r="R181">
        <f t="shared" si="6"/>
        <v>468</v>
      </c>
      <c r="S181">
        <f>IF(VentesMagasins!$K181=1,(-1)*R181,R181)</f>
        <v>468</v>
      </c>
      <c r="T181">
        <f>IFERROR(VALUE(TRIM(SUBSTITUTE(VentesMagasins!$L181,".",","))),0)</f>
        <v>3</v>
      </c>
      <c r="U181">
        <f t="shared" si="7"/>
        <v>3</v>
      </c>
      <c r="V181" t="str">
        <f t="shared" si="8"/>
        <v>moyenne</v>
      </c>
      <c r="W181" t="str">
        <f>_xlfn.XLOOKUP(VentesMagasins!$B181,Clients!ClientID,Région)</f>
        <v>Ouest</v>
      </c>
      <c r="X181" t="str">
        <f>INDEX(TypeClient,MATCH(VentesMagasins!$B181,Clients!ClientID))</f>
        <v>Occasionnel</v>
      </c>
      <c r="Y181" t="str">
        <v>janv</v>
      </c>
    </row>
    <row r="182" spans="1:25" x14ac:dyDescent="0.25">
      <c r="A182" s="2">
        <v>181</v>
      </c>
      <c r="B182" s="12" t="s">
        <v>33</v>
      </c>
      <c r="C182" s="13">
        <v>45981</v>
      </c>
      <c r="D182" s="12" t="s">
        <v>350</v>
      </c>
      <c r="E182" s="14" t="s">
        <v>362</v>
      </c>
      <c r="F182" s="12" t="s">
        <v>324</v>
      </c>
      <c r="G182" s="2">
        <v>5</v>
      </c>
      <c r="H182" s="3">
        <v>420</v>
      </c>
      <c r="I182" s="14" t="s">
        <v>325</v>
      </c>
      <c r="J182" s="12" t="s">
        <v>530</v>
      </c>
      <c r="K182" s="2">
        <v>0</v>
      </c>
      <c r="L182" s="12" t="s">
        <v>327</v>
      </c>
      <c r="M182">
        <f>YEAR(VentesMagasins!$C182)</f>
        <v>2025</v>
      </c>
      <c r="N182" t="e" cm="1" vm="1">
        <f t="array" aca="1" ref="N182" ca="1">MONTH(DateVente)</f>
        <v>#VALUE!</v>
      </c>
      <c r="O182" t="str">
        <f>PROPER(VentesMagasins!$F182)</f>
        <v>Électronique</v>
      </c>
      <c r="P182">
        <f>VALUE(CLEAN(TRIM(SUBSTITUTE(VentesMagasins!$I182,".",","))))</f>
        <v>0.15</v>
      </c>
      <c r="Q182">
        <f>VALUE(TRIM(SUBSTITUTE(VentesMagasins!$J182,".",",")))</f>
        <v>1785</v>
      </c>
      <c r="R182">
        <f t="shared" si="6"/>
        <v>1517.25</v>
      </c>
      <c r="S182">
        <f>IF(VentesMagasins!$K182=1,(-1)*R182,R182)</f>
        <v>1517.25</v>
      </c>
      <c r="T182">
        <f>IFERROR(VALUE(TRIM(SUBSTITUTE(VentesMagasins!$L182,".",","))),0)</f>
        <v>5</v>
      </c>
      <c r="U182">
        <f t="shared" si="7"/>
        <v>5</v>
      </c>
      <c r="V182" t="str">
        <f t="shared" si="8"/>
        <v>élévé</v>
      </c>
      <c r="W182" t="str">
        <f>_xlfn.XLOOKUP(VentesMagasins!$B182,Clients!ClientID,Région)</f>
        <v>Ouest</v>
      </c>
      <c r="X182" t="str">
        <f>INDEX(TypeClient,MATCH(VentesMagasins!$B182,Clients!ClientID))</f>
        <v>Nouveau</v>
      </c>
      <c r="Y182" t="str">
        <v>nov</v>
      </c>
    </row>
    <row r="183" spans="1:25" x14ac:dyDescent="0.25">
      <c r="A183" s="2">
        <v>182</v>
      </c>
      <c r="B183" s="12" t="s">
        <v>34</v>
      </c>
      <c r="C183" s="13">
        <v>45486</v>
      </c>
      <c r="D183" s="12" t="s">
        <v>338</v>
      </c>
      <c r="E183" s="14" t="s">
        <v>334</v>
      </c>
      <c r="F183" s="12" t="s">
        <v>324</v>
      </c>
      <c r="G183" s="2">
        <v>5</v>
      </c>
      <c r="H183" s="3">
        <v>443</v>
      </c>
      <c r="I183" s="14" t="s">
        <v>335</v>
      </c>
      <c r="J183" s="12" t="s">
        <v>531</v>
      </c>
      <c r="K183" s="2">
        <v>0</v>
      </c>
      <c r="L183" s="12" t="s">
        <v>332</v>
      </c>
      <c r="M183">
        <f>YEAR(VentesMagasins!$C183)</f>
        <v>2024</v>
      </c>
      <c r="N183" t="e" cm="1" vm="1">
        <f t="array" aca="1" ref="N183" ca="1">MONTH(DateVente)</f>
        <v>#VALUE!</v>
      </c>
      <c r="O183" t="str">
        <f>PROPER(VentesMagasins!$F183)</f>
        <v>Électronique</v>
      </c>
      <c r="P183">
        <f>VALUE(CLEAN(TRIM(SUBSTITUTE(VentesMagasins!$I183,".",","))))</f>
        <v>0</v>
      </c>
      <c r="Q183">
        <f>VALUE(TRIM(SUBSTITUTE(VentesMagasins!$J183,".",",")))</f>
        <v>2215</v>
      </c>
      <c r="R183">
        <f t="shared" si="6"/>
        <v>2215</v>
      </c>
      <c r="S183">
        <f>IF(VentesMagasins!$K183=1,(-1)*R183,R183)</f>
        <v>2215</v>
      </c>
      <c r="T183">
        <f>IFERROR(VALUE(TRIM(SUBSTITUTE(VentesMagasins!$L183,".",","))),0)</f>
        <v>4</v>
      </c>
      <c r="U183">
        <f t="shared" si="7"/>
        <v>4</v>
      </c>
      <c r="V183" t="str">
        <f t="shared" si="8"/>
        <v>moyenne</v>
      </c>
      <c r="W183" t="str">
        <f>_xlfn.XLOOKUP(VentesMagasins!$B183,Clients!ClientID,Région)</f>
        <v>Ouest</v>
      </c>
      <c r="X183" t="str">
        <f>INDEX(TypeClient,MATCH(VentesMagasins!$B183,Clients!ClientID))</f>
        <v>Fidèle</v>
      </c>
      <c r="Y183" t="str">
        <v>juil</v>
      </c>
    </row>
    <row r="184" spans="1:25" x14ac:dyDescent="0.25">
      <c r="A184" s="2">
        <v>183</v>
      </c>
      <c r="B184" s="12" t="s">
        <v>208</v>
      </c>
      <c r="C184" s="13">
        <v>45619</v>
      </c>
      <c r="D184" s="12" t="s">
        <v>322</v>
      </c>
      <c r="E184" s="14" t="s">
        <v>362</v>
      </c>
      <c r="F184" s="12" t="s">
        <v>324</v>
      </c>
      <c r="G184" s="2">
        <v>4</v>
      </c>
      <c r="H184" s="3">
        <v>338</v>
      </c>
      <c r="I184" s="14" t="s">
        <v>335</v>
      </c>
      <c r="J184" s="12" t="s">
        <v>532</v>
      </c>
      <c r="K184" s="2">
        <v>0</v>
      </c>
      <c r="L184" s="12" t="s">
        <v>352</v>
      </c>
      <c r="M184">
        <f>YEAR(VentesMagasins!$C184)</f>
        <v>2024</v>
      </c>
      <c r="N184" t="e" cm="1" vm="1">
        <f t="array" aca="1" ref="N184" ca="1">MONTH(DateVente)</f>
        <v>#VALUE!</v>
      </c>
      <c r="O184" t="str">
        <f>PROPER(VentesMagasins!$F184)</f>
        <v>Électronique</v>
      </c>
      <c r="P184">
        <f>VALUE(CLEAN(TRIM(SUBSTITUTE(VentesMagasins!$I184,".",","))))</f>
        <v>0</v>
      </c>
      <c r="Q184">
        <f>VALUE(TRIM(SUBSTITUTE(VentesMagasins!$J184,".",",")))</f>
        <v>1352</v>
      </c>
      <c r="R184">
        <f t="shared" si="6"/>
        <v>1352</v>
      </c>
      <c r="S184">
        <f>IF(VentesMagasins!$K184=1,(-1)*R184,R184)</f>
        <v>1352</v>
      </c>
      <c r="T184">
        <f>IFERROR(VALUE(TRIM(SUBSTITUTE(VentesMagasins!$L184,".",","))),0)</f>
        <v>0</v>
      </c>
      <c r="U184">
        <f t="shared" si="7"/>
        <v>3</v>
      </c>
      <c r="V184" t="str">
        <f t="shared" si="8"/>
        <v>moyenne</v>
      </c>
      <c r="W184" t="str">
        <f>_xlfn.XLOOKUP(VentesMagasins!$B184,Clients!ClientID,Région)</f>
        <v>Nord</v>
      </c>
      <c r="X184" t="str">
        <f>INDEX(TypeClient,MATCH(VentesMagasins!$B184,Clients!ClientID))</f>
        <v>Fidèle</v>
      </c>
      <c r="Y184" t="str">
        <v>nov</v>
      </c>
    </row>
    <row r="185" spans="1:25" x14ac:dyDescent="0.25">
      <c r="A185" s="2">
        <v>184</v>
      </c>
      <c r="B185" s="12" t="s">
        <v>147</v>
      </c>
      <c r="C185" s="13">
        <v>45439</v>
      </c>
      <c r="D185" s="12" t="s">
        <v>333</v>
      </c>
      <c r="E185" s="14" t="s">
        <v>364</v>
      </c>
      <c r="F185" s="12" t="s">
        <v>324</v>
      </c>
      <c r="G185" s="2">
        <v>1</v>
      </c>
      <c r="H185" s="3">
        <v>322</v>
      </c>
      <c r="I185" s="14" t="s">
        <v>335</v>
      </c>
      <c r="J185" s="12" t="s">
        <v>533</v>
      </c>
      <c r="K185" s="2">
        <v>0</v>
      </c>
      <c r="L185" s="12" t="s">
        <v>369</v>
      </c>
      <c r="M185">
        <f>YEAR(VentesMagasins!$C185)</f>
        <v>2024</v>
      </c>
      <c r="N185" t="e" cm="1" vm="1">
        <f t="array" aca="1" ref="N185" ca="1">MONTH(DateVente)</f>
        <v>#VALUE!</v>
      </c>
      <c r="O185" t="str">
        <f>PROPER(VentesMagasins!$F185)</f>
        <v>Électronique</v>
      </c>
      <c r="P185">
        <f>VALUE(CLEAN(TRIM(SUBSTITUTE(VentesMagasins!$I185,".",","))))</f>
        <v>0</v>
      </c>
      <c r="Q185">
        <f>VALUE(TRIM(SUBSTITUTE(VentesMagasins!$J185,".",",")))</f>
        <v>322</v>
      </c>
      <c r="R185">
        <f t="shared" si="6"/>
        <v>322</v>
      </c>
      <c r="S185">
        <f>IF(VentesMagasins!$K185=1,(-1)*R185,R185)</f>
        <v>322</v>
      </c>
      <c r="T185">
        <f>IFERROR(VALUE(TRIM(SUBSTITUTE(VentesMagasins!$L185,".",","))),0)</f>
        <v>1</v>
      </c>
      <c r="U185">
        <f t="shared" si="7"/>
        <v>1</v>
      </c>
      <c r="V185" t="str">
        <f t="shared" si="8"/>
        <v>faible</v>
      </c>
      <c r="W185" t="str">
        <f>_xlfn.XLOOKUP(VentesMagasins!$B185,Clients!ClientID,Région)</f>
        <v>Ouest</v>
      </c>
      <c r="X185" t="str">
        <f>INDEX(TypeClient,MATCH(VentesMagasins!$B185,Clients!ClientID))</f>
        <v>Fidèle</v>
      </c>
      <c r="Y185" t="str">
        <v>mai</v>
      </c>
    </row>
    <row r="186" spans="1:25" x14ac:dyDescent="0.25">
      <c r="A186" s="2">
        <v>185</v>
      </c>
      <c r="B186" s="12" t="s">
        <v>114</v>
      </c>
      <c r="C186" s="13">
        <v>45455</v>
      </c>
      <c r="D186" s="12" t="s">
        <v>333</v>
      </c>
      <c r="E186" s="14" t="s">
        <v>329</v>
      </c>
      <c r="F186" s="12" t="s">
        <v>341</v>
      </c>
      <c r="G186" s="2">
        <v>3</v>
      </c>
      <c r="H186" s="3">
        <v>478</v>
      </c>
      <c r="I186" s="14" t="s">
        <v>342</v>
      </c>
      <c r="J186" s="12" t="s">
        <v>534</v>
      </c>
      <c r="K186" s="2">
        <v>0</v>
      </c>
      <c r="L186" s="12" t="s">
        <v>369</v>
      </c>
      <c r="M186">
        <f>YEAR(VentesMagasins!$C186)</f>
        <v>2024</v>
      </c>
      <c r="N186" t="e" cm="1" vm="1">
        <f t="array" aca="1" ref="N186" ca="1">MONTH(DateVente)</f>
        <v>#VALUE!</v>
      </c>
      <c r="O186" t="str">
        <f>PROPER(VentesMagasins!$F186)</f>
        <v>Meuble</v>
      </c>
      <c r="P186">
        <f>VALUE(CLEAN(TRIM(SUBSTITUTE(VentesMagasins!$I186,".",","))))</f>
        <v>0.05</v>
      </c>
      <c r="Q186">
        <f>VALUE(TRIM(SUBSTITUTE(VentesMagasins!$J186,".",",")))</f>
        <v>1362.3</v>
      </c>
      <c r="R186">
        <f t="shared" si="6"/>
        <v>1294.1849999999999</v>
      </c>
      <c r="S186">
        <f>IF(VentesMagasins!$K186=1,(-1)*R186,R186)</f>
        <v>1294.1849999999999</v>
      </c>
      <c r="T186">
        <f>IFERROR(VALUE(TRIM(SUBSTITUTE(VentesMagasins!$L186,".",","))),0)</f>
        <v>1</v>
      </c>
      <c r="U186">
        <f t="shared" si="7"/>
        <v>1</v>
      </c>
      <c r="V186" t="str">
        <f t="shared" si="8"/>
        <v>faible</v>
      </c>
      <c r="W186" t="str">
        <f>_xlfn.XLOOKUP(VentesMagasins!$B186,Clients!ClientID,Région)</f>
        <v>Nord</v>
      </c>
      <c r="X186" t="str">
        <f>INDEX(TypeClient,MATCH(VentesMagasins!$B186,Clients!ClientID))</f>
        <v>Fidèle</v>
      </c>
      <c r="Y186" t="str">
        <v>juin</v>
      </c>
    </row>
    <row r="187" spans="1:25" x14ac:dyDescent="0.25">
      <c r="A187" s="2">
        <v>186</v>
      </c>
      <c r="B187" s="12" t="s">
        <v>266</v>
      </c>
      <c r="C187" s="13">
        <v>45064</v>
      </c>
      <c r="D187" s="12" t="s">
        <v>322</v>
      </c>
      <c r="E187" s="14" t="s">
        <v>329</v>
      </c>
      <c r="F187" s="12" t="s">
        <v>330</v>
      </c>
      <c r="G187" s="2">
        <v>4</v>
      </c>
      <c r="H187" s="3">
        <v>363</v>
      </c>
      <c r="I187" s="14" t="s">
        <v>355</v>
      </c>
      <c r="J187" s="12" t="s">
        <v>535</v>
      </c>
      <c r="K187" s="2">
        <v>0</v>
      </c>
      <c r="L187" s="12" t="s">
        <v>352</v>
      </c>
      <c r="M187">
        <f>YEAR(VentesMagasins!$C187)</f>
        <v>2023</v>
      </c>
      <c r="N187" t="e" cm="1" vm="1">
        <f t="array" aca="1" ref="N187" ca="1">MONTH(DateVente)</f>
        <v>#VALUE!</v>
      </c>
      <c r="O187" t="str">
        <f>PROPER(VentesMagasins!$F187)</f>
        <v>Décoration</v>
      </c>
      <c r="P187">
        <f>VALUE(CLEAN(TRIM(SUBSTITUTE(VentesMagasins!$I187,".",","))))</f>
        <v>0.1</v>
      </c>
      <c r="Q187">
        <f>VALUE(TRIM(SUBSTITUTE(VentesMagasins!$J187,".",",")))</f>
        <v>1306.8</v>
      </c>
      <c r="R187">
        <f t="shared" si="6"/>
        <v>1176.1199999999999</v>
      </c>
      <c r="S187">
        <f>IF(VentesMagasins!$K187=1,(-1)*R187,R187)</f>
        <v>1176.1199999999999</v>
      </c>
      <c r="T187">
        <f>IFERROR(VALUE(TRIM(SUBSTITUTE(VentesMagasins!$L187,".",","))),0)</f>
        <v>0</v>
      </c>
      <c r="U187">
        <f t="shared" si="7"/>
        <v>3</v>
      </c>
      <c r="V187" t="str">
        <f t="shared" si="8"/>
        <v>moyenne</v>
      </c>
      <c r="W187" t="str">
        <f>_xlfn.XLOOKUP(VentesMagasins!$B187,Clients!ClientID,Région)</f>
        <v>Nord</v>
      </c>
      <c r="X187" t="str">
        <f>INDEX(TypeClient,MATCH(VentesMagasins!$B187,Clients!ClientID))</f>
        <v>Nouveau</v>
      </c>
      <c r="Y187" t="str">
        <v>mai</v>
      </c>
    </row>
    <row r="188" spans="1:25" x14ac:dyDescent="0.25">
      <c r="A188" s="2">
        <v>187</v>
      </c>
      <c r="B188" s="12" t="s">
        <v>6</v>
      </c>
      <c r="C188" s="13">
        <v>45321</v>
      </c>
      <c r="D188" s="12" t="s">
        <v>338</v>
      </c>
      <c r="E188" s="14" t="s">
        <v>334</v>
      </c>
      <c r="F188" s="12" t="s">
        <v>341</v>
      </c>
      <c r="G188" s="2">
        <v>5</v>
      </c>
      <c r="H188" s="3">
        <v>362</v>
      </c>
      <c r="I188" s="14" t="s">
        <v>342</v>
      </c>
      <c r="J188" s="12" t="s">
        <v>536</v>
      </c>
      <c r="K188" s="2">
        <v>0</v>
      </c>
      <c r="L188" s="12" t="s">
        <v>337</v>
      </c>
      <c r="M188">
        <f>YEAR(VentesMagasins!$C188)</f>
        <v>2024</v>
      </c>
      <c r="N188" t="e" cm="1" vm="1">
        <f t="array" aca="1" ref="N188" ca="1">MONTH(DateVente)</f>
        <v>#VALUE!</v>
      </c>
      <c r="O188" t="str">
        <f>PROPER(VentesMagasins!$F188)</f>
        <v>Meuble</v>
      </c>
      <c r="P188">
        <f>VALUE(CLEAN(TRIM(SUBSTITUTE(VentesMagasins!$I188,".",","))))</f>
        <v>0.05</v>
      </c>
      <c r="Q188">
        <f>VALUE(TRIM(SUBSTITUTE(VentesMagasins!$J188,".",",")))</f>
        <v>1719.5</v>
      </c>
      <c r="R188">
        <f t="shared" si="6"/>
        <v>1633.5249999999999</v>
      </c>
      <c r="S188">
        <f>IF(VentesMagasins!$K188=1,(-1)*R188,R188)</f>
        <v>1633.5249999999999</v>
      </c>
      <c r="T188">
        <f>IFERROR(VALUE(TRIM(SUBSTITUTE(VentesMagasins!$L188,".",","))),0)</f>
        <v>3</v>
      </c>
      <c r="U188">
        <f t="shared" si="7"/>
        <v>3</v>
      </c>
      <c r="V188" t="str">
        <f t="shared" si="8"/>
        <v>moyenne</v>
      </c>
      <c r="W188" t="str">
        <f>_xlfn.XLOOKUP(VentesMagasins!$B188,Clients!ClientID,Région)</f>
        <v>Ouest</v>
      </c>
      <c r="X188" t="str">
        <f>INDEX(TypeClient,MATCH(VentesMagasins!$B188,Clients!ClientID))</f>
        <v>Nouveau</v>
      </c>
      <c r="Y188" t="str">
        <v>janv</v>
      </c>
    </row>
    <row r="189" spans="1:25" x14ac:dyDescent="0.25">
      <c r="A189" s="2">
        <v>188</v>
      </c>
      <c r="B189" s="12" t="s">
        <v>119</v>
      </c>
      <c r="C189" s="13">
        <v>45388</v>
      </c>
      <c r="D189" s="12" t="s">
        <v>322</v>
      </c>
      <c r="E189" s="14" t="s">
        <v>329</v>
      </c>
      <c r="F189" s="12" t="s">
        <v>330</v>
      </c>
      <c r="G189" s="2">
        <v>1</v>
      </c>
      <c r="H189" s="3">
        <v>378</v>
      </c>
      <c r="I189" s="14" t="s">
        <v>325</v>
      </c>
      <c r="J189" s="12" t="s">
        <v>537</v>
      </c>
      <c r="K189" s="2">
        <v>0</v>
      </c>
      <c r="L189" s="12" t="s">
        <v>344</v>
      </c>
      <c r="M189">
        <f>YEAR(VentesMagasins!$C189)</f>
        <v>2024</v>
      </c>
      <c r="N189" t="e" cm="1" vm="1">
        <f t="array" aca="1" ref="N189" ca="1">MONTH(DateVente)</f>
        <v>#VALUE!</v>
      </c>
      <c r="O189" t="str">
        <f>PROPER(VentesMagasins!$F189)</f>
        <v>Décoration</v>
      </c>
      <c r="P189">
        <f>VALUE(CLEAN(TRIM(SUBSTITUTE(VentesMagasins!$I189,".",","))))</f>
        <v>0.15</v>
      </c>
      <c r="Q189">
        <f>VALUE(TRIM(SUBSTITUTE(VentesMagasins!$J189,".",",")))</f>
        <v>321.3</v>
      </c>
      <c r="R189">
        <f t="shared" si="6"/>
        <v>273.10500000000002</v>
      </c>
      <c r="S189">
        <f>IF(VentesMagasins!$K189=1,(-1)*R189,R189)</f>
        <v>273.10500000000002</v>
      </c>
      <c r="T189">
        <f>IFERROR(VALUE(TRIM(SUBSTITUTE(VentesMagasins!$L189,".",","))),0)</f>
        <v>2</v>
      </c>
      <c r="U189">
        <f t="shared" si="7"/>
        <v>2</v>
      </c>
      <c r="V189" t="str">
        <f t="shared" si="8"/>
        <v>faible</v>
      </c>
      <c r="W189" t="str">
        <f>_xlfn.XLOOKUP(VentesMagasins!$B189,Clients!ClientID,Région)</f>
        <v>Centre</v>
      </c>
      <c r="X189" t="str">
        <f>INDEX(TypeClient,MATCH(VentesMagasins!$B189,Clients!ClientID))</f>
        <v>Nouveau</v>
      </c>
      <c r="Y189" t="str">
        <v>avr</v>
      </c>
    </row>
    <row r="190" spans="1:25" x14ac:dyDescent="0.25">
      <c r="A190" s="2">
        <v>189</v>
      </c>
      <c r="B190" s="12" t="s">
        <v>139</v>
      </c>
      <c r="C190" s="13">
        <v>45032</v>
      </c>
      <c r="D190" s="12" t="s">
        <v>322</v>
      </c>
      <c r="E190" s="14" t="s">
        <v>364</v>
      </c>
      <c r="F190" s="12" t="s">
        <v>324</v>
      </c>
      <c r="G190" s="2">
        <v>3</v>
      </c>
      <c r="H190" s="3">
        <v>240</v>
      </c>
      <c r="I190" s="14" t="s">
        <v>325</v>
      </c>
      <c r="J190" s="12" t="s">
        <v>538</v>
      </c>
      <c r="K190" s="2">
        <v>1</v>
      </c>
      <c r="L190" s="12" t="s">
        <v>344</v>
      </c>
      <c r="M190">
        <f>YEAR(VentesMagasins!$C190)</f>
        <v>2023</v>
      </c>
      <c r="N190" t="e" cm="1" vm="1">
        <f t="array" aca="1" ref="N190" ca="1">MONTH(DateVente)</f>
        <v>#VALUE!</v>
      </c>
      <c r="O190" t="str">
        <f>PROPER(VentesMagasins!$F190)</f>
        <v>Électronique</v>
      </c>
      <c r="P190">
        <f>VALUE(CLEAN(TRIM(SUBSTITUTE(VentesMagasins!$I190,".",","))))</f>
        <v>0.15</v>
      </c>
      <c r="Q190">
        <f>VALUE(TRIM(SUBSTITUTE(VentesMagasins!$J190,".",",")))</f>
        <v>612</v>
      </c>
      <c r="R190">
        <f t="shared" si="6"/>
        <v>520.19999999999993</v>
      </c>
      <c r="S190">
        <f>IF(VentesMagasins!$K190=1,(-1)*R190,R190)</f>
        <v>-520.19999999999993</v>
      </c>
      <c r="T190">
        <f>IFERROR(VALUE(TRIM(SUBSTITUTE(VentesMagasins!$L190,".",","))),0)</f>
        <v>2</v>
      </c>
      <c r="U190">
        <f t="shared" si="7"/>
        <v>2</v>
      </c>
      <c r="V190" t="str">
        <f t="shared" si="8"/>
        <v>faible</v>
      </c>
      <c r="W190" t="str">
        <f>_xlfn.XLOOKUP(VentesMagasins!$B190,Clients!ClientID,Région)</f>
        <v>Sud</v>
      </c>
      <c r="X190" t="str">
        <f>INDEX(TypeClient,MATCH(VentesMagasins!$B190,Clients!ClientID))</f>
        <v>Nouveau</v>
      </c>
      <c r="Y190" t="str">
        <v>avr</v>
      </c>
    </row>
    <row r="191" spans="1:25" x14ac:dyDescent="0.25">
      <c r="A191" s="2">
        <v>190</v>
      </c>
      <c r="B191" s="12" t="s">
        <v>159</v>
      </c>
      <c r="C191" s="13">
        <v>45548</v>
      </c>
      <c r="D191" s="12" t="s">
        <v>328</v>
      </c>
      <c r="E191" s="14" t="s">
        <v>348</v>
      </c>
      <c r="F191" s="12" t="s">
        <v>341</v>
      </c>
      <c r="G191" s="2">
        <v>3</v>
      </c>
      <c r="H191" s="3">
        <v>269</v>
      </c>
      <c r="I191" s="14" t="s">
        <v>335</v>
      </c>
      <c r="J191" s="12" t="s">
        <v>539</v>
      </c>
      <c r="K191" s="2">
        <v>0</v>
      </c>
      <c r="L191" s="12" t="s">
        <v>369</v>
      </c>
      <c r="M191">
        <f>YEAR(VentesMagasins!$C191)</f>
        <v>2024</v>
      </c>
      <c r="N191" t="e" cm="1" vm="1">
        <f t="array" aca="1" ref="N191" ca="1">MONTH(DateVente)</f>
        <v>#VALUE!</v>
      </c>
      <c r="O191" t="str">
        <f>PROPER(VentesMagasins!$F191)</f>
        <v>Meuble</v>
      </c>
      <c r="P191">
        <f>VALUE(CLEAN(TRIM(SUBSTITUTE(VentesMagasins!$I191,".",","))))</f>
        <v>0</v>
      </c>
      <c r="Q191">
        <f>VALUE(TRIM(SUBSTITUTE(VentesMagasins!$J191,".",",")))</f>
        <v>887.7</v>
      </c>
      <c r="R191">
        <f t="shared" si="6"/>
        <v>887.7</v>
      </c>
      <c r="S191">
        <f>IF(VentesMagasins!$K191=1,(-1)*R191,R191)</f>
        <v>887.7</v>
      </c>
      <c r="T191">
        <f>IFERROR(VALUE(TRIM(SUBSTITUTE(VentesMagasins!$L191,".",","))),0)</f>
        <v>1</v>
      </c>
      <c r="U191">
        <f t="shared" si="7"/>
        <v>1</v>
      </c>
      <c r="V191" t="str">
        <f t="shared" si="8"/>
        <v>faible</v>
      </c>
      <c r="W191" t="str">
        <f>_xlfn.XLOOKUP(VentesMagasins!$B191,Clients!ClientID,Région)</f>
        <v>Centre</v>
      </c>
      <c r="X191" t="str">
        <f>INDEX(TypeClient,MATCH(VentesMagasins!$B191,Clients!ClientID))</f>
        <v>Fidèle</v>
      </c>
      <c r="Y191" t="str">
        <v>sept</v>
      </c>
    </row>
    <row r="192" spans="1:25" x14ac:dyDescent="0.25">
      <c r="A192" s="2">
        <v>191</v>
      </c>
      <c r="B192" s="12" t="s">
        <v>39</v>
      </c>
      <c r="C192" s="13">
        <v>45719</v>
      </c>
      <c r="D192" s="12" t="s">
        <v>338</v>
      </c>
      <c r="E192" s="14" t="s">
        <v>339</v>
      </c>
      <c r="F192" s="12" t="s">
        <v>324</v>
      </c>
      <c r="G192" s="2">
        <v>3</v>
      </c>
      <c r="H192" s="3">
        <v>64</v>
      </c>
      <c r="I192" s="14" t="s">
        <v>342</v>
      </c>
      <c r="J192" s="12" t="s">
        <v>540</v>
      </c>
      <c r="K192" s="2">
        <v>0</v>
      </c>
      <c r="L192" s="12" t="s">
        <v>337</v>
      </c>
      <c r="M192">
        <f>YEAR(VentesMagasins!$C192)</f>
        <v>2025</v>
      </c>
      <c r="N192" t="e" cm="1" vm="1">
        <f t="array" aca="1" ref="N192" ca="1">MONTH(DateVente)</f>
        <v>#VALUE!</v>
      </c>
      <c r="O192" t="str">
        <f>PROPER(VentesMagasins!$F192)</f>
        <v>Électronique</v>
      </c>
      <c r="P192">
        <f>VALUE(CLEAN(TRIM(SUBSTITUTE(VentesMagasins!$I192,".",","))))</f>
        <v>0.05</v>
      </c>
      <c r="Q192">
        <f>VALUE(TRIM(SUBSTITUTE(VentesMagasins!$J192,".",",")))</f>
        <v>182.39999999999901</v>
      </c>
      <c r="R192">
        <f t="shared" si="6"/>
        <v>173.27999999999906</v>
      </c>
      <c r="S192">
        <f>IF(VentesMagasins!$K192=1,(-1)*R192,R192)</f>
        <v>173.27999999999906</v>
      </c>
      <c r="T192">
        <f>IFERROR(VALUE(TRIM(SUBSTITUTE(VentesMagasins!$L192,".",","))),0)</f>
        <v>3</v>
      </c>
      <c r="U192">
        <f t="shared" si="7"/>
        <v>3</v>
      </c>
      <c r="V192" t="str">
        <f t="shared" si="8"/>
        <v>moyenne</v>
      </c>
      <c r="W192" t="str">
        <f>_xlfn.XLOOKUP(VentesMagasins!$B192,Clients!ClientID,Région)</f>
        <v>Nord</v>
      </c>
      <c r="X192" t="str">
        <f>INDEX(TypeClient,MATCH(VentesMagasins!$B192,Clients!ClientID))</f>
        <v>Nouveau</v>
      </c>
      <c r="Y192" t="str">
        <v>mars</v>
      </c>
    </row>
    <row r="193" spans="1:25" x14ac:dyDescent="0.25">
      <c r="A193" s="2">
        <v>192</v>
      </c>
      <c r="B193" s="12" t="s">
        <v>181</v>
      </c>
      <c r="C193" s="13">
        <v>45804</v>
      </c>
      <c r="D193" s="12" t="s">
        <v>328</v>
      </c>
      <c r="E193" s="14" t="s">
        <v>348</v>
      </c>
      <c r="F193" s="12" t="s">
        <v>341</v>
      </c>
      <c r="G193" s="2">
        <v>1</v>
      </c>
      <c r="H193" s="3">
        <v>338</v>
      </c>
      <c r="I193" s="14" t="s">
        <v>325</v>
      </c>
      <c r="J193" s="12" t="s">
        <v>541</v>
      </c>
      <c r="K193" s="2">
        <v>0</v>
      </c>
      <c r="L193" s="12" t="s">
        <v>332</v>
      </c>
      <c r="M193">
        <f>YEAR(VentesMagasins!$C193)</f>
        <v>2025</v>
      </c>
      <c r="N193" t="e" cm="1" vm="1">
        <f t="array" aca="1" ref="N193" ca="1">MONTH(DateVente)</f>
        <v>#VALUE!</v>
      </c>
      <c r="O193" t="str">
        <f>PROPER(VentesMagasins!$F193)</f>
        <v>Meuble</v>
      </c>
      <c r="P193">
        <f>VALUE(CLEAN(TRIM(SUBSTITUTE(VentesMagasins!$I193,".",","))))</f>
        <v>0.15</v>
      </c>
      <c r="Q193">
        <f>VALUE(TRIM(SUBSTITUTE(VentesMagasins!$J193,".",",")))</f>
        <v>287.3</v>
      </c>
      <c r="R193">
        <f t="shared" si="6"/>
        <v>244.20500000000001</v>
      </c>
      <c r="S193">
        <f>IF(VentesMagasins!$K193=1,(-1)*R193,R193)</f>
        <v>244.20500000000001</v>
      </c>
      <c r="T193">
        <f>IFERROR(VALUE(TRIM(SUBSTITUTE(VentesMagasins!$L193,".",","))),0)</f>
        <v>4</v>
      </c>
      <c r="U193">
        <f t="shared" si="7"/>
        <v>4</v>
      </c>
      <c r="V193" t="str">
        <f t="shared" si="8"/>
        <v>moyenne</v>
      </c>
      <c r="W193" t="str">
        <f>_xlfn.XLOOKUP(VentesMagasins!$B193,Clients!ClientID,Région)</f>
        <v>Est</v>
      </c>
      <c r="X193" t="str">
        <f>INDEX(TypeClient,MATCH(VentesMagasins!$B193,Clients!ClientID))</f>
        <v>Fidèle</v>
      </c>
      <c r="Y193" t="str">
        <v>mai</v>
      </c>
    </row>
    <row r="194" spans="1:25" x14ac:dyDescent="0.25">
      <c r="A194" s="2">
        <v>193</v>
      </c>
      <c r="B194" s="12" t="s">
        <v>171</v>
      </c>
      <c r="C194" s="13">
        <v>45487</v>
      </c>
      <c r="D194" s="12" t="s">
        <v>350</v>
      </c>
      <c r="E194" s="14" t="s">
        <v>362</v>
      </c>
      <c r="F194" s="12" t="s">
        <v>324</v>
      </c>
      <c r="G194" s="2">
        <v>1</v>
      </c>
      <c r="H194" s="3">
        <v>239</v>
      </c>
      <c r="I194" s="14" t="s">
        <v>325</v>
      </c>
      <c r="J194" s="12" t="s">
        <v>542</v>
      </c>
      <c r="K194" s="2">
        <v>0</v>
      </c>
      <c r="L194" s="12" t="s">
        <v>369</v>
      </c>
      <c r="M194">
        <f>YEAR(VentesMagasins!$C194)</f>
        <v>2024</v>
      </c>
      <c r="N194" t="e" cm="1" vm="1">
        <f t="array" aca="1" ref="N194" ca="1">MONTH(DateVente)</f>
        <v>#VALUE!</v>
      </c>
      <c r="O194" t="str">
        <f>PROPER(VentesMagasins!$F194)</f>
        <v>Électronique</v>
      </c>
      <c r="P194">
        <f>VALUE(CLEAN(TRIM(SUBSTITUTE(VentesMagasins!$I194,".",","))))</f>
        <v>0.15</v>
      </c>
      <c r="Q194">
        <f>VALUE(TRIM(SUBSTITUTE(VentesMagasins!$J194,".",",")))</f>
        <v>203.15</v>
      </c>
      <c r="R194">
        <f t="shared" si="6"/>
        <v>172.67750000000001</v>
      </c>
      <c r="S194">
        <f>IF(VentesMagasins!$K194=1,(-1)*R194,R194)</f>
        <v>172.67750000000001</v>
      </c>
      <c r="T194">
        <f>IFERROR(VALUE(TRIM(SUBSTITUTE(VentesMagasins!$L194,".",","))),0)</f>
        <v>1</v>
      </c>
      <c r="U194">
        <f t="shared" si="7"/>
        <v>1</v>
      </c>
      <c r="V194" t="str">
        <f t="shared" si="8"/>
        <v>faible</v>
      </c>
      <c r="W194" t="str">
        <f>_xlfn.XLOOKUP(VentesMagasins!$B194,Clients!ClientID,Région)</f>
        <v>Nord</v>
      </c>
      <c r="X194" t="str">
        <f>INDEX(TypeClient,MATCH(VentesMagasins!$B194,Clients!ClientID))</f>
        <v>Fidèle</v>
      </c>
      <c r="Y194" t="str">
        <v>juil</v>
      </c>
    </row>
    <row r="195" spans="1:25" x14ac:dyDescent="0.25">
      <c r="A195" s="2">
        <v>194</v>
      </c>
      <c r="B195" s="12" t="s">
        <v>303</v>
      </c>
      <c r="C195" s="13">
        <v>44940</v>
      </c>
      <c r="D195" s="12" t="s">
        <v>328</v>
      </c>
      <c r="E195" s="14" t="s">
        <v>334</v>
      </c>
      <c r="F195" s="12" t="s">
        <v>330</v>
      </c>
      <c r="G195" s="2">
        <v>1</v>
      </c>
      <c r="H195" s="3">
        <v>80</v>
      </c>
      <c r="I195" s="14" t="s">
        <v>325</v>
      </c>
      <c r="J195" s="12" t="s">
        <v>543</v>
      </c>
      <c r="K195" s="2">
        <v>0</v>
      </c>
      <c r="L195" s="12" t="s">
        <v>332</v>
      </c>
      <c r="M195">
        <f>YEAR(VentesMagasins!$C195)</f>
        <v>2023</v>
      </c>
      <c r="N195" t="e" cm="1" vm="1">
        <f t="array" aca="1" ref="N195" ca="1">MONTH(DateVente)</f>
        <v>#VALUE!</v>
      </c>
      <c r="O195" t="str">
        <f>PROPER(VentesMagasins!$F195)</f>
        <v>Décoration</v>
      </c>
      <c r="P195">
        <f>VALUE(CLEAN(TRIM(SUBSTITUTE(VentesMagasins!$I195,".",","))))</f>
        <v>0.15</v>
      </c>
      <c r="Q195">
        <f>VALUE(TRIM(SUBSTITUTE(VentesMagasins!$J195,".",",")))</f>
        <v>68</v>
      </c>
      <c r="R195">
        <f t="shared" ref="R195:R258" si="9">Q195*(1-P195)</f>
        <v>57.8</v>
      </c>
      <c r="S195">
        <f>IF(VentesMagasins!$K195=1,(-1)*R195,R195)</f>
        <v>57.8</v>
      </c>
      <c r="T195">
        <f>IFERROR(VALUE(TRIM(SUBSTITUTE(VentesMagasins!$L195,".",","))),0)</f>
        <v>4</v>
      </c>
      <c r="U195">
        <f t="shared" ref="U195:U258" si="10">ROUND(IF(T195=0,AVERAGE(T195:T1194),T195),0)</f>
        <v>4</v>
      </c>
      <c r="V195" t="str">
        <f t="shared" ref="V195:V258" si="11">IF(AND(U195&gt;0,U195&lt;=2),"faible",IF(AND(U195&gt;=3,U195&lt;=4),"moyenne",IF(U195=5,"élévé",0)))</f>
        <v>moyenne</v>
      </c>
      <c r="W195" t="str">
        <f>_xlfn.XLOOKUP(VentesMagasins!$B195,Clients!ClientID,Région)</f>
        <v>Est</v>
      </c>
      <c r="X195" t="str">
        <f>INDEX(TypeClient,MATCH(VentesMagasins!$B195,Clients!ClientID))</f>
        <v>Fidèle</v>
      </c>
      <c r="Y195" t="str">
        <v>janv</v>
      </c>
    </row>
    <row r="196" spans="1:25" x14ac:dyDescent="0.25">
      <c r="A196" s="2">
        <v>195</v>
      </c>
      <c r="B196" s="12" t="s">
        <v>186</v>
      </c>
      <c r="C196" s="13">
        <v>45774</v>
      </c>
      <c r="D196" s="12" t="s">
        <v>328</v>
      </c>
      <c r="E196" s="14" t="s">
        <v>339</v>
      </c>
      <c r="F196" s="12" t="s">
        <v>330</v>
      </c>
      <c r="G196" s="2">
        <v>2</v>
      </c>
      <c r="H196" s="3">
        <v>374</v>
      </c>
      <c r="I196" s="14" t="s">
        <v>335</v>
      </c>
      <c r="J196" s="12" t="s">
        <v>544</v>
      </c>
      <c r="K196" s="2">
        <v>0</v>
      </c>
      <c r="L196" s="12" t="s">
        <v>352</v>
      </c>
      <c r="M196">
        <f>YEAR(VentesMagasins!$C196)</f>
        <v>2025</v>
      </c>
      <c r="N196" t="e" cm="1" vm="1">
        <f t="array" aca="1" ref="N196" ca="1">MONTH(DateVente)</f>
        <v>#VALUE!</v>
      </c>
      <c r="O196" t="str">
        <f>PROPER(VentesMagasins!$F196)</f>
        <v>Décoration</v>
      </c>
      <c r="P196">
        <f>VALUE(CLEAN(TRIM(SUBSTITUTE(VentesMagasins!$I196,".",","))))</f>
        <v>0</v>
      </c>
      <c r="Q196">
        <f>VALUE(TRIM(SUBSTITUTE(VentesMagasins!$J196,".",",")))</f>
        <v>748</v>
      </c>
      <c r="R196">
        <f t="shared" si="9"/>
        <v>748</v>
      </c>
      <c r="S196">
        <f>IF(VentesMagasins!$K196=1,(-1)*R196,R196)</f>
        <v>748</v>
      </c>
      <c r="T196">
        <f>IFERROR(VALUE(TRIM(SUBSTITUTE(VentesMagasins!$L196,".",","))),0)</f>
        <v>0</v>
      </c>
      <c r="U196">
        <f t="shared" si="10"/>
        <v>3</v>
      </c>
      <c r="V196" t="str">
        <f t="shared" si="11"/>
        <v>moyenne</v>
      </c>
      <c r="W196" t="str">
        <f>_xlfn.XLOOKUP(VentesMagasins!$B196,Clients!ClientID,Région)</f>
        <v>Nord</v>
      </c>
      <c r="X196" t="str">
        <f>INDEX(TypeClient,MATCH(VentesMagasins!$B196,Clients!ClientID))</f>
        <v>Occasionnel</v>
      </c>
      <c r="Y196" t="str">
        <v>avr</v>
      </c>
    </row>
    <row r="197" spans="1:25" x14ac:dyDescent="0.25">
      <c r="A197" s="2">
        <v>196</v>
      </c>
      <c r="B197" s="12" t="s">
        <v>259</v>
      </c>
      <c r="C197" s="13">
        <v>45339</v>
      </c>
      <c r="D197" s="12" t="s">
        <v>333</v>
      </c>
      <c r="E197" s="14" t="s">
        <v>323</v>
      </c>
      <c r="F197" s="12" t="s">
        <v>330</v>
      </c>
      <c r="G197" s="2">
        <v>3</v>
      </c>
      <c r="H197" s="3">
        <v>341</v>
      </c>
      <c r="I197" s="14" t="s">
        <v>325</v>
      </c>
      <c r="J197" s="12" t="s">
        <v>545</v>
      </c>
      <c r="K197" s="2">
        <v>0</v>
      </c>
      <c r="L197" s="12" t="s">
        <v>352</v>
      </c>
      <c r="M197">
        <f>YEAR(VentesMagasins!$C197)</f>
        <v>2024</v>
      </c>
      <c r="N197" t="e" cm="1" vm="1">
        <f t="array" aca="1" ref="N197" ca="1">MONTH(DateVente)</f>
        <v>#VALUE!</v>
      </c>
      <c r="O197" t="str">
        <f>PROPER(VentesMagasins!$F197)</f>
        <v>Décoration</v>
      </c>
      <c r="P197">
        <f>VALUE(CLEAN(TRIM(SUBSTITUTE(VentesMagasins!$I197,".",","))))</f>
        <v>0.15</v>
      </c>
      <c r="Q197">
        <f>VALUE(TRIM(SUBSTITUTE(VentesMagasins!$J197,".",",")))</f>
        <v>869.55</v>
      </c>
      <c r="R197">
        <f t="shared" si="9"/>
        <v>739.11749999999995</v>
      </c>
      <c r="S197">
        <f>IF(VentesMagasins!$K197=1,(-1)*R197,R197)</f>
        <v>739.11749999999995</v>
      </c>
      <c r="T197">
        <f>IFERROR(VALUE(TRIM(SUBSTITUTE(VentesMagasins!$L197,".",","))),0)</f>
        <v>0</v>
      </c>
      <c r="U197">
        <f t="shared" si="10"/>
        <v>3</v>
      </c>
      <c r="V197" t="str">
        <f t="shared" si="11"/>
        <v>moyenne</v>
      </c>
      <c r="W197" t="str">
        <f>_xlfn.XLOOKUP(VentesMagasins!$B197,Clients!ClientID,Région)</f>
        <v>Ouest</v>
      </c>
      <c r="X197" t="str">
        <f>INDEX(TypeClient,MATCH(VentesMagasins!$B197,Clients!ClientID))</f>
        <v>Fidèle</v>
      </c>
      <c r="Y197" t="str">
        <v>févr</v>
      </c>
    </row>
    <row r="198" spans="1:25" x14ac:dyDescent="0.25">
      <c r="A198" s="2">
        <v>197</v>
      </c>
      <c r="B198" s="12" t="s">
        <v>268</v>
      </c>
      <c r="C198" s="13">
        <v>45330</v>
      </c>
      <c r="D198" s="12" t="s">
        <v>328</v>
      </c>
      <c r="E198" s="14" t="s">
        <v>339</v>
      </c>
      <c r="F198" s="12" t="s">
        <v>324</v>
      </c>
      <c r="G198" s="2">
        <v>3</v>
      </c>
      <c r="H198" s="3">
        <v>39</v>
      </c>
      <c r="I198" s="14" t="s">
        <v>325</v>
      </c>
      <c r="J198" s="12" t="s">
        <v>546</v>
      </c>
      <c r="K198" s="2">
        <v>0</v>
      </c>
      <c r="L198" s="12" t="s">
        <v>337</v>
      </c>
      <c r="M198">
        <f>YEAR(VentesMagasins!$C198)</f>
        <v>2024</v>
      </c>
      <c r="N198" t="e" cm="1" vm="1">
        <f t="array" aca="1" ref="N198" ca="1">MONTH(DateVente)</f>
        <v>#VALUE!</v>
      </c>
      <c r="O198" t="str">
        <f>PROPER(VentesMagasins!$F198)</f>
        <v>Électronique</v>
      </c>
      <c r="P198">
        <f>VALUE(CLEAN(TRIM(SUBSTITUTE(VentesMagasins!$I198,".",","))))</f>
        <v>0.15</v>
      </c>
      <c r="Q198">
        <f>VALUE(TRIM(SUBSTITUTE(VentesMagasins!$J198,".",",")))</f>
        <v>99.45</v>
      </c>
      <c r="R198">
        <f t="shared" si="9"/>
        <v>84.532499999999999</v>
      </c>
      <c r="S198">
        <f>IF(VentesMagasins!$K198=1,(-1)*R198,R198)</f>
        <v>84.532499999999999</v>
      </c>
      <c r="T198">
        <f>IFERROR(VALUE(TRIM(SUBSTITUTE(VentesMagasins!$L198,".",","))),0)</f>
        <v>3</v>
      </c>
      <c r="U198">
        <f t="shared" si="10"/>
        <v>3</v>
      </c>
      <c r="V198" t="str">
        <f t="shared" si="11"/>
        <v>moyenne</v>
      </c>
      <c r="W198" t="str">
        <f>_xlfn.XLOOKUP(VentesMagasins!$B198,Clients!ClientID,Région)</f>
        <v>Est</v>
      </c>
      <c r="X198" t="str">
        <f>INDEX(TypeClient,MATCH(VentesMagasins!$B198,Clients!ClientID))</f>
        <v>Nouveau</v>
      </c>
      <c r="Y198" t="str">
        <v>févr</v>
      </c>
    </row>
    <row r="199" spans="1:25" x14ac:dyDescent="0.25">
      <c r="A199" s="2">
        <v>198</v>
      </c>
      <c r="B199" s="12" t="s">
        <v>187</v>
      </c>
      <c r="C199" s="13">
        <v>45625</v>
      </c>
      <c r="D199" s="12" t="s">
        <v>338</v>
      </c>
      <c r="E199" s="14" t="s">
        <v>323</v>
      </c>
      <c r="F199" s="12" t="s">
        <v>324</v>
      </c>
      <c r="G199" s="2">
        <v>5</v>
      </c>
      <c r="H199" s="3">
        <v>441</v>
      </c>
      <c r="I199" s="14" t="s">
        <v>325</v>
      </c>
      <c r="J199" s="12" t="s">
        <v>547</v>
      </c>
      <c r="K199" s="2">
        <v>0</v>
      </c>
      <c r="L199" s="12" t="s">
        <v>337</v>
      </c>
      <c r="M199">
        <f>YEAR(VentesMagasins!$C199)</f>
        <v>2024</v>
      </c>
      <c r="N199" t="e" cm="1" vm="1">
        <f t="array" aca="1" ref="N199" ca="1">MONTH(DateVente)</f>
        <v>#VALUE!</v>
      </c>
      <c r="O199" t="str">
        <f>PROPER(VentesMagasins!$F199)</f>
        <v>Électronique</v>
      </c>
      <c r="P199">
        <f>VALUE(CLEAN(TRIM(SUBSTITUTE(VentesMagasins!$I199,".",","))))</f>
        <v>0.15</v>
      </c>
      <c r="Q199">
        <f>VALUE(TRIM(SUBSTITUTE(VentesMagasins!$J199,".",",")))</f>
        <v>1874.25</v>
      </c>
      <c r="R199">
        <f t="shared" si="9"/>
        <v>1593.1125</v>
      </c>
      <c r="S199">
        <f>IF(VentesMagasins!$K199=1,(-1)*R199,R199)</f>
        <v>1593.1125</v>
      </c>
      <c r="T199">
        <f>IFERROR(VALUE(TRIM(SUBSTITUTE(VentesMagasins!$L199,".",","))),0)</f>
        <v>3</v>
      </c>
      <c r="U199">
        <f t="shared" si="10"/>
        <v>3</v>
      </c>
      <c r="V199" t="str">
        <f t="shared" si="11"/>
        <v>moyenne</v>
      </c>
      <c r="W199" t="str">
        <f>_xlfn.XLOOKUP(VentesMagasins!$B199,Clients!ClientID,Région)</f>
        <v>Est</v>
      </c>
      <c r="X199" t="str">
        <f>INDEX(TypeClient,MATCH(VentesMagasins!$B199,Clients!ClientID))</f>
        <v>Nouveau</v>
      </c>
      <c r="Y199" t="str">
        <v>nov</v>
      </c>
    </row>
    <row r="200" spans="1:25" x14ac:dyDescent="0.25">
      <c r="A200" s="2">
        <v>199</v>
      </c>
      <c r="B200" s="12" t="s">
        <v>96</v>
      </c>
      <c r="C200" s="13">
        <v>45058</v>
      </c>
      <c r="D200" s="12" t="s">
        <v>333</v>
      </c>
      <c r="E200" s="14" t="s">
        <v>339</v>
      </c>
      <c r="F200" s="12" t="s">
        <v>341</v>
      </c>
      <c r="G200" s="2">
        <v>1</v>
      </c>
      <c r="H200" s="3">
        <v>423</v>
      </c>
      <c r="I200" s="14" t="s">
        <v>335</v>
      </c>
      <c r="J200" s="12" t="s">
        <v>548</v>
      </c>
      <c r="K200" s="2">
        <v>0</v>
      </c>
      <c r="L200" s="12" t="s">
        <v>337</v>
      </c>
      <c r="M200">
        <f>YEAR(VentesMagasins!$C200)</f>
        <v>2023</v>
      </c>
      <c r="N200" t="e" cm="1" vm="1">
        <f t="array" aca="1" ref="N200" ca="1">MONTH(DateVente)</f>
        <v>#VALUE!</v>
      </c>
      <c r="O200" t="str">
        <f>PROPER(VentesMagasins!$F200)</f>
        <v>Meuble</v>
      </c>
      <c r="P200">
        <f>VALUE(CLEAN(TRIM(SUBSTITUTE(VentesMagasins!$I200,".",","))))</f>
        <v>0</v>
      </c>
      <c r="Q200">
        <f>VALUE(TRIM(SUBSTITUTE(VentesMagasins!$J200,".",",")))</f>
        <v>423</v>
      </c>
      <c r="R200">
        <f t="shared" si="9"/>
        <v>423</v>
      </c>
      <c r="S200">
        <f>IF(VentesMagasins!$K200=1,(-1)*R200,R200)</f>
        <v>423</v>
      </c>
      <c r="T200">
        <f>IFERROR(VALUE(TRIM(SUBSTITUTE(VentesMagasins!$L200,".",","))),0)</f>
        <v>3</v>
      </c>
      <c r="U200">
        <f t="shared" si="10"/>
        <v>3</v>
      </c>
      <c r="V200" t="str">
        <f t="shared" si="11"/>
        <v>moyenne</v>
      </c>
      <c r="W200" t="str">
        <f>_xlfn.XLOOKUP(VentesMagasins!$B200,Clients!ClientID,Région)</f>
        <v>Nord</v>
      </c>
      <c r="X200" t="str">
        <f>INDEX(TypeClient,MATCH(VentesMagasins!$B200,Clients!ClientID))</f>
        <v>Nouveau</v>
      </c>
      <c r="Y200" t="str">
        <v>mai</v>
      </c>
    </row>
    <row r="201" spans="1:25" x14ac:dyDescent="0.25">
      <c r="A201" s="2">
        <v>200</v>
      </c>
      <c r="B201" s="12" t="s">
        <v>241</v>
      </c>
      <c r="C201" s="13">
        <v>45802</v>
      </c>
      <c r="D201" s="12" t="s">
        <v>338</v>
      </c>
      <c r="E201" s="14" t="s">
        <v>345</v>
      </c>
      <c r="F201" s="12" t="s">
        <v>330</v>
      </c>
      <c r="G201" s="2">
        <v>2</v>
      </c>
      <c r="H201" s="3">
        <v>253</v>
      </c>
      <c r="I201" s="14" t="s">
        <v>325</v>
      </c>
      <c r="J201" s="12" t="s">
        <v>549</v>
      </c>
      <c r="K201" s="2">
        <v>0</v>
      </c>
      <c r="L201" s="12" t="s">
        <v>332</v>
      </c>
      <c r="M201">
        <f>YEAR(VentesMagasins!$C201)</f>
        <v>2025</v>
      </c>
      <c r="N201" t="e" cm="1" vm="1">
        <f t="array" aca="1" ref="N201" ca="1">MONTH(DateVente)</f>
        <v>#VALUE!</v>
      </c>
      <c r="O201" t="str">
        <f>PROPER(VentesMagasins!$F201)</f>
        <v>Décoration</v>
      </c>
      <c r="P201">
        <f>VALUE(CLEAN(TRIM(SUBSTITUTE(VentesMagasins!$I201,".",","))))</f>
        <v>0.15</v>
      </c>
      <c r="Q201">
        <f>VALUE(TRIM(SUBSTITUTE(VentesMagasins!$J201,".",",")))</f>
        <v>430.099999999999</v>
      </c>
      <c r="R201">
        <f t="shared" si="9"/>
        <v>365.58499999999913</v>
      </c>
      <c r="S201">
        <f>IF(VentesMagasins!$K201=1,(-1)*R201,R201)</f>
        <v>365.58499999999913</v>
      </c>
      <c r="T201">
        <f>IFERROR(VALUE(TRIM(SUBSTITUTE(VentesMagasins!$L201,".",","))),0)</f>
        <v>4</v>
      </c>
      <c r="U201">
        <f t="shared" si="10"/>
        <v>4</v>
      </c>
      <c r="V201" t="str">
        <f t="shared" si="11"/>
        <v>moyenne</v>
      </c>
      <c r="W201" t="str">
        <f>_xlfn.XLOOKUP(VentesMagasins!$B201,Clients!ClientID,Région)</f>
        <v>Ouest</v>
      </c>
      <c r="X201" t="str">
        <f>INDEX(TypeClient,MATCH(VentesMagasins!$B201,Clients!ClientID))</f>
        <v>Occasionnel</v>
      </c>
      <c r="Y201" t="str">
        <v>mai</v>
      </c>
    </row>
    <row r="202" spans="1:25" x14ac:dyDescent="0.25">
      <c r="A202" s="2">
        <v>201</v>
      </c>
      <c r="B202" s="12" t="s">
        <v>126</v>
      </c>
      <c r="C202" s="13">
        <v>45679</v>
      </c>
      <c r="D202" s="12" t="s">
        <v>401</v>
      </c>
      <c r="E202" s="14" t="s">
        <v>334</v>
      </c>
      <c r="F202" s="12" t="s">
        <v>341</v>
      </c>
      <c r="G202" s="2">
        <v>4</v>
      </c>
      <c r="H202" s="3">
        <v>299</v>
      </c>
      <c r="I202" s="14" t="s">
        <v>342</v>
      </c>
      <c r="J202" s="12" t="s">
        <v>550</v>
      </c>
      <c r="K202" s="2">
        <v>0</v>
      </c>
      <c r="L202" s="12" t="s">
        <v>352</v>
      </c>
      <c r="M202">
        <f>YEAR(VentesMagasins!$C202)</f>
        <v>2025</v>
      </c>
      <c r="N202" t="e" cm="1" vm="1">
        <f t="array" aca="1" ref="N202" ca="1">MONTH(DateVente)</f>
        <v>#VALUE!</v>
      </c>
      <c r="O202" t="str">
        <f>PROPER(VentesMagasins!$F202)</f>
        <v>Meuble</v>
      </c>
      <c r="P202">
        <f>VALUE(CLEAN(TRIM(SUBSTITUTE(VentesMagasins!$I202,".",","))))</f>
        <v>0.05</v>
      </c>
      <c r="Q202">
        <f>VALUE(TRIM(SUBSTITUTE(VentesMagasins!$J202,".",",")))</f>
        <v>1136.2</v>
      </c>
      <c r="R202">
        <f t="shared" si="9"/>
        <v>1079.3900000000001</v>
      </c>
      <c r="S202">
        <f>IF(VentesMagasins!$K202=1,(-1)*R202,R202)</f>
        <v>1079.3900000000001</v>
      </c>
      <c r="T202">
        <f>IFERROR(VALUE(TRIM(SUBSTITUTE(VentesMagasins!$L202,".",","))),0)</f>
        <v>0</v>
      </c>
      <c r="U202">
        <f t="shared" si="10"/>
        <v>3</v>
      </c>
      <c r="V202" t="str">
        <f t="shared" si="11"/>
        <v>moyenne</v>
      </c>
      <c r="W202" t="str">
        <f>_xlfn.XLOOKUP(VentesMagasins!$B202,Clients!ClientID,Région)</f>
        <v>Nord</v>
      </c>
      <c r="X202" t="str">
        <f>INDEX(TypeClient,MATCH(VentesMagasins!$B202,Clients!ClientID))</f>
        <v>Nouveau</v>
      </c>
      <c r="Y202" t="str">
        <v>janv</v>
      </c>
    </row>
    <row r="203" spans="1:25" x14ac:dyDescent="0.25">
      <c r="A203" s="2">
        <v>202</v>
      </c>
      <c r="B203" s="12" t="s">
        <v>79</v>
      </c>
      <c r="C203" s="13">
        <v>45391</v>
      </c>
      <c r="D203" s="12" t="s">
        <v>333</v>
      </c>
      <c r="E203" s="14" t="s">
        <v>323</v>
      </c>
      <c r="F203" s="12" t="s">
        <v>324</v>
      </c>
      <c r="G203" s="2">
        <v>3</v>
      </c>
      <c r="H203" s="3">
        <v>148</v>
      </c>
      <c r="I203" s="14" t="s">
        <v>335</v>
      </c>
      <c r="J203" s="12" t="s">
        <v>551</v>
      </c>
      <c r="K203" s="2">
        <v>0</v>
      </c>
      <c r="L203" s="12" t="s">
        <v>337</v>
      </c>
      <c r="M203">
        <f>YEAR(VentesMagasins!$C203)</f>
        <v>2024</v>
      </c>
      <c r="N203" t="e" cm="1" vm="1">
        <f t="array" aca="1" ref="N203" ca="1">MONTH(DateVente)</f>
        <v>#VALUE!</v>
      </c>
      <c r="O203" t="str">
        <f>PROPER(VentesMagasins!$F203)</f>
        <v>Électronique</v>
      </c>
      <c r="P203">
        <f>VALUE(CLEAN(TRIM(SUBSTITUTE(VentesMagasins!$I203,".",","))))</f>
        <v>0</v>
      </c>
      <c r="Q203">
        <f>VALUE(TRIM(SUBSTITUTE(VentesMagasins!$J203,".",",")))</f>
        <v>444</v>
      </c>
      <c r="R203">
        <f t="shared" si="9"/>
        <v>444</v>
      </c>
      <c r="S203">
        <f>IF(VentesMagasins!$K203=1,(-1)*R203,R203)</f>
        <v>444</v>
      </c>
      <c r="T203">
        <f>IFERROR(VALUE(TRIM(SUBSTITUTE(VentesMagasins!$L203,".",","))),0)</f>
        <v>3</v>
      </c>
      <c r="U203">
        <f t="shared" si="10"/>
        <v>3</v>
      </c>
      <c r="V203" t="str">
        <f t="shared" si="11"/>
        <v>moyenne</v>
      </c>
      <c r="W203" t="str">
        <f>_xlfn.XLOOKUP(VentesMagasins!$B203,Clients!ClientID,Région)</f>
        <v>Ouest</v>
      </c>
      <c r="X203" t="str">
        <f>INDEX(TypeClient,MATCH(VentesMagasins!$B203,Clients!ClientID))</f>
        <v>Occasionnel</v>
      </c>
      <c r="Y203" t="str">
        <v>avr</v>
      </c>
    </row>
    <row r="204" spans="1:25" x14ac:dyDescent="0.25">
      <c r="A204" s="2">
        <v>203</v>
      </c>
      <c r="B204" s="12" t="s">
        <v>242</v>
      </c>
      <c r="C204" s="13">
        <v>45770</v>
      </c>
      <c r="D204" s="12" t="s">
        <v>328</v>
      </c>
      <c r="E204" s="14" t="s">
        <v>323</v>
      </c>
      <c r="F204" s="12" t="s">
        <v>330</v>
      </c>
      <c r="G204" s="2">
        <v>4</v>
      </c>
      <c r="H204" s="3">
        <v>375</v>
      </c>
      <c r="I204" s="14" t="s">
        <v>325</v>
      </c>
      <c r="J204" s="12" t="s">
        <v>552</v>
      </c>
      <c r="K204" s="2">
        <v>0</v>
      </c>
      <c r="L204" s="12" t="s">
        <v>332</v>
      </c>
      <c r="M204">
        <f>YEAR(VentesMagasins!$C204)</f>
        <v>2025</v>
      </c>
      <c r="N204" t="e" cm="1" vm="1">
        <f t="array" aca="1" ref="N204" ca="1">MONTH(DateVente)</f>
        <v>#VALUE!</v>
      </c>
      <c r="O204" t="str">
        <f>PROPER(VentesMagasins!$F204)</f>
        <v>Décoration</v>
      </c>
      <c r="P204">
        <f>VALUE(CLEAN(TRIM(SUBSTITUTE(VentesMagasins!$I204,".",","))))</f>
        <v>0.15</v>
      </c>
      <c r="Q204">
        <f>VALUE(TRIM(SUBSTITUTE(VentesMagasins!$J204,".",",")))</f>
        <v>1275</v>
      </c>
      <c r="R204">
        <f t="shared" si="9"/>
        <v>1083.75</v>
      </c>
      <c r="S204">
        <f>IF(VentesMagasins!$K204=1,(-1)*R204,R204)</f>
        <v>1083.75</v>
      </c>
      <c r="T204">
        <f>IFERROR(VALUE(TRIM(SUBSTITUTE(VentesMagasins!$L204,".",","))),0)</f>
        <v>4</v>
      </c>
      <c r="U204">
        <f t="shared" si="10"/>
        <v>4</v>
      </c>
      <c r="V204" t="str">
        <f t="shared" si="11"/>
        <v>moyenne</v>
      </c>
      <c r="W204" t="str">
        <f>_xlfn.XLOOKUP(VentesMagasins!$B204,Clients!ClientID,Région)</f>
        <v>Sud</v>
      </c>
      <c r="X204" t="str">
        <f>INDEX(TypeClient,MATCH(VentesMagasins!$B204,Clients!ClientID))</f>
        <v>Occasionnel</v>
      </c>
      <c r="Y204" t="str">
        <v>avr</v>
      </c>
    </row>
    <row r="205" spans="1:25" x14ac:dyDescent="0.25">
      <c r="A205" s="2">
        <v>204</v>
      </c>
      <c r="B205" s="12" t="s">
        <v>87</v>
      </c>
      <c r="C205" s="13">
        <v>45448</v>
      </c>
      <c r="D205" s="12" t="s">
        <v>338</v>
      </c>
      <c r="E205" s="14" t="s">
        <v>329</v>
      </c>
      <c r="F205" s="12" t="s">
        <v>341</v>
      </c>
      <c r="G205" s="2">
        <v>5</v>
      </c>
      <c r="H205" s="3">
        <v>352</v>
      </c>
      <c r="I205" s="14" t="s">
        <v>342</v>
      </c>
      <c r="J205" s="12" t="s">
        <v>553</v>
      </c>
      <c r="K205" s="2">
        <v>1</v>
      </c>
      <c r="L205" s="12" t="s">
        <v>344</v>
      </c>
      <c r="M205">
        <f>YEAR(VentesMagasins!$C205)</f>
        <v>2024</v>
      </c>
      <c r="N205" t="e" cm="1" vm="1">
        <f t="array" aca="1" ref="N205" ca="1">MONTH(DateVente)</f>
        <v>#VALUE!</v>
      </c>
      <c r="O205" t="str">
        <f>PROPER(VentesMagasins!$F205)</f>
        <v>Meuble</v>
      </c>
      <c r="P205">
        <f>VALUE(CLEAN(TRIM(SUBSTITUTE(VentesMagasins!$I205,".",","))))</f>
        <v>0.05</v>
      </c>
      <c r="Q205">
        <f>VALUE(TRIM(SUBSTITUTE(VentesMagasins!$J205,".",",")))</f>
        <v>1672</v>
      </c>
      <c r="R205">
        <f t="shared" si="9"/>
        <v>1588.3999999999999</v>
      </c>
      <c r="S205">
        <f>IF(VentesMagasins!$K205=1,(-1)*R205,R205)</f>
        <v>-1588.3999999999999</v>
      </c>
      <c r="T205">
        <f>IFERROR(VALUE(TRIM(SUBSTITUTE(VentesMagasins!$L205,".",","))),0)</f>
        <v>2</v>
      </c>
      <c r="U205">
        <f t="shared" si="10"/>
        <v>2</v>
      </c>
      <c r="V205" t="str">
        <f t="shared" si="11"/>
        <v>faible</v>
      </c>
      <c r="W205" t="str">
        <f>_xlfn.XLOOKUP(VentesMagasins!$B205,Clients!ClientID,Région)</f>
        <v>Ouest</v>
      </c>
      <c r="X205" t="str">
        <f>INDEX(TypeClient,MATCH(VentesMagasins!$B205,Clients!ClientID))</f>
        <v>Occasionnel</v>
      </c>
      <c r="Y205" t="str">
        <v>juin</v>
      </c>
    </row>
    <row r="206" spans="1:25" x14ac:dyDescent="0.25">
      <c r="A206" s="2">
        <v>205</v>
      </c>
      <c r="B206" s="12" t="s">
        <v>143</v>
      </c>
      <c r="C206" s="13">
        <v>45075</v>
      </c>
      <c r="D206" s="12" t="s">
        <v>338</v>
      </c>
      <c r="E206" s="14" t="s">
        <v>364</v>
      </c>
      <c r="F206" s="12" t="s">
        <v>324</v>
      </c>
      <c r="G206" s="2">
        <v>4</v>
      </c>
      <c r="H206" s="3">
        <v>120</v>
      </c>
      <c r="I206" s="14" t="s">
        <v>335</v>
      </c>
      <c r="J206" s="12" t="s">
        <v>554</v>
      </c>
      <c r="K206" s="2">
        <v>0</v>
      </c>
      <c r="L206" s="12" t="s">
        <v>344</v>
      </c>
      <c r="M206">
        <f>YEAR(VentesMagasins!$C206)</f>
        <v>2023</v>
      </c>
      <c r="N206" t="e" cm="1" vm="1">
        <f t="array" aca="1" ref="N206" ca="1">MONTH(DateVente)</f>
        <v>#VALUE!</v>
      </c>
      <c r="O206" t="str">
        <f>PROPER(VentesMagasins!$F206)</f>
        <v>Électronique</v>
      </c>
      <c r="P206">
        <f>VALUE(CLEAN(TRIM(SUBSTITUTE(VentesMagasins!$I206,".",","))))</f>
        <v>0</v>
      </c>
      <c r="Q206">
        <f>VALUE(TRIM(SUBSTITUTE(VentesMagasins!$J206,".",",")))</f>
        <v>480</v>
      </c>
      <c r="R206">
        <f t="shared" si="9"/>
        <v>480</v>
      </c>
      <c r="S206">
        <f>IF(VentesMagasins!$K206=1,(-1)*R206,R206)</f>
        <v>480</v>
      </c>
      <c r="T206">
        <f>IFERROR(VALUE(TRIM(SUBSTITUTE(VentesMagasins!$L206,".",","))),0)</f>
        <v>2</v>
      </c>
      <c r="U206">
        <f t="shared" si="10"/>
        <v>2</v>
      </c>
      <c r="V206" t="str">
        <f t="shared" si="11"/>
        <v>faible</v>
      </c>
      <c r="W206" t="str">
        <f>_xlfn.XLOOKUP(VentesMagasins!$B206,Clients!ClientID,Région)</f>
        <v>Nord</v>
      </c>
      <c r="X206" t="str">
        <f>INDEX(TypeClient,MATCH(VentesMagasins!$B206,Clients!ClientID))</f>
        <v>Fidèle</v>
      </c>
      <c r="Y206" t="str">
        <v>mai</v>
      </c>
    </row>
    <row r="207" spans="1:25" x14ac:dyDescent="0.25">
      <c r="A207" s="2">
        <v>206</v>
      </c>
      <c r="B207" s="12" t="s">
        <v>229</v>
      </c>
      <c r="C207" s="13">
        <v>45596</v>
      </c>
      <c r="D207" s="12" t="s">
        <v>333</v>
      </c>
      <c r="E207" s="14" t="s">
        <v>334</v>
      </c>
      <c r="F207" s="12" t="s">
        <v>330</v>
      </c>
      <c r="G207" s="2">
        <v>2</v>
      </c>
      <c r="H207" s="3">
        <v>489</v>
      </c>
      <c r="I207" s="14" t="s">
        <v>355</v>
      </c>
      <c r="J207" s="12" t="s">
        <v>555</v>
      </c>
      <c r="K207" s="2">
        <v>0</v>
      </c>
      <c r="L207" s="12" t="s">
        <v>332</v>
      </c>
      <c r="M207">
        <f>YEAR(VentesMagasins!$C207)</f>
        <v>2024</v>
      </c>
      <c r="N207" t="e" cm="1" vm="1">
        <f t="array" aca="1" ref="N207" ca="1">MONTH(DateVente)</f>
        <v>#VALUE!</v>
      </c>
      <c r="O207" t="str">
        <f>PROPER(VentesMagasins!$F207)</f>
        <v>Décoration</v>
      </c>
      <c r="P207">
        <f>VALUE(CLEAN(TRIM(SUBSTITUTE(VentesMagasins!$I207,".",","))))</f>
        <v>0.1</v>
      </c>
      <c r="Q207">
        <f>VALUE(TRIM(SUBSTITUTE(VentesMagasins!$J207,".",",")))</f>
        <v>880.2</v>
      </c>
      <c r="R207">
        <f t="shared" si="9"/>
        <v>792.18000000000006</v>
      </c>
      <c r="S207">
        <f>IF(VentesMagasins!$K207=1,(-1)*R207,R207)</f>
        <v>792.18000000000006</v>
      </c>
      <c r="T207">
        <f>IFERROR(VALUE(TRIM(SUBSTITUTE(VentesMagasins!$L207,".",","))),0)</f>
        <v>4</v>
      </c>
      <c r="U207">
        <f t="shared" si="10"/>
        <v>4</v>
      </c>
      <c r="V207" t="str">
        <f t="shared" si="11"/>
        <v>moyenne</v>
      </c>
      <c r="W207" t="str">
        <f>_xlfn.XLOOKUP(VentesMagasins!$B207,Clients!ClientID,Région)</f>
        <v>Ouest</v>
      </c>
      <c r="X207" t="str">
        <f>INDEX(TypeClient,MATCH(VentesMagasins!$B207,Clients!ClientID))</f>
        <v>Occasionnel</v>
      </c>
      <c r="Y207" t="str">
        <v>oct</v>
      </c>
    </row>
    <row r="208" spans="1:25" x14ac:dyDescent="0.25">
      <c r="A208" s="2">
        <v>207</v>
      </c>
      <c r="B208" s="12" t="s">
        <v>20</v>
      </c>
      <c r="C208" s="13">
        <v>45435</v>
      </c>
      <c r="D208" s="12" t="s">
        <v>328</v>
      </c>
      <c r="E208" s="14" t="s">
        <v>329</v>
      </c>
      <c r="F208" s="12" t="s">
        <v>324</v>
      </c>
      <c r="G208" s="2">
        <v>5</v>
      </c>
      <c r="H208" s="3">
        <v>301</v>
      </c>
      <c r="I208" s="14" t="s">
        <v>355</v>
      </c>
      <c r="J208" s="12" t="s">
        <v>556</v>
      </c>
      <c r="K208" s="2">
        <v>1</v>
      </c>
      <c r="L208" s="12" t="s">
        <v>327</v>
      </c>
      <c r="M208">
        <f>YEAR(VentesMagasins!$C208)</f>
        <v>2024</v>
      </c>
      <c r="N208" t="e" cm="1" vm="1">
        <f t="array" aca="1" ref="N208" ca="1">MONTH(DateVente)</f>
        <v>#VALUE!</v>
      </c>
      <c r="O208" t="str">
        <f>PROPER(VentesMagasins!$F208)</f>
        <v>Électronique</v>
      </c>
      <c r="P208">
        <f>VALUE(CLEAN(TRIM(SUBSTITUTE(VentesMagasins!$I208,".",","))))</f>
        <v>0.1</v>
      </c>
      <c r="Q208">
        <f>VALUE(TRIM(SUBSTITUTE(VentesMagasins!$J208,".",",")))</f>
        <v>1354.5</v>
      </c>
      <c r="R208">
        <f t="shared" si="9"/>
        <v>1219.05</v>
      </c>
      <c r="S208">
        <f>IF(VentesMagasins!$K208=1,(-1)*R208,R208)</f>
        <v>-1219.05</v>
      </c>
      <c r="T208">
        <f>IFERROR(VALUE(TRIM(SUBSTITUTE(VentesMagasins!$L208,".",","))),0)</f>
        <v>5</v>
      </c>
      <c r="U208">
        <f t="shared" si="10"/>
        <v>5</v>
      </c>
      <c r="V208" t="str">
        <f t="shared" si="11"/>
        <v>élévé</v>
      </c>
      <c r="W208" t="str">
        <f>_xlfn.XLOOKUP(VentesMagasins!$B208,Clients!ClientID,Région)</f>
        <v>Centre</v>
      </c>
      <c r="X208" t="str">
        <f>INDEX(TypeClient,MATCH(VentesMagasins!$B208,Clients!ClientID))</f>
        <v>Nouveau</v>
      </c>
      <c r="Y208" t="str">
        <v>mai</v>
      </c>
    </row>
    <row r="209" spans="1:25" x14ac:dyDescent="0.25">
      <c r="A209" s="2">
        <v>208</v>
      </c>
      <c r="B209" s="12" t="s">
        <v>309</v>
      </c>
      <c r="C209" s="13">
        <v>45603</v>
      </c>
      <c r="D209" s="12" t="s">
        <v>322</v>
      </c>
      <c r="E209" s="14" t="s">
        <v>348</v>
      </c>
      <c r="F209" s="12" t="s">
        <v>330</v>
      </c>
      <c r="G209" s="2">
        <v>2</v>
      </c>
      <c r="H209" s="3">
        <v>156</v>
      </c>
      <c r="I209" s="14" t="s">
        <v>355</v>
      </c>
      <c r="J209" s="12" t="s">
        <v>557</v>
      </c>
      <c r="K209" s="2">
        <v>0</v>
      </c>
      <c r="L209" s="12" t="s">
        <v>332</v>
      </c>
      <c r="M209">
        <f>YEAR(VentesMagasins!$C209)</f>
        <v>2024</v>
      </c>
      <c r="N209" t="e" cm="1" vm="1">
        <f t="array" aca="1" ref="N209" ca="1">MONTH(DateVente)</f>
        <v>#VALUE!</v>
      </c>
      <c r="O209" t="str">
        <f>PROPER(VentesMagasins!$F209)</f>
        <v>Décoration</v>
      </c>
      <c r="P209">
        <f>VALUE(CLEAN(TRIM(SUBSTITUTE(VentesMagasins!$I209,".",","))))</f>
        <v>0.1</v>
      </c>
      <c r="Q209">
        <f>VALUE(TRIM(SUBSTITUTE(VentesMagasins!$J209,".",",")))</f>
        <v>280.8</v>
      </c>
      <c r="R209">
        <f t="shared" si="9"/>
        <v>252.72000000000003</v>
      </c>
      <c r="S209">
        <f>IF(VentesMagasins!$K209=1,(-1)*R209,R209)</f>
        <v>252.72000000000003</v>
      </c>
      <c r="T209">
        <f>IFERROR(VALUE(TRIM(SUBSTITUTE(VentesMagasins!$L209,".",","))),0)</f>
        <v>4</v>
      </c>
      <c r="U209">
        <f t="shared" si="10"/>
        <v>4</v>
      </c>
      <c r="V209" t="str">
        <f t="shared" si="11"/>
        <v>moyenne</v>
      </c>
      <c r="W209" t="str">
        <f>_xlfn.XLOOKUP(VentesMagasins!$B209,Clients!ClientID,Région)</f>
        <v>Est</v>
      </c>
      <c r="X209" t="str">
        <f>INDEX(TypeClient,MATCH(VentesMagasins!$B209,Clients!ClientID))</f>
        <v>Fidèle</v>
      </c>
      <c r="Y209" t="str">
        <v>nov</v>
      </c>
    </row>
    <row r="210" spans="1:25" x14ac:dyDescent="0.25">
      <c r="A210" s="2">
        <v>209</v>
      </c>
      <c r="B210" s="12" t="s">
        <v>233</v>
      </c>
      <c r="C210" s="13">
        <v>45316</v>
      </c>
      <c r="D210" s="12" t="s">
        <v>322</v>
      </c>
      <c r="E210" s="14" t="s">
        <v>345</v>
      </c>
      <c r="F210" s="12" t="s">
        <v>341</v>
      </c>
      <c r="G210" s="2">
        <v>4</v>
      </c>
      <c r="H210" s="3">
        <v>405</v>
      </c>
      <c r="I210" s="14" t="s">
        <v>325</v>
      </c>
      <c r="J210" s="12" t="s">
        <v>558</v>
      </c>
      <c r="K210" s="2">
        <v>0</v>
      </c>
      <c r="L210" s="12" t="s">
        <v>327</v>
      </c>
      <c r="M210">
        <f>YEAR(VentesMagasins!$C210)</f>
        <v>2024</v>
      </c>
      <c r="N210" t="e" cm="1" vm="1">
        <f t="array" aca="1" ref="N210" ca="1">MONTH(DateVente)</f>
        <v>#VALUE!</v>
      </c>
      <c r="O210" t="str">
        <f>PROPER(VentesMagasins!$F210)</f>
        <v>Meuble</v>
      </c>
      <c r="P210">
        <f>VALUE(CLEAN(TRIM(SUBSTITUTE(VentesMagasins!$I210,".",","))))</f>
        <v>0.15</v>
      </c>
      <c r="Q210">
        <f>VALUE(TRIM(SUBSTITUTE(VentesMagasins!$J210,".",",")))</f>
        <v>1377</v>
      </c>
      <c r="R210">
        <f t="shared" si="9"/>
        <v>1170.45</v>
      </c>
      <c r="S210">
        <f>IF(VentesMagasins!$K210=1,(-1)*R210,R210)</f>
        <v>1170.45</v>
      </c>
      <c r="T210">
        <f>IFERROR(VALUE(TRIM(SUBSTITUTE(VentesMagasins!$L210,".",","))),0)</f>
        <v>5</v>
      </c>
      <c r="U210">
        <f t="shared" si="10"/>
        <v>5</v>
      </c>
      <c r="V210" t="str">
        <f t="shared" si="11"/>
        <v>élévé</v>
      </c>
      <c r="W210" t="str">
        <f>_xlfn.XLOOKUP(VentesMagasins!$B210,Clients!ClientID,Région)</f>
        <v>Est</v>
      </c>
      <c r="X210" t="str">
        <f>INDEX(TypeClient,MATCH(VentesMagasins!$B210,Clients!ClientID))</f>
        <v>Fidèle</v>
      </c>
      <c r="Y210" t="str">
        <v>janv</v>
      </c>
    </row>
    <row r="211" spans="1:25" x14ac:dyDescent="0.25">
      <c r="A211" s="2">
        <v>210</v>
      </c>
      <c r="B211" s="12" t="s">
        <v>197</v>
      </c>
      <c r="C211" s="13">
        <v>45082</v>
      </c>
      <c r="D211" s="12" t="s">
        <v>338</v>
      </c>
      <c r="E211" s="14" t="s">
        <v>323</v>
      </c>
      <c r="F211" s="12" t="s">
        <v>341</v>
      </c>
      <c r="G211" s="2">
        <v>1</v>
      </c>
      <c r="H211" s="3">
        <v>388</v>
      </c>
      <c r="I211" s="14" t="s">
        <v>335</v>
      </c>
      <c r="J211" s="12" t="s">
        <v>559</v>
      </c>
      <c r="K211" s="2">
        <v>0</v>
      </c>
      <c r="L211" s="12" t="s">
        <v>327</v>
      </c>
      <c r="M211">
        <f>YEAR(VentesMagasins!$C211)</f>
        <v>2023</v>
      </c>
      <c r="N211" t="e" cm="1" vm="1">
        <f t="array" aca="1" ref="N211" ca="1">MONTH(DateVente)</f>
        <v>#VALUE!</v>
      </c>
      <c r="O211" t="str">
        <f>PROPER(VentesMagasins!$F211)</f>
        <v>Meuble</v>
      </c>
      <c r="P211">
        <f>VALUE(CLEAN(TRIM(SUBSTITUTE(VentesMagasins!$I211,".",","))))</f>
        <v>0</v>
      </c>
      <c r="Q211">
        <f>VALUE(TRIM(SUBSTITUTE(VentesMagasins!$J211,".",",")))</f>
        <v>388</v>
      </c>
      <c r="R211">
        <f t="shared" si="9"/>
        <v>388</v>
      </c>
      <c r="S211">
        <f>IF(VentesMagasins!$K211=1,(-1)*R211,R211)</f>
        <v>388</v>
      </c>
      <c r="T211">
        <f>IFERROR(VALUE(TRIM(SUBSTITUTE(VentesMagasins!$L211,".",","))),0)</f>
        <v>5</v>
      </c>
      <c r="U211">
        <f t="shared" si="10"/>
        <v>5</v>
      </c>
      <c r="V211" t="str">
        <f t="shared" si="11"/>
        <v>élévé</v>
      </c>
      <c r="W211" t="str">
        <f>_xlfn.XLOOKUP(VentesMagasins!$B211,Clients!ClientID,Région)</f>
        <v>Nord</v>
      </c>
      <c r="X211" t="str">
        <f>INDEX(TypeClient,MATCH(VentesMagasins!$B211,Clients!ClientID))</f>
        <v>Nouveau</v>
      </c>
      <c r="Y211" t="str">
        <v>juin</v>
      </c>
    </row>
    <row r="212" spans="1:25" x14ac:dyDescent="0.25">
      <c r="A212" s="2">
        <v>211</v>
      </c>
      <c r="B212" s="12" t="s">
        <v>230</v>
      </c>
      <c r="C212" s="13">
        <v>45771</v>
      </c>
      <c r="D212" s="12" t="s">
        <v>350</v>
      </c>
      <c r="E212" s="14" t="s">
        <v>345</v>
      </c>
      <c r="F212" s="12" t="s">
        <v>324</v>
      </c>
      <c r="G212" s="2">
        <v>1</v>
      </c>
      <c r="H212" s="3">
        <v>23</v>
      </c>
      <c r="I212" s="14" t="s">
        <v>325</v>
      </c>
      <c r="J212" s="12" t="s">
        <v>560</v>
      </c>
      <c r="K212" s="2">
        <v>1</v>
      </c>
      <c r="L212" s="12" t="s">
        <v>337</v>
      </c>
      <c r="M212">
        <f>YEAR(VentesMagasins!$C212)</f>
        <v>2025</v>
      </c>
      <c r="N212" t="e" cm="1" vm="1">
        <f t="array" aca="1" ref="N212" ca="1">MONTH(DateVente)</f>
        <v>#VALUE!</v>
      </c>
      <c r="O212" t="str">
        <f>PROPER(VentesMagasins!$F212)</f>
        <v>Électronique</v>
      </c>
      <c r="P212">
        <f>VALUE(CLEAN(TRIM(SUBSTITUTE(VentesMagasins!$I212,".",","))))</f>
        <v>0.15</v>
      </c>
      <c r="Q212">
        <f>VALUE(TRIM(SUBSTITUTE(VentesMagasins!$J212,".",",")))</f>
        <v>19.55</v>
      </c>
      <c r="R212">
        <f t="shared" si="9"/>
        <v>16.6175</v>
      </c>
      <c r="S212">
        <f>IF(VentesMagasins!$K212=1,(-1)*R212,R212)</f>
        <v>-16.6175</v>
      </c>
      <c r="T212">
        <f>IFERROR(VALUE(TRIM(SUBSTITUTE(VentesMagasins!$L212,".",","))),0)</f>
        <v>3</v>
      </c>
      <c r="U212">
        <f t="shared" si="10"/>
        <v>3</v>
      </c>
      <c r="V212" t="str">
        <f t="shared" si="11"/>
        <v>moyenne</v>
      </c>
      <c r="W212" t="str">
        <f>_xlfn.XLOOKUP(VentesMagasins!$B212,Clients!ClientID,Région)</f>
        <v>Sud</v>
      </c>
      <c r="X212" t="str">
        <f>INDEX(TypeClient,MATCH(VentesMagasins!$B212,Clients!ClientID))</f>
        <v>Nouveau</v>
      </c>
      <c r="Y212" t="str">
        <v>avr</v>
      </c>
    </row>
    <row r="213" spans="1:25" x14ac:dyDescent="0.25">
      <c r="A213" s="2">
        <v>212</v>
      </c>
      <c r="B213" s="12" t="s">
        <v>17</v>
      </c>
      <c r="C213" s="13">
        <v>45118</v>
      </c>
      <c r="D213" s="12" t="s">
        <v>350</v>
      </c>
      <c r="E213" s="14" t="s">
        <v>334</v>
      </c>
      <c r="F213" s="12" t="s">
        <v>330</v>
      </c>
      <c r="G213" s="2">
        <v>4</v>
      </c>
      <c r="H213" s="3">
        <v>458</v>
      </c>
      <c r="I213" s="14" t="s">
        <v>325</v>
      </c>
      <c r="J213" s="12" t="s">
        <v>561</v>
      </c>
      <c r="K213" s="2">
        <v>0</v>
      </c>
      <c r="L213" s="12" t="s">
        <v>327</v>
      </c>
      <c r="M213">
        <f>YEAR(VentesMagasins!$C213)</f>
        <v>2023</v>
      </c>
      <c r="N213" t="e" cm="1" vm="1">
        <f t="array" aca="1" ref="N213" ca="1">MONTH(DateVente)</f>
        <v>#VALUE!</v>
      </c>
      <c r="O213" t="str">
        <f>PROPER(VentesMagasins!$F213)</f>
        <v>Décoration</v>
      </c>
      <c r="P213">
        <f>VALUE(CLEAN(TRIM(SUBSTITUTE(VentesMagasins!$I213,".",","))))</f>
        <v>0.15</v>
      </c>
      <c r="Q213">
        <f>VALUE(TRIM(SUBSTITUTE(VentesMagasins!$J213,".",",")))</f>
        <v>1557.2</v>
      </c>
      <c r="R213">
        <f t="shared" si="9"/>
        <v>1323.62</v>
      </c>
      <c r="S213">
        <f>IF(VentesMagasins!$K213=1,(-1)*R213,R213)</f>
        <v>1323.62</v>
      </c>
      <c r="T213">
        <f>IFERROR(VALUE(TRIM(SUBSTITUTE(VentesMagasins!$L213,".",","))),0)</f>
        <v>5</v>
      </c>
      <c r="U213">
        <f t="shared" si="10"/>
        <v>5</v>
      </c>
      <c r="V213" t="str">
        <f t="shared" si="11"/>
        <v>élévé</v>
      </c>
      <c r="W213" t="str">
        <f>_xlfn.XLOOKUP(VentesMagasins!$B213,Clients!ClientID,Région)</f>
        <v>Centre</v>
      </c>
      <c r="X213" t="str">
        <f>INDEX(TypeClient,MATCH(VentesMagasins!$B213,Clients!ClientID))</f>
        <v>Occasionnel</v>
      </c>
      <c r="Y213" t="str">
        <v>juil</v>
      </c>
    </row>
    <row r="214" spans="1:25" x14ac:dyDescent="0.25">
      <c r="A214" s="2">
        <v>213</v>
      </c>
      <c r="B214" s="12" t="s">
        <v>36</v>
      </c>
      <c r="C214" s="13">
        <v>45141</v>
      </c>
      <c r="D214" s="12" t="s">
        <v>333</v>
      </c>
      <c r="E214" s="14" t="s">
        <v>323</v>
      </c>
      <c r="F214" s="12" t="s">
        <v>341</v>
      </c>
      <c r="G214" s="2">
        <v>2</v>
      </c>
      <c r="H214" s="3">
        <v>59</v>
      </c>
      <c r="I214" s="14" t="s">
        <v>355</v>
      </c>
      <c r="J214" s="12" t="s">
        <v>441</v>
      </c>
      <c r="K214" s="2">
        <v>0</v>
      </c>
      <c r="L214" s="12" t="s">
        <v>369</v>
      </c>
      <c r="M214">
        <f>YEAR(VentesMagasins!$C214)</f>
        <v>2023</v>
      </c>
      <c r="N214" t="e" cm="1" vm="1">
        <f t="array" aca="1" ref="N214" ca="1">MONTH(DateVente)</f>
        <v>#VALUE!</v>
      </c>
      <c r="O214" t="str">
        <f>PROPER(VentesMagasins!$F214)</f>
        <v>Meuble</v>
      </c>
      <c r="P214">
        <f>VALUE(CLEAN(TRIM(SUBSTITUTE(VentesMagasins!$I214,".",","))))</f>
        <v>0.1</v>
      </c>
      <c r="Q214">
        <f>VALUE(TRIM(SUBSTITUTE(VentesMagasins!$J214,".",",")))</f>
        <v>106.2</v>
      </c>
      <c r="R214">
        <f t="shared" si="9"/>
        <v>95.58</v>
      </c>
      <c r="S214">
        <f>IF(VentesMagasins!$K214=1,(-1)*R214,R214)</f>
        <v>95.58</v>
      </c>
      <c r="T214">
        <f>IFERROR(VALUE(TRIM(SUBSTITUTE(VentesMagasins!$L214,".",","))),0)</f>
        <v>1</v>
      </c>
      <c r="U214">
        <f t="shared" si="10"/>
        <v>1</v>
      </c>
      <c r="V214" t="str">
        <f t="shared" si="11"/>
        <v>faible</v>
      </c>
      <c r="W214" t="str">
        <f>_xlfn.XLOOKUP(VentesMagasins!$B214,Clients!ClientID,Région)</f>
        <v>Est</v>
      </c>
      <c r="X214" t="str">
        <f>INDEX(TypeClient,MATCH(VentesMagasins!$B214,Clients!ClientID))</f>
        <v>Fidèle</v>
      </c>
      <c r="Y214" t="str">
        <v>août</v>
      </c>
    </row>
    <row r="215" spans="1:25" x14ac:dyDescent="0.25">
      <c r="A215" s="2">
        <v>214</v>
      </c>
      <c r="B215" s="12" t="s">
        <v>220</v>
      </c>
      <c r="C215" s="13">
        <v>45234</v>
      </c>
      <c r="D215" s="12" t="s">
        <v>328</v>
      </c>
      <c r="E215" s="14" t="s">
        <v>364</v>
      </c>
      <c r="F215" s="12" t="s">
        <v>330</v>
      </c>
      <c r="G215" s="2">
        <v>1</v>
      </c>
      <c r="H215" s="3">
        <v>152</v>
      </c>
      <c r="I215" s="14" t="s">
        <v>342</v>
      </c>
      <c r="J215" s="12" t="s">
        <v>343</v>
      </c>
      <c r="K215" s="2">
        <v>0</v>
      </c>
      <c r="L215" s="12" t="s">
        <v>352</v>
      </c>
      <c r="M215">
        <f>YEAR(VentesMagasins!$C215)</f>
        <v>2023</v>
      </c>
      <c r="N215" t="e" cm="1" vm="1">
        <f t="array" aca="1" ref="N215" ca="1">MONTH(DateVente)</f>
        <v>#VALUE!</v>
      </c>
      <c r="O215" t="str">
        <f>PROPER(VentesMagasins!$F215)</f>
        <v>Décoration</v>
      </c>
      <c r="P215">
        <f>VALUE(CLEAN(TRIM(SUBSTITUTE(VentesMagasins!$I215,".",","))))</f>
        <v>0.05</v>
      </c>
      <c r="Q215">
        <f>VALUE(TRIM(SUBSTITUTE(VentesMagasins!$J215,".",",")))</f>
        <v>144.4</v>
      </c>
      <c r="R215">
        <f t="shared" si="9"/>
        <v>137.18</v>
      </c>
      <c r="S215">
        <f>IF(VentesMagasins!$K215=1,(-1)*R215,R215)</f>
        <v>137.18</v>
      </c>
      <c r="T215">
        <f>IFERROR(VALUE(TRIM(SUBSTITUTE(VentesMagasins!$L215,".",","))),0)</f>
        <v>0</v>
      </c>
      <c r="U215">
        <f t="shared" si="10"/>
        <v>3</v>
      </c>
      <c r="V215" t="str">
        <f t="shared" si="11"/>
        <v>moyenne</v>
      </c>
      <c r="W215" t="str">
        <f>_xlfn.XLOOKUP(VentesMagasins!$B215,Clients!ClientID,Région)</f>
        <v>Centre</v>
      </c>
      <c r="X215" t="str">
        <f>INDEX(TypeClient,MATCH(VentesMagasins!$B215,Clients!ClientID))</f>
        <v>Occasionnel</v>
      </c>
      <c r="Y215" t="str">
        <v>nov</v>
      </c>
    </row>
    <row r="216" spans="1:25" x14ac:dyDescent="0.25">
      <c r="A216" s="2">
        <v>215</v>
      </c>
      <c r="B216" s="12" t="s">
        <v>53</v>
      </c>
      <c r="C216" s="13">
        <v>45025</v>
      </c>
      <c r="D216" s="12" t="s">
        <v>338</v>
      </c>
      <c r="E216" s="14" t="s">
        <v>362</v>
      </c>
      <c r="F216" s="12" t="s">
        <v>330</v>
      </c>
      <c r="G216" s="2">
        <v>1</v>
      </c>
      <c r="H216" s="3">
        <v>377</v>
      </c>
      <c r="I216" s="14" t="s">
        <v>325</v>
      </c>
      <c r="J216" s="12" t="s">
        <v>562</v>
      </c>
      <c r="K216" s="2">
        <v>0</v>
      </c>
      <c r="L216" s="12" t="s">
        <v>332</v>
      </c>
      <c r="M216">
        <f>YEAR(VentesMagasins!$C216)</f>
        <v>2023</v>
      </c>
      <c r="N216" t="e" cm="1" vm="1">
        <f t="array" aca="1" ref="N216" ca="1">MONTH(DateVente)</f>
        <v>#VALUE!</v>
      </c>
      <c r="O216" t="str">
        <f>PROPER(VentesMagasins!$F216)</f>
        <v>Décoration</v>
      </c>
      <c r="P216">
        <f>VALUE(CLEAN(TRIM(SUBSTITUTE(VentesMagasins!$I216,".",","))))</f>
        <v>0.15</v>
      </c>
      <c r="Q216">
        <f>VALUE(TRIM(SUBSTITUTE(VentesMagasins!$J216,".",",")))</f>
        <v>320.45</v>
      </c>
      <c r="R216">
        <f t="shared" si="9"/>
        <v>272.38249999999999</v>
      </c>
      <c r="S216">
        <f>IF(VentesMagasins!$K216=1,(-1)*R216,R216)</f>
        <v>272.38249999999999</v>
      </c>
      <c r="T216">
        <f>IFERROR(VALUE(TRIM(SUBSTITUTE(VentesMagasins!$L216,".",","))),0)</f>
        <v>4</v>
      </c>
      <c r="U216">
        <f t="shared" si="10"/>
        <v>4</v>
      </c>
      <c r="V216" t="str">
        <f t="shared" si="11"/>
        <v>moyenne</v>
      </c>
      <c r="W216" t="str">
        <f>_xlfn.XLOOKUP(VentesMagasins!$B216,Clients!ClientID,Région)</f>
        <v>Ouest</v>
      </c>
      <c r="X216" t="str">
        <f>INDEX(TypeClient,MATCH(VentesMagasins!$B216,Clients!ClientID))</f>
        <v>Occasionnel</v>
      </c>
      <c r="Y216" t="str">
        <v>avr</v>
      </c>
    </row>
    <row r="217" spans="1:25" x14ac:dyDescent="0.25">
      <c r="A217" s="2">
        <v>216</v>
      </c>
      <c r="B217" s="12" t="s">
        <v>41</v>
      </c>
      <c r="C217" s="13">
        <v>46002</v>
      </c>
      <c r="D217" s="12" t="s">
        <v>350</v>
      </c>
      <c r="E217" s="14" t="s">
        <v>345</v>
      </c>
      <c r="F217" s="12" t="s">
        <v>330</v>
      </c>
      <c r="G217" s="2">
        <v>1</v>
      </c>
      <c r="H217" s="3">
        <v>68</v>
      </c>
      <c r="I217" s="14" t="s">
        <v>355</v>
      </c>
      <c r="J217" s="12" t="s">
        <v>563</v>
      </c>
      <c r="K217" s="2">
        <v>0</v>
      </c>
      <c r="L217" s="12" t="s">
        <v>337</v>
      </c>
      <c r="M217">
        <f>YEAR(VentesMagasins!$C217)</f>
        <v>2025</v>
      </c>
      <c r="N217" t="e" cm="1" vm="1">
        <f t="array" aca="1" ref="N217" ca="1">MONTH(DateVente)</f>
        <v>#VALUE!</v>
      </c>
      <c r="O217" t="str">
        <f>PROPER(VentesMagasins!$F217)</f>
        <v>Décoration</v>
      </c>
      <c r="P217">
        <f>VALUE(CLEAN(TRIM(SUBSTITUTE(VentesMagasins!$I217,".",","))))</f>
        <v>0.1</v>
      </c>
      <c r="Q217">
        <f>VALUE(TRIM(SUBSTITUTE(VentesMagasins!$J217,".",",")))</f>
        <v>61.2</v>
      </c>
      <c r="R217">
        <f t="shared" si="9"/>
        <v>55.080000000000005</v>
      </c>
      <c r="S217">
        <f>IF(VentesMagasins!$K217=1,(-1)*R217,R217)</f>
        <v>55.080000000000005</v>
      </c>
      <c r="T217">
        <f>IFERROR(VALUE(TRIM(SUBSTITUTE(VentesMagasins!$L217,".",","))),0)</f>
        <v>3</v>
      </c>
      <c r="U217">
        <f t="shared" si="10"/>
        <v>3</v>
      </c>
      <c r="V217" t="str">
        <f t="shared" si="11"/>
        <v>moyenne</v>
      </c>
      <c r="W217" t="str">
        <f>_xlfn.XLOOKUP(VentesMagasins!$B217,Clients!ClientID,Région)</f>
        <v>Centre</v>
      </c>
      <c r="X217" t="str">
        <f>INDEX(TypeClient,MATCH(VentesMagasins!$B217,Clients!ClientID))</f>
        <v>Nouveau</v>
      </c>
      <c r="Y217" t="str">
        <v>déc</v>
      </c>
    </row>
    <row r="218" spans="1:25" x14ac:dyDescent="0.25">
      <c r="A218" s="2">
        <v>217</v>
      </c>
      <c r="B218" s="12" t="s">
        <v>36</v>
      </c>
      <c r="C218" s="13">
        <v>45534</v>
      </c>
      <c r="D218" s="12" t="s">
        <v>322</v>
      </c>
      <c r="E218" s="14" t="s">
        <v>339</v>
      </c>
      <c r="F218" s="12" t="s">
        <v>341</v>
      </c>
      <c r="G218" s="2">
        <v>2</v>
      </c>
      <c r="H218" s="3">
        <v>394</v>
      </c>
      <c r="I218" s="14" t="s">
        <v>325</v>
      </c>
      <c r="J218" s="12" t="s">
        <v>564</v>
      </c>
      <c r="K218" s="2">
        <v>0</v>
      </c>
      <c r="L218" s="12" t="s">
        <v>332</v>
      </c>
      <c r="M218">
        <f>YEAR(VentesMagasins!$C218)</f>
        <v>2024</v>
      </c>
      <c r="N218" t="e" cm="1" vm="1">
        <f t="array" aca="1" ref="N218" ca="1">MONTH(DateVente)</f>
        <v>#VALUE!</v>
      </c>
      <c r="O218" t="str">
        <f>PROPER(VentesMagasins!$F218)</f>
        <v>Meuble</v>
      </c>
      <c r="P218">
        <f>VALUE(CLEAN(TRIM(SUBSTITUTE(VentesMagasins!$I218,".",","))))</f>
        <v>0.15</v>
      </c>
      <c r="Q218">
        <f>VALUE(TRIM(SUBSTITUTE(VentesMagasins!$J218,".",",")))</f>
        <v>669.8</v>
      </c>
      <c r="R218">
        <f t="shared" si="9"/>
        <v>569.32999999999993</v>
      </c>
      <c r="S218">
        <f>IF(VentesMagasins!$K218=1,(-1)*R218,R218)</f>
        <v>569.32999999999993</v>
      </c>
      <c r="T218">
        <f>IFERROR(VALUE(TRIM(SUBSTITUTE(VentesMagasins!$L218,".",","))),0)</f>
        <v>4</v>
      </c>
      <c r="U218">
        <f t="shared" si="10"/>
        <v>4</v>
      </c>
      <c r="V218" t="str">
        <f t="shared" si="11"/>
        <v>moyenne</v>
      </c>
      <c r="W218" t="str">
        <f>_xlfn.XLOOKUP(VentesMagasins!$B218,Clients!ClientID,Région)</f>
        <v>Est</v>
      </c>
      <c r="X218" t="str">
        <f>INDEX(TypeClient,MATCH(VentesMagasins!$B218,Clients!ClientID))</f>
        <v>Fidèle</v>
      </c>
      <c r="Y218" t="str">
        <v>août</v>
      </c>
    </row>
    <row r="219" spans="1:25" x14ac:dyDescent="0.25">
      <c r="A219" s="2">
        <v>218</v>
      </c>
      <c r="B219" s="12" t="s">
        <v>67</v>
      </c>
      <c r="C219" s="13">
        <v>45385</v>
      </c>
      <c r="D219" s="12" t="s">
        <v>333</v>
      </c>
      <c r="E219" s="14" t="s">
        <v>348</v>
      </c>
      <c r="F219" s="12" t="s">
        <v>341</v>
      </c>
      <c r="G219" s="2">
        <v>4</v>
      </c>
      <c r="H219" s="3">
        <v>133</v>
      </c>
      <c r="I219" s="14" t="s">
        <v>342</v>
      </c>
      <c r="J219" s="12" t="s">
        <v>565</v>
      </c>
      <c r="K219" s="2">
        <v>1</v>
      </c>
      <c r="L219" s="12" t="s">
        <v>352</v>
      </c>
      <c r="M219">
        <f>YEAR(VentesMagasins!$C219)</f>
        <v>2024</v>
      </c>
      <c r="N219" t="e" cm="1" vm="1">
        <f t="array" aca="1" ref="N219" ca="1">MONTH(DateVente)</f>
        <v>#VALUE!</v>
      </c>
      <c r="O219" t="str">
        <f>PROPER(VentesMagasins!$F219)</f>
        <v>Meuble</v>
      </c>
      <c r="P219">
        <f>VALUE(CLEAN(TRIM(SUBSTITUTE(VentesMagasins!$I219,".",","))))</f>
        <v>0.05</v>
      </c>
      <c r="Q219">
        <f>VALUE(TRIM(SUBSTITUTE(VentesMagasins!$J219,".",",")))</f>
        <v>505.4</v>
      </c>
      <c r="R219">
        <f t="shared" si="9"/>
        <v>480.12999999999994</v>
      </c>
      <c r="S219">
        <f>IF(VentesMagasins!$K219=1,(-1)*R219,R219)</f>
        <v>-480.12999999999994</v>
      </c>
      <c r="T219">
        <f>IFERROR(VALUE(TRIM(SUBSTITUTE(VentesMagasins!$L219,".",","))),0)</f>
        <v>0</v>
      </c>
      <c r="U219">
        <f t="shared" si="10"/>
        <v>3</v>
      </c>
      <c r="V219" t="str">
        <f t="shared" si="11"/>
        <v>moyenne</v>
      </c>
      <c r="W219" t="str">
        <f>_xlfn.XLOOKUP(VentesMagasins!$B219,Clients!ClientID,Région)</f>
        <v>Sud</v>
      </c>
      <c r="X219" t="str">
        <f>INDEX(TypeClient,MATCH(VentesMagasins!$B219,Clients!ClientID))</f>
        <v>Nouveau</v>
      </c>
      <c r="Y219" t="str">
        <v>avr</v>
      </c>
    </row>
    <row r="220" spans="1:25" x14ac:dyDescent="0.25">
      <c r="A220" s="2">
        <v>219</v>
      </c>
      <c r="B220" s="12" t="s">
        <v>233</v>
      </c>
      <c r="C220" s="13">
        <v>45215</v>
      </c>
      <c r="D220" s="12" t="s">
        <v>322</v>
      </c>
      <c r="E220" s="14" t="s">
        <v>362</v>
      </c>
      <c r="F220" s="12" t="s">
        <v>341</v>
      </c>
      <c r="G220" s="2">
        <v>2</v>
      </c>
      <c r="H220" s="3">
        <v>442</v>
      </c>
      <c r="I220" s="14" t="s">
        <v>342</v>
      </c>
      <c r="J220" s="12" t="s">
        <v>417</v>
      </c>
      <c r="K220" s="2">
        <v>0</v>
      </c>
      <c r="L220" s="12" t="s">
        <v>344</v>
      </c>
      <c r="M220">
        <f>YEAR(VentesMagasins!$C220)</f>
        <v>2023</v>
      </c>
      <c r="N220" t="e" cm="1" vm="1">
        <f t="array" aca="1" ref="N220" ca="1">MONTH(DateVente)</f>
        <v>#VALUE!</v>
      </c>
      <c r="O220" t="str">
        <f>PROPER(VentesMagasins!$F220)</f>
        <v>Meuble</v>
      </c>
      <c r="P220">
        <f>VALUE(CLEAN(TRIM(SUBSTITUTE(VentesMagasins!$I220,".",","))))</f>
        <v>0.05</v>
      </c>
      <c r="Q220">
        <f>VALUE(TRIM(SUBSTITUTE(VentesMagasins!$J220,".",",")))</f>
        <v>839.8</v>
      </c>
      <c r="R220">
        <f t="shared" si="9"/>
        <v>797.81</v>
      </c>
      <c r="S220">
        <f>IF(VentesMagasins!$K220=1,(-1)*R220,R220)</f>
        <v>797.81</v>
      </c>
      <c r="T220">
        <f>IFERROR(VALUE(TRIM(SUBSTITUTE(VentesMagasins!$L220,".",","))),0)</f>
        <v>2</v>
      </c>
      <c r="U220">
        <f t="shared" si="10"/>
        <v>2</v>
      </c>
      <c r="V220" t="str">
        <f t="shared" si="11"/>
        <v>faible</v>
      </c>
      <c r="W220" t="str">
        <f>_xlfn.XLOOKUP(VentesMagasins!$B220,Clients!ClientID,Région)</f>
        <v>Est</v>
      </c>
      <c r="X220" t="str">
        <f>INDEX(TypeClient,MATCH(VentesMagasins!$B220,Clients!ClientID))</f>
        <v>Fidèle</v>
      </c>
      <c r="Y220" t="str">
        <v>oct</v>
      </c>
    </row>
    <row r="221" spans="1:25" x14ac:dyDescent="0.25">
      <c r="A221" s="2">
        <v>220</v>
      </c>
      <c r="B221" s="12" t="s">
        <v>23</v>
      </c>
      <c r="C221" s="13">
        <v>45194</v>
      </c>
      <c r="D221" s="12" t="s">
        <v>338</v>
      </c>
      <c r="E221" s="14" t="s">
        <v>348</v>
      </c>
      <c r="F221" s="12" t="s">
        <v>341</v>
      </c>
      <c r="G221" s="2">
        <v>4</v>
      </c>
      <c r="H221" s="3">
        <v>51</v>
      </c>
      <c r="I221" s="14" t="s">
        <v>335</v>
      </c>
      <c r="J221" s="12" t="s">
        <v>566</v>
      </c>
      <c r="K221" s="2">
        <v>0</v>
      </c>
      <c r="L221" s="12" t="s">
        <v>332</v>
      </c>
      <c r="M221">
        <f>YEAR(VentesMagasins!$C221)</f>
        <v>2023</v>
      </c>
      <c r="N221" t="e" cm="1" vm="1">
        <f t="array" aca="1" ref="N221" ca="1">MONTH(DateVente)</f>
        <v>#VALUE!</v>
      </c>
      <c r="O221" t="str">
        <f>PROPER(VentesMagasins!$F221)</f>
        <v>Meuble</v>
      </c>
      <c r="P221">
        <f>VALUE(CLEAN(TRIM(SUBSTITUTE(VentesMagasins!$I221,".",","))))</f>
        <v>0</v>
      </c>
      <c r="Q221">
        <f>VALUE(TRIM(SUBSTITUTE(VentesMagasins!$J221,".",",")))</f>
        <v>183.6</v>
      </c>
      <c r="R221">
        <f t="shared" si="9"/>
        <v>183.6</v>
      </c>
      <c r="S221">
        <f>IF(VentesMagasins!$K221=1,(-1)*R221,R221)</f>
        <v>183.6</v>
      </c>
      <c r="T221">
        <f>IFERROR(VALUE(TRIM(SUBSTITUTE(VentesMagasins!$L221,".",","))),0)</f>
        <v>4</v>
      </c>
      <c r="U221">
        <f t="shared" si="10"/>
        <v>4</v>
      </c>
      <c r="V221" t="str">
        <f t="shared" si="11"/>
        <v>moyenne</v>
      </c>
      <c r="W221" t="str">
        <f>_xlfn.XLOOKUP(VentesMagasins!$B221,Clients!ClientID,Région)</f>
        <v>Nord</v>
      </c>
      <c r="X221" t="str">
        <f>INDEX(TypeClient,MATCH(VentesMagasins!$B221,Clients!ClientID))</f>
        <v>Nouveau</v>
      </c>
      <c r="Y221" t="str">
        <v>sept</v>
      </c>
    </row>
    <row r="222" spans="1:25" x14ac:dyDescent="0.25">
      <c r="A222" s="2">
        <v>221</v>
      </c>
      <c r="B222" s="12" t="s">
        <v>78</v>
      </c>
      <c r="C222" s="13">
        <v>44954</v>
      </c>
      <c r="D222" s="12" t="s">
        <v>333</v>
      </c>
      <c r="E222" s="14" t="s">
        <v>323</v>
      </c>
      <c r="F222" s="12" t="s">
        <v>330</v>
      </c>
      <c r="G222" s="2">
        <v>2</v>
      </c>
      <c r="H222" s="3">
        <v>128</v>
      </c>
      <c r="I222" s="14" t="s">
        <v>335</v>
      </c>
      <c r="J222" s="12" t="s">
        <v>567</v>
      </c>
      <c r="K222" s="2">
        <v>0</v>
      </c>
      <c r="L222" s="12" t="s">
        <v>332</v>
      </c>
      <c r="M222">
        <f>YEAR(VentesMagasins!$C222)</f>
        <v>2023</v>
      </c>
      <c r="N222" t="e" cm="1" vm="1">
        <f t="array" aca="1" ref="N222" ca="1">MONTH(DateVente)</f>
        <v>#VALUE!</v>
      </c>
      <c r="O222" t="str">
        <f>PROPER(VentesMagasins!$F222)</f>
        <v>Décoration</v>
      </c>
      <c r="P222">
        <f>VALUE(CLEAN(TRIM(SUBSTITUTE(VentesMagasins!$I222,".",","))))</f>
        <v>0</v>
      </c>
      <c r="Q222">
        <f>VALUE(TRIM(SUBSTITUTE(VentesMagasins!$J222,".",",")))</f>
        <v>256</v>
      </c>
      <c r="R222">
        <f t="shared" si="9"/>
        <v>256</v>
      </c>
      <c r="S222">
        <f>IF(VentesMagasins!$K222=1,(-1)*R222,R222)</f>
        <v>256</v>
      </c>
      <c r="T222">
        <f>IFERROR(VALUE(TRIM(SUBSTITUTE(VentesMagasins!$L222,".",","))),0)</f>
        <v>4</v>
      </c>
      <c r="U222">
        <f t="shared" si="10"/>
        <v>4</v>
      </c>
      <c r="V222" t="str">
        <f t="shared" si="11"/>
        <v>moyenne</v>
      </c>
      <c r="W222" t="str">
        <f>_xlfn.XLOOKUP(VentesMagasins!$B222,Clients!ClientID,Région)</f>
        <v>Centre</v>
      </c>
      <c r="X222" t="str">
        <f>INDEX(TypeClient,MATCH(VentesMagasins!$B222,Clients!ClientID))</f>
        <v>Nouveau</v>
      </c>
      <c r="Y222" t="str">
        <v>janv</v>
      </c>
    </row>
    <row r="223" spans="1:25" x14ac:dyDescent="0.25">
      <c r="A223" s="2">
        <v>222</v>
      </c>
      <c r="B223" s="12" t="s">
        <v>192</v>
      </c>
      <c r="C223" s="13">
        <v>45377</v>
      </c>
      <c r="D223" s="12" t="s">
        <v>328</v>
      </c>
      <c r="E223" s="14" t="s">
        <v>362</v>
      </c>
      <c r="F223" s="12" t="s">
        <v>324</v>
      </c>
      <c r="G223" s="2">
        <v>1</v>
      </c>
      <c r="H223" s="3">
        <v>288</v>
      </c>
      <c r="I223" s="14" t="s">
        <v>355</v>
      </c>
      <c r="J223" s="12" t="s">
        <v>568</v>
      </c>
      <c r="K223" s="2">
        <v>0</v>
      </c>
      <c r="L223" s="12" t="s">
        <v>327</v>
      </c>
      <c r="M223">
        <f>YEAR(VentesMagasins!$C223)</f>
        <v>2024</v>
      </c>
      <c r="N223" t="e" cm="1" vm="1">
        <f t="array" aca="1" ref="N223" ca="1">MONTH(DateVente)</f>
        <v>#VALUE!</v>
      </c>
      <c r="O223" t="str">
        <f>PROPER(VentesMagasins!$F223)</f>
        <v>Électronique</v>
      </c>
      <c r="P223">
        <f>VALUE(CLEAN(TRIM(SUBSTITUTE(VentesMagasins!$I223,".",","))))</f>
        <v>0.1</v>
      </c>
      <c r="Q223">
        <f>VALUE(TRIM(SUBSTITUTE(VentesMagasins!$J223,".",",")))</f>
        <v>259.2</v>
      </c>
      <c r="R223">
        <f t="shared" si="9"/>
        <v>233.28</v>
      </c>
      <c r="S223">
        <f>IF(VentesMagasins!$K223=1,(-1)*R223,R223)</f>
        <v>233.28</v>
      </c>
      <c r="T223">
        <f>IFERROR(VALUE(TRIM(SUBSTITUTE(VentesMagasins!$L223,".",","))),0)</f>
        <v>5</v>
      </c>
      <c r="U223">
        <f t="shared" si="10"/>
        <v>5</v>
      </c>
      <c r="V223" t="str">
        <f t="shared" si="11"/>
        <v>élévé</v>
      </c>
      <c r="W223" t="str">
        <f>_xlfn.XLOOKUP(VentesMagasins!$B223,Clients!ClientID,Région)</f>
        <v>Ouest</v>
      </c>
      <c r="X223" t="str">
        <f>INDEX(TypeClient,MATCH(VentesMagasins!$B223,Clients!ClientID))</f>
        <v>Fidèle</v>
      </c>
      <c r="Y223" t="str">
        <v>mars</v>
      </c>
    </row>
    <row r="224" spans="1:25" x14ac:dyDescent="0.25">
      <c r="A224" s="2">
        <v>223</v>
      </c>
      <c r="B224" s="12" t="s">
        <v>153</v>
      </c>
      <c r="C224" s="13">
        <v>45612</v>
      </c>
      <c r="D224" s="12" t="s">
        <v>328</v>
      </c>
      <c r="E224" s="14" t="s">
        <v>348</v>
      </c>
      <c r="F224" s="12" t="s">
        <v>330</v>
      </c>
      <c r="G224" s="2">
        <v>1</v>
      </c>
      <c r="H224" s="3">
        <v>253</v>
      </c>
      <c r="I224" s="14" t="s">
        <v>325</v>
      </c>
      <c r="J224" s="12" t="s">
        <v>569</v>
      </c>
      <c r="K224" s="2">
        <v>0</v>
      </c>
      <c r="L224" s="12" t="s">
        <v>327</v>
      </c>
      <c r="M224">
        <f>YEAR(VentesMagasins!$C224)</f>
        <v>2024</v>
      </c>
      <c r="N224" t="e" cm="1" vm="1">
        <f t="array" aca="1" ref="N224" ca="1">MONTH(DateVente)</f>
        <v>#VALUE!</v>
      </c>
      <c r="O224" t="str">
        <f>PROPER(VentesMagasins!$F224)</f>
        <v>Décoration</v>
      </c>
      <c r="P224">
        <f>VALUE(CLEAN(TRIM(SUBSTITUTE(VentesMagasins!$I224,".",","))))</f>
        <v>0.15</v>
      </c>
      <c r="Q224">
        <f>VALUE(TRIM(SUBSTITUTE(VentesMagasins!$J224,".",",")))</f>
        <v>215.04999999999899</v>
      </c>
      <c r="R224">
        <f t="shared" si="9"/>
        <v>182.79249999999914</v>
      </c>
      <c r="S224">
        <f>IF(VentesMagasins!$K224=1,(-1)*R224,R224)</f>
        <v>182.79249999999914</v>
      </c>
      <c r="T224">
        <f>IFERROR(VALUE(TRIM(SUBSTITUTE(VentesMagasins!$L224,".",","))),0)</f>
        <v>5</v>
      </c>
      <c r="U224">
        <f t="shared" si="10"/>
        <v>5</v>
      </c>
      <c r="V224" t="str">
        <f t="shared" si="11"/>
        <v>élévé</v>
      </c>
      <c r="W224" t="str">
        <f>_xlfn.XLOOKUP(VentesMagasins!$B224,Clients!ClientID,Région)</f>
        <v>Sud</v>
      </c>
      <c r="X224" t="str">
        <f>INDEX(TypeClient,MATCH(VentesMagasins!$B224,Clients!ClientID))</f>
        <v>Fidèle</v>
      </c>
      <c r="Y224" t="str">
        <v>nov</v>
      </c>
    </row>
    <row r="225" spans="1:25" x14ac:dyDescent="0.25">
      <c r="A225" s="2">
        <v>224</v>
      </c>
      <c r="B225" s="12" t="s">
        <v>213</v>
      </c>
      <c r="C225" s="13">
        <v>45290</v>
      </c>
      <c r="D225" s="12" t="s">
        <v>401</v>
      </c>
      <c r="E225" s="14" t="s">
        <v>329</v>
      </c>
      <c r="F225" s="12" t="s">
        <v>330</v>
      </c>
      <c r="G225" s="2">
        <v>2</v>
      </c>
      <c r="H225" s="3">
        <v>382</v>
      </c>
      <c r="I225" s="14" t="s">
        <v>355</v>
      </c>
      <c r="J225" s="12" t="s">
        <v>570</v>
      </c>
      <c r="K225" s="2">
        <v>0</v>
      </c>
      <c r="L225" s="12" t="s">
        <v>332</v>
      </c>
      <c r="M225">
        <f>YEAR(VentesMagasins!$C225)</f>
        <v>2023</v>
      </c>
      <c r="N225" t="e" cm="1" vm="1">
        <f t="array" aca="1" ref="N225" ca="1">MONTH(DateVente)</f>
        <v>#VALUE!</v>
      </c>
      <c r="O225" t="str">
        <f>PROPER(VentesMagasins!$F225)</f>
        <v>Décoration</v>
      </c>
      <c r="P225">
        <f>VALUE(CLEAN(TRIM(SUBSTITUTE(VentesMagasins!$I225,".",","))))</f>
        <v>0.1</v>
      </c>
      <c r="Q225">
        <f>VALUE(TRIM(SUBSTITUTE(VentesMagasins!$J225,".",",")))</f>
        <v>687.6</v>
      </c>
      <c r="R225">
        <f t="shared" si="9"/>
        <v>618.84</v>
      </c>
      <c r="S225">
        <f>IF(VentesMagasins!$K225=1,(-1)*R225,R225)</f>
        <v>618.84</v>
      </c>
      <c r="T225">
        <f>IFERROR(VALUE(TRIM(SUBSTITUTE(VentesMagasins!$L225,".",","))),0)</f>
        <v>4</v>
      </c>
      <c r="U225">
        <f t="shared" si="10"/>
        <v>4</v>
      </c>
      <c r="V225" t="str">
        <f t="shared" si="11"/>
        <v>moyenne</v>
      </c>
      <c r="W225" t="str">
        <f>_xlfn.XLOOKUP(VentesMagasins!$B225,Clients!ClientID,Région)</f>
        <v>Centre</v>
      </c>
      <c r="X225" t="str">
        <f>INDEX(TypeClient,MATCH(VentesMagasins!$B225,Clients!ClientID))</f>
        <v>Fidèle</v>
      </c>
      <c r="Y225" t="str">
        <v>déc</v>
      </c>
    </row>
    <row r="226" spans="1:25" x14ac:dyDescent="0.25">
      <c r="A226" s="2">
        <v>225</v>
      </c>
      <c r="B226" s="12" t="s">
        <v>53</v>
      </c>
      <c r="C226" s="13">
        <v>45452</v>
      </c>
      <c r="D226" s="12" t="s">
        <v>449</v>
      </c>
      <c r="E226" s="14" t="s">
        <v>364</v>
      </c>
      <c r="F226" s="12" t="s">
        <v>330</v>
      </c>
      <c r="G226" s="2">
        <v>1</v>
      </c>
      <c r="H226" s="3">
        <v>269</v>
      </c>
      <c r="I226" s="14" t="s">
        <v>342</v>
      </c>
      <c r="J226" s="12" t="s">
        <v>571</v>
      </c>
      <c r="K226" s="2">
        <v>0</v>
      </c>
      <c r="L226" s="12" t="s">
        <v>332</v>
      </c>
      <c r="M226">
        <f>YEAR(VentesMagasins!$C226)</f>
        <v>2024</v>
      </c>
      <c r="N226" t="e" cm="1" vm="1">
        <f t="array" aca="1" ref="N226" ca="1">MONTH(DateVente)</f>
        <v>#VALUE!</v>
      </c>
      <c r="O226" t="str">
        <f>PROPER(VentesMagasins!$F226)</f>
        <v>Décoration</v>
      </c>
      <c r="P226">
        <f>VALUE(CLEAN(TRIM(SUBSTITUTE(VentesMagasins!$I226,".",","))))</f>
        <v>0.05</v>
      </c>
      <c r="Q226">
        <f>VALUE(TRIM(SUBSTITUTE(VentesMagasins!$J226,".",",")))</f>
        <v>255.54999999999899</v>
      </c>
      <c r="R226">
        <f t="shared" si="9"/>
        <v>242.77249999999904</v>
      </c>
      <c r="S226">
        <f>IF(VentesMagasins!$K226=1,(-1)*R226,R226)</f>
        <v>242.77249999999904</v>
      </c>
      <c r="T226">
        <f>IFERROR(VALUE(TRIM(SUBSTITUTE(VentesMagasins!$L226,".",","))),0)</f>
        <v>4</v>
      </c>
      <c r="U226">
        <f t="shared" si="10"/>
        <v>4</v>
      </c>
      <c r="V226" t="str">
        <f t="shared" si="11"/>
        <v>moyenne</v>
      </c>
      <c r="W226" t="str">
        <f>_xlfn.XLOOKUP(VentesMagasins!$B226,Clients!ClientID,Région)</f>
        <v>Ouest</v>
      </c>
      <c r="X226" t="str">
        <f>INDEX(TypeClient,MATCH(VentesMagasins!$B226,Clients!ClientID))</f>
        <v>Occasionnel</v>
      </c>
      <c r="Y226" t="str">
        <v>juin</v>
      </c>
    </row>
    <row r="227" spans="1:25" x14ac:dyDescent="0.25">
      <c r="A227" s="2">
        <v>226</v>
      </c>
      <c r="B227" s="12" t="s">
        <v>198</v>
      </c>
      <c r="C227" s="13">
        <v>45319</v>
      </c>
      <c r="D227" s="12" t="s">
        <v>338</v>
      </c>
      <c r="E227" s="14" t="s">
        <v>334</v>
      </c>
      <c r="F227" s="12" t="s">
        <v>324</v>
      </c>
      <c r="G227" s="2">
        <v>2</v>
      </c>
      <c r="H227" s="3">
        <v>119</v>
      </c>
      <c r="I227" s="14" t="s">
        <v>325</v>
      </c>
      <c r="J227" s="12" t="s">
        <v>572</v>
      </c>
      <c r="K227" s="2">
        <v>0</v>
      </c>
      <c r="L227" s="12" t="s">
        <v>327</v>
      </c>
      <c r="M227">
        <f>YEAR(VentesMagasins!$C227)</f>
        <v>2024</v>
      </c>
      <c r="N227" t="e" cm="1" vm="1">
        <f t="array" aca="1" ref="N227" ca="1">MONTH(DateVente)</f>
        <v>#VALUE!</v>
      </c>
      <c r="O227" t="str">
        <f>PROPER(VentesMagasins!$F227)</f>
        <v>Électronique</v>
      </c>
      <c r="P227">
        <f>VALUE(CLEAN(TRIM(SUBSTITUTE(VentesMagasins!$I227,".",","))))</f>
        <v>0.15</v>
      </c>
      <c r="Q227">
        <f>VALUE(TRIM(SUBSTITUTE(VentesMagasins!$J227,".",",")))</f>
        <v>202.29999999999899</v>
      </c>
      <c r="R227">
        <f t="shared" si="9"/>
        <v>171.95499999999913</v>
      </c>
      <c r="S227">
        <f>IF(VentesMagasins!$K227=1,(-1)*R227,R227)</f>
        <v>171.95499999999913</v>
      </c>
      <c r="T227">
        <f>IFERROR(VALUE(TRIM(SUBSTITUTE(VentesMagasins!$L227,".",","))),0)</f>
        <v>5</v>
      </c>
      <c r="U227">
        <f t="shared" si="10"/>
        <v>5</v>
      </c>
      <c r="V227" t="str">
        <f t="shared" si="11"/>
        <v>élévé</v>
      </c>
      <c r="W227" t="str">
        <f>_xlfn.XLOOKUP(VentesMagasins!$B227,Clients!ClientID,Région)</f>
        <v>Nord</v>
      </c>
      <c r="X227" t="str">
        <f>INDEX(TypeClient,MATCH(VentesMagasins!$B227,Clients!ClientID))</f>
        <v>Fidèle</v>
      </c>
      <c r="Y227" t="str">
        <v>janv</v>
      </c>
    </row>
    <row r="228" spans="1:25" x14ac:dyDescent="0.25">
      <c r="A228" s="2">
        <v>227</v>
      </c>
      <c r="B228" s="12" t="s">
        <v>31</v>
      </c>
      <c r="C228" s="13">
        <v>45370</v>
      </c>
      <c r="D228" s="12" t="s">
        <v>322</v>
      </c>
      <c r="E228" s="14" t="s">
        <v>364</v>
      </c>
      <c r="F228" s="12" t="s">
        <v>330</v>
      </c>
      <c r="G228" s="2">
        <v>3</v>
      </c>
      <c r="H228" s="3">
        <v>136</v>
      </c>
      <c r="I228" s="14" t="s">
        <v>355</v>
      </c>
      <c r="J228" s="12" t="s">
        <v>438</v>
      </c>
      <c r="K228" s="2">
        <v>0</v>
      </c>
      <c r="L228" s="12" t="s">
        <v>352</v>
      </c>
      <c r="M228">
        <f>YEAR(VentesMagasins!$C228)</f>
        <v>2024</v>
      </c>
      <c r="N228" t="e" cm="1" vm="1">
        <f t="array" aca="1" ref="N228" ca="1">MONTH(DateVente)</f>
        <v>#VALUE!</v>
      </c>
      <c r="O228" t="str">
        <f>PROPER(VentesMagasins!$F228)</f>
        <v>Décoration</v>
      </c>
      <c r="P228">
        <f>VALUE(CLEAN(TRIM(SUBSTITUTE(VentesMagasins!$I228,".",","))))</f>
        <v>0.1</v>
      </c>
      <c r="Q228">
        <f>VALUE(TRIM(SUBSTITUTE(VentesMagasins!$J228,".",",")))</f>
        <v>367.2</v>
      </c>
      <c r="R228">
        <f t="shared" si="9"/>
        <v>330.48</v>
      </c>
      <c r="S228">
        <f>IF(VentesMagasins!$K228=1,(-1)*R228,R228)</f>
        <v>330.48</v>
      </c>
      <c r="T228">
        <f>IFERROR(VALUE(TRIM(SUBSTITUTE(VentesMagasins!$L228,".",","))),0)</f>
        <v>0</v>
      </c>
      <c r="U228">
        <f t="shared" si="10"/>
        <v>3</v>
      </c>
      <c r="V228" t="str">
        <f t="shared" si="11"/>
        <v>moyenne</v>
      </c>
      <c r="W228" t="str">
        <f>_xlfn.XLOOKUP(VentesMagasins!$B228,Clients!ClientID,Région)</f>
        <v>Sud</v>
      </c>
      <c r="X228" t="str">
        <f>INDEX(TypeClient,MATCH(VentesMagasins!$B228,Clients!ClientID))</f>
        <v>Occasionnel</v>
      </c>
      <c r="Y228" t="str">
        <v>mars</v>
      </c>
    </row>
    <row r="229" spans="1:25" x14ac:dyDescent="0.25">
      <c r="A229" s="2">
        <v>228</v>
      </c>
      <c r="B229" s="12" t="s">
        <v>256</v>
      </c>
      <c r="C229" s="13">
        <v>45707</v>
      </c>
      <c r="D229" s="12" t="s">
        <v>338</v>
      </c>
      <c r="E229" s="14" t="s">
        <v>329</v>
      </c>
      <c r="F229" s="12" t="s">
        <v>341</v>
      </c>
      <c r="G229" s="2">
        <v>3</v>
      </c>
      <c r="H229" s="3">
        <v>158</v>
      </c>
      <c r="I229" s="14" t="s">
        <v>342</v>
      </c>
      <c r="J229" s="12" t="s">
        <v>573</v>
      </c>
      <c r="K229" s="2">
        <v>0</v>
      </c>
      <c r="L229" s="12" t="s">
        <v>352</v>
      </c>
      <c r="M229">
        <f>YEAR(VentesMagasins!$C229)</f>
        <v>2025</v>
      </c>
      <c r="N229" t="e" cm="1" vm="1">
        <f t="array" aca="1" ref="N229" ca="1">MONTH(DateVente)</f>
        <v>#VALUE!</v>
      </c>
      <c r="O229" t="str">
        <f>PROPER(VentesMagasins!$F229)</f>
        <v>Meuble</v>
      </c>
      <c r="P229">
        <f>VALUE(CLEAN(TRIM(SUBSTITUTE(VentesMagasins!$I229,".",","))))</f>
        <v>0.05</v>
      </c>
      <c r="Q229">
        <f>VALUE(TRIM(SUBSTITUTE(VentesMagasins!$J229,".",",")))</f>
        <v>450.29999999999899</v>
      </c>
      <c r="R229">
        <f t="shared" si="9"/>
        <v>427.784999999999</v>
      </c>
      <c r="S229">
        <f>IF(VentesMagasins!$K229=1,(-1)*R229,R229)</f>
        <v>427.784999999999</v>
      </c>
      <c r="T229">
        <f>IFERROR(VALUE(TRIM(SUBSTITUTE(VentesMagasins!$L229,".",","))),0)</f>
        <v>0</v>
      </c>
      <c r="U229">
        <f t="shared" si="10"/>
        <v>3</v>
      </c>
      <c r="V229" t="str">
        <f t="shared" si="11"/>
        <v>moyenne</v>
      </c>
      <c r="W229" t="str">
        <f>_xlfn.XLOOKUP(VentesMagasins!$B229,Clients!ClientID,Région)</f>
        <v>Sud</v>
      </c>
      <c r="X229" t="str">
        <f>INDEX(TypeClient,MATCH(VentesMagasins!$B229,Clients!ClientID))</f>
        <v>Occasionnel</v>
      </c>
      <c r="Y229" t="str">
        <v>févr</v>
      </c>
    </row>
    <row r="230" spans="1:25" x14ac:dyDescent="0.25">
      <c r="A230" s="2">
        <v>229</v>
      </c>
      <c r="B230" s="12" t="s">
        <v>300</v>
      </c>
      <c r="C230" s="13">
        <v>44980</v>
      </c>
      <c r="D230" s="12" t="s">
        <v>322</v>
      </c>
      <c r="E230" s="14" t="s">
        <v>345</v>
      </c>
      <c r="F230" s="12" t="s">
        <v>341</v>
      </c>
      <c r="G230" s="2">
        <v>2</v>
      </c>
      <c r="H230" s="3">
        <v>54</v>
      </c>
      <c r="I230" s="14" t="s">
        <v>355</v>
      </c>
      <c r="J230" s="12" t="s">
        <v>574</v>
      </c>
      <c r="K230" s="2">
        <v>0</v>
      </c>
      <c r="L230" s="12" t="s">
        <v>332</v>
      </c>
      <c r="M230">
        <f>YEAR(VentesMagasins!$C230)</f>
        <v>2023</v>
      </c>
      <c r="N230" t="e" cm="1" vm="1">
        <f t="array" aca="1" ref="N230" ca="1">MONTH(DateVente)</f>
        <v>#VALUE!</v>
      </c>
      <c r="O230" t="str">
        <f>PROPER(VentesMagasins!$F230)</f>
        <v>Meuble</v>
      </c>
      <c r="P230">
        <f>VALUE(CLEAN(TRIM(SUBSTITUTE(VentesMagasins!$I230,".",","))))</f>
        <v>0.1</v>
      </c>
      <c r="Q230">
        <f>VALUE(TRIM(SUBSTITUTE(VentesMagasins!$J230,".",",")))</f>
        <v>97.2</v>
      </c>
      <c r="R230">
        <f t="shared" si="9"/>
        <v>87.48</v>
      </c>
      <c r="S230">
        <f>IF(VentesMagasins!$K230=1,(-1)*R230,R230)</f>
        <v>87.48</v>
      </c>
      <c r="T230">
        <f>IFERROR(VALUE(TRIM(SUBSTITUTE(VentesMagasins!$L230,".",","))),0)</f>
        <v>4</v>
      </c>
      <c r="U230">
        <f t="shared" si="10"/>
        <v>4</v>
      </c>
      <c r="V230" t="str">
        <f t="shared" si="11"/>
        <v>moyenne</v>
      </c>
      <c r="W230" t="str">
        <f>_xlfn.XLOOKUP(VentesMagasins!$B230,Clients!ClientID,Région)</f>
        <v>Est</v>
      </c>
      <c r="X230" t="str">
        <f>INDEX(TypeClient,MATCH(VentesMagasins!$B230,Clients!ClientID))</f>
        <v>Occasionnel</v>
      </c>
      <c r="Y230" t="str">
        <v>févr</v>
      </c>
    </row>
    <row r="231" spans="1:25" x14ac:dyDescent="0.25">
      <c r="A231" s="2">
        <v>230</v>
      </c>
      <c r="B231" s="12" t="s">
        <v>172</v>
      </c>
      <c r="C231" s="13">
        <v>45569</v>
      </c>
      <c r="D231" s="12" t="s">
        <v>328</v>
      </c>
      <c r="E231" s="14" t="s">
        <v>329</v>
      </c>
      <c r="F231" s="12" t="s">
        <v>341</v>
      </c>
      <c r="G231" s="2">
        <v>2</v>
      </c>
      <c r="H231" s="3">
        <v>101</v>
      </c>
      <c r="I231" s="14" t="s">
        <v>325</v>
      </c>
      <c r="J231" s="12" t="s">
        <v>575</v>
      </c>
      <c r="K231" s="2">
        <v>0</v>
      </c>
      <c r="L231" s="12" t="s">
        <v>352</v>
      </c>
      <c r="M231">
        <f>YEAR(VentesMagasins!$C231)</f>
        <v>2024</v>
      </c>
      <c r="N231" t="e" cm="1" vm="1">
        <f t="array" aca="1" ref="N231" ca="1">MONTH(DateVente)</f>
        <v>#VALUE!</v>
      </c>
      <c r="O231" t="str">
        <f>PROPER(VentesMagasins!$F231)</f>
        <v>Meuble</v>
      </c>
      <c r="P231">
        <f>VALUE(CLEAN(TRIM(SUBSTITUTE(VentesMagasins!$I231,".",","))))</f>
        <v>0.15</v>
      </c>
      <c r="Q231">
        <f>VALUE(TRIM(SUBSTITUTE(VentesMagasins!$J231,".",",")))</f>
        <v>171.7</v>
      </c>
      <c r="R231">
        <f t="shared" si="9"/>
        <v>145.94499999999999</v>
      </c>
      <c r="S231">
        <f>IF(VentesMagasins!$K231=1,(-1)*R231,R231)</f>
        <v>145.94499999999999</v>
      </c>
      <c r="T231">
        <f>IFERROR(VALUE(TRIM(SUBSTITUTE(VentesMagasins!$L231,".",","))),0)</f>
        <v>0</v>
      </c>
      <c r="U231">
        <f t="shared" si="10"/>
        <v>3</v>
      </c>
      <c r="V231" t="str">
        <f t="shared" si="11"/>
        <v>moyenne</v>
      </c>
      <c r="W231" t="str">
        <f>_xlfn.XLOOKUP(VentesMagasins!$B231,Clients!ClientID,Région)</f>
        <v>Centre</v>
      </c>
      <c r="X231" t="str">
        <f>INDEX(TypeClient,MATCH(VentesMagasins!$B231,Clients!ClientID))</f>
        <v>Nouveau</v>
      </c>
      <c r="Y231" t="str">
        <v>oct</v>
      </c>
    </row>
    <row r="232" spans="1:25" x14ac:dyDescent="0.25">
      <c r="A232" s="2">
        <v>231</v>
      </c>
      <c r="B232" s="12" t="s">
        <v>35</v>
      </c>
      <c r="C232" s="13">
        <v>45636</v>
      </c>
      <c r="D232" s="12" t="s">
        <v>338</v>
      </c>
      <c r="E232" s="14" t="s">
        <v>345</v>
      </c>
      <c r="F232" s="12" t="s">
        <v>324</v>
      </c>
      <c r="G232" s="2">
        <v>5</v>
      </c>
      <c r="H232" s="3">
        <v>500</v>
      </c>
      <c r="I232" s="14" t="s">
        <v>335</v>
      </c>
      <c r="J232" s="12" t="s">
        <v>576</v>
      </c>
      <c r="K232" s="2">
        <v>0</v>
      </c>
      <c r="L232" s="12" t="s">
        <v>327</v>
      </c>
      <c r="M232">
        <f>YEAR(VentesMagasins!$C232)</f>
        <v>2024</v>
      </c>
      <c r="N232" t="e" cm="1" vm="1">
        <f t="array" aca="1" ref="N232" ca="1">MONTH(DateVente)</f>
        <v>#VALUE!</v>
      </c>
      <c r="O232" t="str">
        <f>PROPER(VentesMagasins!$F232)</f>
        <v>Électronique</v>
      </c>
      <c r="P232">
        <f>VALUE(CLEAN(TRIM(SUBSTITUTE(VentesMagasins!$I232,".",","))))</f>
        <v>0</v>
      </c>
      <c r="Q232">
        <f>VALUE(TRIM(SUBSTITUTE(VentesMagasins!$J232,".",",")))</f>
        <v>2500</v>
      </c>
      <c r="R232">
        <f t="shared" si="9"/>
        <v>2500</v>
      </c>
      <c r="S232">
        <f>IF(VentesMagasins!$K232=1,(-1)*R232,R232)</f>
        <v>2500</v>
      </c>
      <c r="T232">
        <f>IFERROR(VALUE(TRIM(SUBSTITUTE(VentesMagasins!$L232,".",","))),0)</f>
        <v>5</v>
      </c>
      <c r="U232">
        <f t="shared" si="10"/>
        <v>5</v>
      </c>
      <c r="V232" t="str">
        <f t="shared" si="11"/>
        <v>élévé</v>
      </c>
      <c r="W232" t="str">
        <f>_xlfn.XLOOKUP(VentesMagasins!$B232,Clients!ClientID,Région)</f>
        <v>Ouest</v>
      </c>
      <c r="X232" t="str">
        <f>INDEX(TypeClient,MATCH(VentesMagasins!$B232,Clients!ClientID))</f>
        <v>Occasionnel</v>
      </c>
      <c r="Y232" t="str">
        <v>déc</v>
      </c>
    </row>
    <row r="233" spans="1:25" x14ac:dyDescent="0.25">
      <c r="A233" s="2">
        <v>232</v>
      </c>
      <c r="B233" s="12" t="s">
        <v>115</v>
      </c>
      <c r="C233" s="13">
        <v>44991</v>
      </c>
      <c r="D233" s="12" t="s">
        <v>350</v>
      </c>
      <c r="E233" s="14" t="s">
        <v>329</v>
      </c>
      <c r="F233" s="12" t="s">
        <v>330</v>
      </c>
      <c r="G233" s="2">
        <v>2</v>
      </c>
      <c r="H233" s="3">
        <v>316</v>
      </c>
      <c r="I233" s="14" t="s">
        <v>325</v>
      </c>
      <c r="J233" s="12" t="s">
        <v>577</v>
      </c>
      <c r="K233" s="2">
        <v>0</v>
      </c>
      <c r="L233" s="12" t="s">
        <v>337</v>
      </c>
      <c r="M233">
        <f>YEAR(VentesMagasins!$C233)</f>
        <v>2023</v>
      </c>
      <c r="N233" t="e" cm="1" vm="1">
        <f t="array" aca="1" ref="N233" ca="1">MONTH(DateVente)</f>
        <v>#VALUE!</v>
      </c>
      <c r="O233" t="str">
        <f>PROPER(VentesMagasins!$F233)</f>
        <v>Décoration</v>
      </c>
      <c r="P233">
        <f>VALUE(CLEAN(TRIM(SUBSTITUTE(VentesMagasins!$I233,".",","))))</f>
        <v>0.15</v>
      </c>
      <c r="Q233">
        <f>VALUE(TRIM(SUBSTITUTE(VentesMagasins!$J233,".",",")))</f>
        <v>537.19999999999902</v>
      </c>
      <c r="R233">
        <f t="shared" si="9"/>
        <v>456.61999999999915</v>
      </c>
      <c r="S233">
        <f>IF(VentesMagasins!$K233=1,(-1)*R233,R233)</f>
        <v>456.61999999999915</v>
      </c>
      <c r="T233">
        <f>IFERROR(VALUE(TRIM(SUBSTITUTE(VentesMagasins!$L233,".",","))),0)</f>
        <v>3</v>
      </c>
      <c r="U233">
        <f t="shared" si="10"/>
        <v>3</v>
      </c>
      <c r="V233" t="str">
        <f t="shared" si="11"/>
        <v>moyenne</v>
      </c>
      <c r="W233" t="str">
        <f>_xlfn.XLOOKUP(VentesMagasins!$B233,Clients!ClientID,Région)</f>
        <v>Centre</v>
      </c>
      <c r="X233" t="str">
        <f>INDEX(TypeClient,MATCH(VentesMagasins!$B233,Clients!ClientID))</f>
        <v>Fidèle</v>
      </c>
      <c r="Y233" t="str">
        <v>mars</v>
      </c>
    </row>
    <row r="234" spans="1:25" x14ac:dyDescent="0.25">
      <c r="A234" s="2">
        <v>233</v>
      </c>
      <c r="B234" s="12" t="s">
        <v>107</v>
      </c>
      <c r="C234" s="13">
        <v>45143</v>
      </c>
      <c r="D234" s="12" t="s">
        <v>328</v>
      </c>
      <c r="E234" s="14" t="s">
        <v>348</v>
      </c>
      <c r="F234" s="12" t="s">
        <v>330</v>
      </c>
      <c r="G234" s="2">
        <v>4</v>
      </c>
      <c r="H234" s="3">
        <v>425</v>
      </c>
      <c r="I234" s="14" t="s">
        <v>325</v>
      </c>
      <c r="J234" s="12" t="s">
        <v>578</v>
      </c>
      <c r="K234" s="2">
        <v>1</v>
      </c>
      <c r="L234" s="12" t="s">
        <v>369</v>
      </c>
      <c r="M234">
        <f>YEAR(VentesMagasins!$C234)</f>
        <v>2023</v>
      </c>
      <c r="N234" t="e" cm="1" vm="1">
        <f t="array" aca="1" ref="N234" ca="1">MONTH(DateVente)</f>
        <v>#VALUE!</v>
      </c>
      <c r="O234" t="str">
        <f>PROPER(VentesMagasins!$F234)</f>
        <v>Décoration</v>
      </c>
      <c r="P234">
        <f>VALUE(CLEAN(TRIM(SUBSTITUTE(VentesMagasins!$I234,".",","))))</f>
        <v>0.15</v>
      </c>
      <c r="Q234">
        <f>VALUE(TRIM(SUBSTITUTE(VentesMagasins!$J234,".",",")))</f>
        <v>1445</v>
      </c>
      <c r="R234">
        <f t="shared" si="9"/>
        <v>1228.25</v>
      </c>
      <c r="S234">
        <f>IF(VentesMagasins!$K234=1,(-1)*R234,R234)</f>
        <v>-1228.25</v>
      </c>
      <c r="T234">
        <f>IFERROR(VALUE(TRIM(SUBSTITUTE(VentesMagasins!$L234,".",","))),0)</f>
        <v>1</v>
      </c>
      <c r="U234">
        <f t="shared" si="10"/>
        <v>1</v>
      </c>
      <c r="V234" t="str">
        <f t="shared" si="11"/>
        <v>faible</v>
      </c>
      <c r="W234" t="str">
        <f>_xlfn.XLOOKUP(VentesMagasins!$B234,Clients!ClientID,Région)</f>
        <v>Est</v>
      </c>
      <c r="X234" t="str">
        <f>INDEX(TypeClient,MATCH(VentesMagasins!$B234,Clients!ClientID))</f>
        <v>Nouveau</v>
      </c>
      <c r="Y234" t="str">
        <v>août</v>
      </c>
    </row>
    <row r="235" spans="1:25" x14ac:dyDescent="0.25">
      <c r="A235" s="2">
        <v>234</v>
      </c>
      <c r="B235" s="12" t="s">
        <v>226</v>
      </c>
      <c r="C235" s="13">
        <v>45146</v>
      </c>
      <c r="D235" s="12" t="s">
        <v>333</v>
      </c>
      <c r="E235" s="14" t="s">
        <v>362</v>
      </c>
      <c r="F235" s="12" t="s">
        <v>330</v>
      </c>
      <c r="G235" s="2">
        <v>2</v>
      </c>
      <c r="H235" s="3">
        <v>64</v>
      </c>
      <c r="I235" s="14" t="s">
        <v>335</v>
      </c>
      <c r="J235" s="12" t="s">
        <v>579</v>
      </c>
      <c r="K235" s="2">
        <v>0</v>
      </c>
      <c r="L235" s="12" t="s">
        <v>352</v>
      </c>
      <c r="M235">
        <f>YEAR(VentesMagasins!$C235)</f>
        <v>2023</v>
      </c>
      <c r="N235" t="e" cm="1" vm="1">
        <f t="array" aca="1" ref="N235" ca="1">MONTH(DateVente)</f>
        <v>#VALUE!</v>
      </c>
      <c r="O235" t="str">
        <f>PROPER(VentesMagasins!$F235)</f>
        <v>Décoration</v>
      </c>
      <c r="P235">
        <f>VALUE(CLEAN(TRIM(SUBSTITUTE(VentesMagasins!$I235,".",","))))</f>
        <v>0</v>
      </c>
      <c r="Q235">
        <f>VALUE(TRIM(SUBSTITUTE(VentesMagasins!$J235,".",",")))</f>
        <v>128</v>
      </c>
      <c r="R235">
        <f t="shared" si="9"/>
        <v>128</v>
      </c>
      <c r="S235">
        <f>IF(VentesMagasins!$K235=1,(-1)*R235,R235)</f>
        <v>128</v>
      </c>
      <c r="T235">
        <f>IFERROR(VALUE(TRIM(SUBSTITUTE(VentesMagasins!$L235,".",","))),0)</f>
        <v>0</v>
      </c>
      <c r="U235">
        <f t="shared" si="10"/>
        <v>3</v>
      </c>
      <c r="V235" t="str">
        <f t="shared" si="11"/>
        <v>moyenne</v>
      </c>
      <c r="W235" t="str">
        <f>_xlfn.XLOOKUP(VentesMagasins!$B235,Clients!ClientID,Région)</f>
        <v>Est</v>
      </c>
      <c r="X235" t="str">
        <f>INDEX(TypeClient,MATCH(VentesMagasins!$B235,Clients!ClientID))</f>
        <v>Occasionnel</v>
      </c>
      <c r="Y235" t="str">
        <v>août</v>
      </c>
    </row>
    <row r="236" spans="1:25" x14ac:dyDescent="0.25">
      <c r="A236" s="2">
        <v>235</v>
      </c>
      <c r="B236" s="12" t="s">
        <v>34</v>
      </c>
      <c r="C236" s="13">
        <v>45219</v>
      </c>
      <c r="D236" s="12" t="s">
        <v>338</v>
      </c>
      <c r="E236" s="14" t="s">
        <v>334</v>
      </c>
      <c r="F236" s="12" t="s">
        <v>330</v>
      </c>
      <c r="G236" s="2">
        <v>1</v>
      </c>
      <c r="H236" s="3">
        <v>60</v>
      </c>
      <c r="I236" s="14" t="s">
        <v>355</v>
      </c>
      <c r="J236" s="12" t="s">
        <v>580</v>
      </c>
      <c r="K236" s="2">
        <v>0</v>
      </c>
      <c r="L236" s="12" t="s">
        <v>369</v>
      </c>
      <c r="M236">
        <f>YEAR(VentesMagasins!$C236)</f>
        <v>2023</v>
      </c>
      <c r="N236" t="e" cm="1" vm="1">
        <f t="array" aca="1" ref="N236" ca="1">MONTH(DateVente)</f>
        <v>#VALUE!</v>
      </c>
      <c r="O236" t="str">
        <f>PROPER(VentesMagasins!$F236)</f>
        <v>Décoration</v>
      </c>
      <c r="P236">
        <f>VALUE(CLEAN(TRIM(SUBSTITUTE(VentesMagasins!$I236,".",","))))</f>
        <v>0.1</v>
      </c>
      <c r="Q236">
        <f>VALUE(TRIM(SUBSTITUTE(VentesMagasins!$J236,".",",")))</f>
        <v>54</v>
      </c>
      <c r="R236">
        <f t="shared" si="9"/>
        <v>48.6</v>
      </c>
      <c r="S236">
        <f>IF(VentesMagasins!$K236=1,(-1)*R236,R236)</f>
        <v>48.6</v>
      </c>
      <c r="T236">
        <f>IFERROR(VALUE(TRIM(SUBSTITUTE(VentesMagasins!$L236,".",","))),0)</f>
        <v>1</v>
      </c>
      <c r="U236">
        <f t="shared" si="10"/>
        <v>1</v>
      </c>
      <c r="V236" t="str">
        <f t="shared" si="11"/>
        <v>faible</v>
      </c>
      <c r="W236" t="str">
        <f>_xlfn.XLOOKUP(VentesMagasins!$B236,Clients!ClientID,Région)</f>
        <v>Ouest</v>
      </c>
      <c r="X236" t="str">
        <f>INDEX(TypeClient,MATCH(VentesMagasins!$B236,Clients!ClientID))</f>
        <v>Fidèle</v>
      </c>
      <c r="Y236" t="str">
        <v>oct</v>
      </c>
    </row>
    <row r="237" spans="1:25" x14ac:dyDescent="0.25">
      <c r="A237" s="2">
        <v>236</v>
      </c>
      <c r="B237" s="12" t="s">
        <v>30</v>
      </c>
      <c r="C237" s="13">
        <v>45293</v>
      </c>
      <c r="D237" s="12" t="s">
        <v>333</v>
      </c>
      <c r="E237" s="14" t="s">
        <v>348</v>
      </c>
      <c r="F237" s="12" t="s">
        <v>324</v>
      </c>
      <c r="G237" s="2">
        <v>5</v>
      </c>
      <c r="H237" s="3">
        <v>62</v>
      </c>
      <c r="I237" s="14" t="s">
        <v>355</v>
      </c>
      <c r="J237" s="12" t="s">
        <v>581</v>
      </c>
      <c r="K237" s="2">
        <v>1</v>
      </c>
      <c r="L237" s="12" t="s">
        <v>369</v>
      </c>
      <c r="M237">
        <f>YEAR(VentesMagasins!$C237)</f>
        <v>2024</v>
      </c>
      <c r="N237" t="e" cm="1" vm="1">
        <f t="array" aca="1" ref="N237" ca="1">MONTH(DateVente)</f>
        <v>#VALUE!</v>
      </c>
      <c r="O237" t="str">
        <f>PROPER(VentesMagasins!$F237)</f>
        <v>Électronique</v>
      </c>
      <c r="P237">
        <f>VALUE(CLEAN(TRIM(SUBSTITUTE(VentesMagasins!$I237,".",","))))</f>
        <v>0.1</v>
      </c>
      <c r="Q237">
        <f>VALUE(TRIM(SUBSTITUTE(VentesMagasins!$J237,".",",")))</f>
        <v>279</v>
      </c>
      <c r="R237">
        <f t="shared" si="9"/>
        <v>251.1</v>
      </c>
      <c r="S237">
        <f>IF(VentesMagasins!$K237=1,(-1)*R237,R237)</f>
        <v>-251.1</v>
      </c>
      <c r="T237">
        <f>IFERROR(VALUE(TRIM(SUBSTITUTE(VentesMagasins!$L237,".",","))),0)</f>
        <v>1</v>
      </c>
      <c r="U237">
        <f t="shared" si="10"/>
        <v>1</v>
      </c>
      <c r="V237" t="str">
        <f t="shared" si="11"/>
        <v>faible</v>
      </c>
      <c r="W237" t="str">
        <f>_xlfn.XLOOKUP(VentesMagasins!$B237,Clients!ClientID,Région)</f>
        <v>Centre</v>
      </c>
      <c r="X237" t="str">
        <f>INDEX(TypeClient,MATCH(VentesMagasins!$B237,Clients!ClientID))</f>
        <v>Fidèle</v>
      </c>
      <c r="Y237" t="str">
        <v>janv</v>
      </c>
    </row>
    <row r="238" spans="1:25" x14ac:dyDescent="0.25">
      <c r="A238" s="2">
        <v>237</v>
      </c>
      <c r="B238" s="12" t="s">
        <v>17</v>
      </c>
      <c r="C238" s="13">
        <v>45954</v>
      </c>
      <c r="D238" s="12" t="s">
        <v>322</v>
      </c>
      <c r="E238" s="14" t="s">
        <v>323</v>
      </c>
      <c r="F238" s="12" t="s">
        <v>330</v>
      </c>
      <c r="G238" s="2">
        <v>3</v>
      </c>
      <c r="H238" s="3">
        <v>389</v>
      </c>
      <c r="I238" s="14" t="s">
        <v>335</v>
      </c>
      <c r="J238" s="12" t="s">
        <v>582</v>
      </c>
      <c r="K238" s="2">
        <v>0</v>
      </c>
      <c r="L238" s="12" t="s">
        <v>352</v>
      </c>
      <c r="M238">
        <f>YEAR(VentesMagasins!$C238)</f>
        <v>2025</v>
      </c>
      <c r="N238" t="e" cm="1" vm="1">
        <f t="array" aca="1" ref="N238" ca="1">MONTH(DateVente)</f>
        <v>#VALUE!</v>
      </c>
      <c r="O238" t="str">
        <f>PROPER(VentesMagasins!$F238)</f>
        <v>Décoration</v>
      </c>
      <c r="P238">
        <f>VALUE(CLEAN(TRIM(SUBSTITUTE(VentesMagasins!$I238,".",","))))</f>
        <v>0</v>
      </c>
      <c r="Q238">
        <f>VALUE(TRIM(SUBSTITUTE(VentesMagasins!$J238,".",",")))</f>
        <v>1167</v>
      </c>
      <c r="R238">
        <f t="shared" si="9"/>
        <v>1167</v>
      </c>
      <c r="S238">
        <f>IF(VentesMagasins!$K238=1,(-1)*R238,R238)</f>
        <v>1167</v>
      </c>
      <c r="T238">
        <f>IFERROR(VALUE(TRIM(SUBSTITUTE(VentesMagasins!$L238,".",","))),0)</f>
        <v>0</v>
      </c>
      <c r="U238">
        <f t="shared" si="10"/>
        <v>3</v>
      </c>
      <c r="V238" t="str">
        <f t="shared" si="11"/>
        <v>moyenne</v>
      </c>
      <c r="W238" t="str">
        <f>_xlfn.XLOOKUP(VentesMagasins!$B238,Clients!ClientID,Région)</f>
        <v>Centre</v>
      </c>
      <c r="X238" t="str">
        <f>INDEX(TypeClient,MATCH(VentesMagasins!$B238,Clients!ClientID))</f>
        <v>Occasionnel</v>
      </c>
      <c r="Y238" t="str">
        <v>oct</v>
      </c>
    </row>
    <row r="239" spans="1:25" x14ac:dyDescent="0.25">
      <c r="A239" s="2">
        <v>238</v>
      </c>
      <c r="B239" s="12" t="s">
        <v>71</v>
      </c>
      <c r="C239" s="13">
        <v>45081</v>
      </c>
      <c r="D239" s="12" t="s">
        <v>328</v>
      </c>
      <c r="E239" s="14" t="s">
        <v>329</v>
      </c>
      <c r="F239" s="12" t="s">
        <v>341</v>
      </c>
      <c r="G239" s="2">
        <v>1</v>
      </c>
      <c r="H239" s="3">
        <v>87</v>
      </c>
      <c r="I239" s="14" t="s">
        <v>355</v>
      </c>
      <c r="J239" s="12" t="s">
        <v>583</v>
      </c>
      <c r="K239" s="2">
        <v>1</v>
      </c>
      <c r="L239" s="12" t="s">
        <v>344</v>
      </c>
      <c r="M239">
        <f>YEAR(VentesMagasins!$C239)</f>
        <v>2023</v>
      </c>
      <c r="N239" t="e" cm="1" vm="1">
        <f t="array" aca="1" ref="N239" ca="1">MONTH(DateVente)</f>
        <v>#VALUE!</v>
      </c>
      <c r="O239" t="str">
        <f>PROPER(VentesMagasins!$F239)</f>
        <v>Meuble</v>
      </c>
      <c r="P239">
        <f>VALUE(CLEAN(TRIM(SUBSTITUTE(VentesMagasins!$I239,".",","))))</f>
        <v>0.1</v>
      </c>
      <c r="Q239">
        <f>VALUE(TRIM(SUBSTITUTE(VentesMagasins!$J239,".",",")))</f>
        <v>78.3</v>
      </c>
      <c r="R239">
        <f t="shared" si="9"/>
        <v>70.47</v>
      </c>
      <c r="S239">
        <f>IF(VentesMagasins!$K239=1,(-1)*R239,R239)</f>
        <v>-70.47</v>
      </c>
      <c r="T239">
        <f>IFERROR(VALUE(TRIM(SUBSTITUTE(VentesMagasins!$L239,".",","))),0)</f>
        <v>2</v>
      </c>
      <c r="U239">
        <f t="shared" si="10"/>
        <v>2</v>
      </c>
      <c r="V239" t="str">
        <f t="shared" si="11"/>
        <v>faible</v>
      </c>
      <c r="W239" t="str">
        <f>_xlfn.XLOOKUP(VentesMagasins!$B239,Clients!ClientID,Région)</f>
        <v>Sud</v>
      </c>
      <c r="X239" t="str">
        <f>INDEX(TypeClient,MATCH(VentesMagasins!$B239,Clients!ClientID))</f>
        <v>Nouveau</v>
      </c>
      <c r="Y239" t="str">
        <v>juin</v>
      </c>
    </row>
    <row r="240" spans="1:25" x14ac:dyDescent="0.25">
      <c r="A240" s="2">
        <v>239</v>
      </c>
      <c r="B240" s="12" t="s">
        <v>286</v>
      </c>
      <c r="C240" s="13">
        <v>45455</v>
      </c>
      <c r="D240" s="12" t="s">
        <v>338</v>
      </c>
      <c r="E240" s="14" t="s">
        <v>323</v>
      </c>
      <c r="F240" s="12" t="s">
        <v>330</v>
      </c>
      <c r="G240" s="2">
        <v>2</v>
      </c>
      <c r="H240" s="3">
        <v>394</v>
      </c>
      <c r="I240" s="14" t="s">
        <v>342</v>
      </c>
      <c r="J240" s="12" t="s">
        <v>584</v>
      </c>
      <c r="K240" s="2">
        <v>1</v>
      </c>
      <c r="L240" s="12" t="s">
        <v>352</v>
      </c>
      <c r="M240">
        <f>YEAR(VentesMagasins!$C240)</f>
        <v>2024</v>
      </c>
      <c r="N240" t="e" cm="1" vm="1">
        <f t="array" aca="1" ref="N240" ca="1">MONTH(DateVente)</f>
        <v>#VALUE!</v>
      </c>
      <c r="O240" t="str">
        <f>PROPER(VentesMagasins!$F240)</f>
        <v>Décoration</v>
      </c>
      <c r="P240">
        <f>VALUE(CLEAN(TRIM(SUBSTITUTE(VentesMagasins!$I240,".",","))))</f>
        <v>0.05</v>
      </c>
      <c r="Q240">
        <f>VALUE(TRIM(SUBSTITUTE(VentesMagasins!$J240,".",",")))</f>
        <v>748.599999999999</v>
      </c>
      <c r="R240">
        <f t="shared" si="9"/>
        <v>711.16999999999905</v>
      </c>
      <c r="S240">
        <f>IF(VentesMagasins!$K240=1,(-1)*R240,R240)</f>
        <v>-711.16999999999905</v>
      </c>
      <c r="T240">
        <f>IFERROR(VALUE(TRIM(SUBSTITUTE(VentesMagasins!$L240,".",","))),0)</f>
        <v>0</v>
      </c>
      <c r="U240">
        <f t="shared" si="10"/>
        <v>3</v>
      </c>
      <c r="V240" t="str">
        <f t="shared" si="11"/>
        <v>moyenne</v>
      </c>
      <c r="W240" t="str">
        <f>_xlfn.XLOOKUP(VentesMagasins!$B240,Clients!ClientID,Région)</f>
        <v>Ouest</v>
      </c>
      <c r="X240" t="str">
        <f>INDEX(TypeClient,MATCH(VentesMagasins!$B240,Clients!ClientID))</f>
        <v>Nouveau</v>
      </c>
      <c r="Y240" t="str">
        <v>juin</v>
      </c>
    </row>
    <row r="241" spans="1:25" x14ac:dyDescent="0.25">
      <c r="A241" s="2">
        <v>240</v>
      </c>
      <c r="B241" s="12" t="s">
        <v>287</v>
      </c>
      <c r="C241" s="13">
        <v>45427</v>
      </c>
      <c r="D241" s="12" t="s">
        <v>328</v>
      </c>
      <c r="E241" s="14" t="s">
        <v>323</v>
      </c>
      <c r="F241" s="12" t="s">
        <v>341</v>
      </c>
      <c r="G241" s="2">
        <v>2</v>
      </c>
      <c r="H241" s="3">
        <v>393</v>
      </c>
      <c r="I241" s="14" t="s">
        <v>325</v>
      </c>
      <c r="J241" s="12" t="s">
        <v>585</v>
      </c>
      <c r="K241" s="2">
        <v>0</v>
      </c>
      <c r="L241" s="12" t="s">
        <v>352</v>
      </c>
      <c r="M241">
        <f>YEAR(VentesMagasins!$C241)</f>
        <v>2024</v>
      </c>
      <c r="N241" t="e" cm="1" vm="1">
        <f t="array" aca="1" ref="N241" ca="1">MONTH(DateVente)</f>
        <v>#VALUE!</v>
      </c>
      <c r="O241" t="str">
        <f>PROPER(VentesMagasins!$F241)</f>
        <v>Meuble</v>
      </c>
      <c r="P241">
        <f>VALUE(CLEAN(TRIM(SUBSTITUTE(VentesMagasins!$I241,".",","))))</f>
        <v>0.15</v>
      </c>
      <c r="Q241">
        <f>VALUE(TRIM(SUBSTITUTE(VentesMagasins!$J241,".",",")))</f>
        <v>668.1</v>
      </c>
      <c r="R241">
        <f t="shared" si="9"/>
        <v>567.88499999999999</v>
      </c>
      <c r="S241">
        <f>IF(VentesMagasins!$K241=1,(-1)*R241,R241)</f>
        <v>567.88499999999999</v>
      </c>
      <c r="T241">
        <f>IFERROR(VALUE(TRIM(SUBSTITUTE(VentesMagasins!$L241,".",","))),0)</f>
        <v>0</v>
      </c>
      <c r="U241">
        <f t="shared" si="10"/>
        <v>3</v>
      </c>
      <c r="V241" t="str">
        <f t="shared" si="11"/>
        <v>moyenne</v>
      </c>
      <c r="W241" t="str">
        <f>_xlfn.XLOOKUP(VentesMagasins!$B241,Clients!ClientID,Région)</f>
        <v>Nord</v>
      </c>
      <c r="X241" t="str">
        <f>INDEX(TypeClient,MATCH(VentesMagasins!$B241,Clients!ClientID))</f>
        <v>Nouveau</v>
      </c>
      <c r="Y241" t="str">
        <v>mai</v>
      </c>
    </row>
    <row r="242" spans="1:25" x14ac:dyDescent="0.25">
      <c r="A242" s="2">
        <v>241</v>
      </c>
      <c r="B242" s="12" t="s">
        <v>217</v>
      </c>
      <c r="C242" s="13">
        <v>45702</v>
      </c>
      <c r="D242" s="12" t="s">
        <v>328</v>
      </c>
      <c r="E242" s="14" t="s">
        <v>334</v>
      </c>
      <c r="F242" s="12" t="s">
        <v>330</v>
      </c>
      <c r="G242" s="2">
        <v>5</v>
      </c>
      <c r="H242" s="3">
        <v>323</v>
      </c>
      <c r="I242" s="14" t="s">
        <v>335</v>
      </c>
      <c r="J242" s="12" t="s">
        <v>586</v>
      </c>
      <c r="K242" s="2">
        <v>1</v>
      </c>
      <c r="L242" s="12" t="s">
        <v>369</v>
      </c>
      <c r="M242">
        <f>YEAR(VentesMagasins!$C242)</f>
        <v>2025</v>
      </c>
      <c r="N242" t="e" cm="1" vm="1">
        <f t="array" aca="1" ref="N242" ca="1">MONTH(DateVente)</f>
        <v>#VALUE!</v>
      </c>
      <c r="O242" t="str">
        <f>PROPER(VentesMagasins!$F242)</f>
        <v>Décoration</v>
      </c>
      <c r="P242">
        <f>VALUE(CLEAN(TRIM(SUBSTITUTE(VentesMagasins!$I242,".",","))))</f>
        <v>0</v>
      </c>
      <c r="Q242">
        <f>VALUE(TRIM(SUBSTITUTE(VentesMagasins!$J242,".",",")))</f>
        <v>1615</v>
      </c>
      <c r="R242">
        <f t="shared" si="9"/>
        <v>1615</v>
      </c>
      <c r="S242">
        <f>IF(VentesMagasins!$K242=1,(-1)*R242,R242)</f>
        <v>-1615</v>
      </c>
      <c r="T242">
        <f>IFERROR(VALUE(TRIM(SUBSTITUTE(VentesMagasins!$L242,".",","))),0)</f>
        <v>1</v>
      </c>
      <c r="U242">
        <f t="shared" si="10"/>
        <v>1</v>
      </c>
      <c r="V242" t="str">
        <f t="shared" si="11"/>
        <v>faible</v>
      </c>
      <c r="W242" t="str">
        <f>_xlfn.XLOOKUP(VentesMagasins!$B242,Clients!ClientID,Région)</f>
        <v>Centre</v>
      </c>
      <c r="X242" t="str">
        <f>INDEX(TypeClient,MATCH(VentesMagasins!$B242,Clients!ClientID))</f>
        <v>Nouveau</v>
      </c>
      <c r="Y242" t="str">
        <v>févr</v>
      </c>
    </row>
    <row r="243" spans="1:25" x14ac:dyDescent="0.25">
      <c r="A243" s="2">
        <v>242</v>
      </c>
      <c r="B243" s="12" t="s">
        <v>129</v>
      </c>
      <c r="C243" s="13">
        <v>45999</v>
      </c>
      <c r="D243" s="12" t="s">
        <v>338</v>
      </c>
      <c r="E243" s="14" t="s">
        <v>329</v>
      </c>
      <c r="F243" s="12" t="s">
        <v>341</v>
      </c>
      <c r="G243" s="2">
        <v>2</v>
      </c>
      <c r="H243" s="3">
        <v>373</v>
      </c>
      <c r="I243" s="14" t="s">
        <v>335</v>
      </c>
      <c r="J243" s="12" t="s">
        <v>587</v>
      </c>
      <c r="K243" s="2">
        <v>0</v>
      </c>
      <c r="L243" s="12" t="s">
        <v>369</v>
      </c>
      <c r="M243">
        <f>YEAR(VentesMagasins!$C243)</f>
        <v>2025</v>
      </c>
      <c r="N243" t="e" cm="1" vm="1">
        <f t="array" aca="1" ref="N243" ca="1">MONTH(DateVente)</f>
        <v>#VALUE!</v>
      </c>
      <c r="O243" t="str">
        <f>PROPER(VentesMagasins!$F243)</f>
        <v>Meuble</v>
      </c>
      <c r="P243">
        <f>VALUE(CLEAN(TRIM(SUBSTITUTE(VentesMagasins!$I243,".",","))))</f>
        <v>0</v>
      </c>
      <c r="Q243">
        <f>VALUE(TRIM(SUBSTITUTE(VentesMagasins!$J243,".",",")))</f>
        <v>746</v>
      </c>
      <c r="R243">
        <f t="shared" si="9"/>
        <v>746</v>
      </c>
      <c r="S243">
        <f>IF(VentesMagasins!$K243=1,(-1)*R243,R243)</f>
        <v>746</v>
      </c>
      <c r="T243">
        <f>IFERROR(VALUE(TRIM(SUBSTITUTE(VentesMagasins!$L243,".",","))),0)</f>
        <v>1</v>
      </c>
      <c r="U243">
        <f t="shared" si="10"/>
        <v>1</v>
      </c>
      <c r="V243" t="str">
        <f t="shared" si="11"/>
        <v>faible</v>
      </c>
      <c r="W243" t="str">
        <f>_xlfn.XLOOKUP(VentesMagasins!$B243,Clients!ClientID,Région)</f>
        <v>Est</v>
      </c>
      <c r="X243" t="str">
        <f>INDEX(TypeClient,MATCH(VentesMagasins!$B243,Clients!ClientID))</f>
        <v>Fidèle</v>
      </c>
      <c r="Y243" t="str">
        <v>déc</v>
      </c>
    </row>
    <row r="244" spans="1:25" x14ac:dyDescent="0.25">
      <c r="A244" s="2">
        <v>243</v>
      </c>
      <c r="B244" s="12" t="s">
        <v>148</v>
      </c>
      <c r="C244" s="13">
        <v>45393</v>
      </c>
      <c r="D244" s="12" t="s">
        <v>350</v>
      </c>
      <c r="E244" s="14" t="s">
        <v>345</v>
      </c>
      <c r="F244" s="12" t="s">
        <v>324</v>
      </c>
      <c r="G244" s="2">
        <v>5</v>
      </c>
      <c r="H244" s="3">
        <v>180</v>
      </c>
      <c r="I244" s="14" t="s">
        <v>355</v>
      </c>
      <c r="J244" s="12" t="s">
        <v>588</v>
      </c>
      <c r="K244" s="2">
        <v>0</v>
      </c>
      <c r="L244" s="12" t="s">
        <v>327</v>
      </c>
      <c r="M244">
        <f>YEAR(VentesMagasins!$C244)</f>
        <v>2024</v>
      </c>
      <c r="N244" t="e" cm="1" vm="1">
        <f t="array" aca="1" ref="N244" ca="1">MONTH(DateVente)</f>
        <v>#VALUE!</v>
      </c>
      <c r="O244" t="str">
        <f>PROPER(VentesMagasins!$F244)</f>
        <v>Électronique</v>
      </c>
      <c r="P244">
        <f>VALUE(CLEAN(TRIM(SUBSTITUTE(VentesMagasins!$I244,".",","))))</f>
        <v>0.1</v>
      </c>
      <c r="Q244">
        <f>VALUE(TRIM(SUBSTITUTE(VentesMagasins!$J244,".",",")))</f>
        <v>810</v>
      </c>
      <c r="R244">
        <f t="shared" si="9"/>
        <v>729</v>
      </c>
      <c r="S244">
        <f>IF(VentesMagasins!$K244=1,(-1)*R244,R244)</f>
        <v>729</v>
      </c>
      <c r="T244">
        <f>IFERROR(VALUE(TRIM(SUBSTITUTE(VentesMagasins!$L244,".",","))),0)</f>
        <v>5</v>
      </c>
      <c r="U244">
        <f t="shared" si="10"/>
        <v>5</v>
      </c>
      <c r="V244" t="str">
        <f t="shared" si="11"/>
        <v>élévé</v>
      </c>
      <c r="W244" t="str">
        <f>_xlfn.XLOOKUP(VentesMagasins!$B244,Clients!ClientID,Région)</f>
        <v>Sud</v>
      </c>
      <c r="X244" t="str">
        <f>INDEX(TypeClient,MATCH(VentesMagasins!$B244,Clients!ClientID))</f>
        <v>Nouveau</v>
      </c>
      <c r="Y244" t="str">
        <v>avr</v>
      </c>
    </row>
    <row r="245" spans="1:25" x14ac:dyDescent="0.25">
      <c r="A245" s="2">
        <v>244</v>
      </c>
      <c r="B245" s="12" t="s">
        <v>129</v>
      </c>
      <c r="C245" s="13">
        <v>45721</v>
      </c>
      <c r="D245" s="12" t="s">
        <v>322</v>
      </c>
      <c r="E245" s="14" t="s">
        <v>362</v>
      </c>
      <c r="F245" s="12" t="s">
        <v>330</v>
      </c>
      <c r="G245" s="2">
        <v>1</v>
      </c>
      <c r="H245" s="3">
        <v>299</v>
      </c>
      <c r="I245" s="14" t="s">
        <v>335</v>
      </c>
      <c r="J245" s="12" t="s">
        <v>589</v>
      </c>
      <c r="K245" s="2">
        <v>1</v>
      </c>
      <c r="L245" s="12" t="s">
        <v>332</v>
      </c>
      <c r="M245">
        <f>YEAR(VentesMagasins!$C245)</f>
        <v>2025</v>
      </c>
      <c r="N245" t="e" cm="1" vm="1">
        <f t="array" aca="1" ref="N245" ca="1">MONTH(DateVente)</f>
        <v>#VALUE!</v>
      </c>
      <c r="O245" t="str">
        <f>PROPER(VentesMagasins!$F245)</f>
        <v>Décoration</v>
      </c>
      <c r="P245">
        <f>VALUE(CLEAN(TRIM(SUBSTITUTE(VentesMagasins!$I245,".",","))))</f>
        <v>0</v>
      </c>
      <c r="Q245">
        <f>VALUE(TRIM(SUBSTITUTE(VentesMagasins!$J245,".",",")))</f>
        <v>299</v>
      </c>
      <c r="R245">
        <f t="shared" si="9"/>
        <v>299</v>
      </c>
      <c r="S245">
        <f>IF(VentesMagasins!$K245=1,(-1)*R245,R245)</f>
        <v>-299</v>
      </c>
      <c r="T245">
        <f>IFERROR(VALUE(TRIM(SUBSTITUTE(VentesMagasins!$L245,".",","))),0)</f>
        <v>4</v>
      </c>
      <c r="U245">
        <f t="shared" si="10"/>
        <v>4</v>
      </c>
      <c r="V245" t="str">
        <f t="shared" si="11"/>
        <v>moyenne</v>
      </c>
      <c r="W245" t="str">
        <f>_xlfn.XLOOKUP(VentesMagasins!$B245,Clients!ClientID,Région)</f>
        <v>Est</v>
      </c>
      <c r="X245" t="str">
        <f>INDEX(TypeClient,MATCH(VentesMagasins!$B245,Clients!ClientID))</f>
        <v>Fidèle</v>
      </c>
      <c r="Y245" t="str">
        <v>mars</v>
      </c>
    </row>
    <row r="246" spans="1:25" x14ac:dyDescent="0.25">
      <c r="A246" s="2">
        <v>245</v>
      </c>
      <c r="B246" s="12" t="s">
        <v>71</v>
      </c>
      <c r="C246" s="13">
        <v>45025</v>
      </c>
      <c r="D246" s="12" t="s">
        <v>338</v>
      </c>
      <c r="E246" s="14" t="s">
        <v>345</v>
      </c>
      <c r="F246" s="12" t="s">
        <v>341</v>
      </c>
      <c r="G246" s="2">
        <v>3</v>
      </c>
      <c r="H246" s="3">
        <v>196</v>
      </c>
      <c r="I246" s="14" t="s">
        <v>335</v>
      </c>
      <c r="J246" s="12" t="s">
        <v>516</v>
      </c>
      <c r="K246" s="2">
        <v>1</v>
      </c>
      <c r="L246" s="12" t="s">
        <v>344</v>
      </c>
      <c r="M246">
        <f>YEAR(VentesMagasins!$C246)</f>
        <v>2023</v>
      </c>
      <c r="N246" t="e" cm="1" vm="1">
        <f t="array" aca="1" ref="N246" ca="1">MONTH(DateVente)</f>
        <v>#VALUE!</v>
      </c>
      <c r="O246" t="str">
        <f>PROPER(VentesMagasins!$F246)</f>
        <v>Meuble</v>
      </c>
      <c r="P246">
        <f>VALUE(CLEAN(TRIM(SUBSTITUTE(VentesMagasins!$I246,".",","))))</f>
        <v>0</v>
      </c>
      <c r="Q246">
        <f>VALUE(TRIM(SUBSTITUTE(VentesMagasins!$J246,".",",")))</f>
        <v>588</v>
      </c>
      <c r="R246">
        <f t="shared" si="9"/>
        <v>588</v>
      </c>
      <c r="S246">
        <f>IF(VentesMagasins!$K246=1,(-1)*R246,R246)</f>
        <v>-588</v>
      </c>
      <c r="T246">
        <f>IFERROR(VALUE(TRIM(SUBSTITUTE(VentesMagasins!$L246,".",","))),0)</f>
        <v>2</v>
      </c>
      <c r="U246">
        <f t="shared" si="10"/>
        <v>2</v>
      </c>
      <c r="V246" t="str">
        <f t="shared" si="11"/>
        <v>faible</v>
      </c>
      <c r="W246" t="str">
        <f>_xlfn.XLOOKUP(VentesMagasins!$B246,Clients!ClientID,Région)</f>
        <v>Sud</v>
      </c>
      <c r="X246" t="str">
        <f>INDEX(TypeClient,MATCH(VentesMagasins!$B246,Clients!ClientID))</f>
        <v>Nouveau</v>
      </c>
      <c r="Y246" t="str">
        <v>avr</v>
      </c>
    </row>
    <row r="247" spans="1:25" x14ac:dyDescent="0.25">
      <c r="A247" s="2">
        <v>246</v>
      </c>
      <c r="B247" s="12" t="s">
        <v>291</v>
      </c>
      <c r="C247" s="13">
        <v>45901</v>
      </c>
      <c r="D247" s="12" t="s">
        <v>333</v>
      </c>
      <c r="E247" s="14" t="s">
        <v>348</v>
      </c>
      <c r="F247" s="12" t="s">
        <v>358</v>
      </c>
      <c r="G247" s="2">
        <v>1</v>
      </c>
      <c r="H247" s="3">
        <v>286</v>
      </c>
      <c r="I247" s="14" t="s">
        <v>335</v>
      </c>
      <c r="J247" s="12" t="s">
        <v>351</v>
      </c>
      <c r="K247" s="2">
        <v>0</v>
      </c>
      <c r="L247" s="12" t="s">
        <v>344</v>
      </c>
      <c r="M247">
        <f>YEAR(VentesMagasins!$C247)</f>
        <v>2025</v>
      </c>
      <c r="N247" t="e" cm="1" vm="1">
        <f t="array" aca="1" ref="N247" ca="1">MONTH(DateVente)</f>
        <v>#VALUE!</v>
      </c>
      <c r="O247" t="str">
        <f>PROPER(VentesMagasins!$F247)</f>
        <v>Électronique</v>
      </c>
      <c r="P247">
        <f>VALUE(CLEAN(TRIM(SUBSTITUTE(VentesMagasins!$I247,".",","))))</f>
        <v>0</v>
      </c>
      <c r="Q247">
        <f>VALUE(TRIM(SUBSTITUTE(VentesMagasins!$J247,".",",")))</f>
        <v>286</v>
      </c>
      <c r="R247">
        <f t="shared" si="9"/>
        <v>286</v>
      </c>
      <c r="S247">
        <f>IF(VentesMagasins!$K247=1,(-1)*R247,R247)</f>
        <v>286</v>
      </c>
      <c r="T247">
        <f>IFERROR(VALUE(TRIM(SUBSTITUTE(VentesMagasins!$L247,".",","))),0)</f>
        <v>2</v>
      </c>
      <c r="U247">
        <f t="shared" si="10"/>
        <v>2</v>
      </c>
      <c r="V247" t="str">
        <f t="shared" si="11"/>
        <v>faible</v>
      </c>
      <c r="W247" t="str">
        <f>_xlfn.XLOOKUP(VentesMagasins!$B247,Clients!ClientID,Région)</f>
        <v>Ouest</v>
      </c>
      <c r="X247" t="str">
        <f>INDEX(TypeClient,MATCH(VentesMagasins!$B247,Clients!ClientID))</f>
        <v>Nouveau</v>
      </c>
      <c r="Y247" t="str">
        <v>sept</v>
      </c>
    </row>
    <row r="248" spans="1:25" x14ac:dyDescent="0.25">
      <c r="A248" s="2">
        <v>247</v>
      </c>
      <c r="B248" s="12" t="s">
        <v>214</v>
      </c>
      <c r="C248" s="13">
        <v>45775</v>
      </c>
      <c r="D248" s="12" t="s">
        <v>333</v>
      </c>
      <c r="E248" s="14" t="s">
        <v>362</v>
      </c>
      <c r="F248" s="12" t="s">
        <v>324</v>
      </c>
      <c r="G248" s="2">
        <v>2</v>
      </c>
      <c r="H248" s="3">
        <v>27</v>
      </c>
      <c r="I248" s="14" t="s">
        <v>342</v>
      </c>
      <c r="J248" s="12" t="s">
        <v>590</v>
      </c>
      <c r="K248" s="2">
        <v>0</v>
      </c>
      <c r="L248" s="12" t="s">
        <v>352</v>
      </c>
      <c r="M248">
        <f>YEAR(VentesMagasins!$C248)</f>
        <v>2025</v>
      </c>
      <c r="N248" t="e" cm="1" vm="1">
        <f t="array" aca="1" ref="N248" ca="1">MONTH(DateVente)</f>
        <v>#VALUE!</v>
      </c>
      <c r="O248" t="str">
        <f>PROPER(VentesMagasins!$F248)</f>
        <v>Électronique</v>
      </c>
      <c r="P248">
        <f>VALUE(CLEAN(TRIM(SUBSTITUTE(VentesMagasins!$I248,".",","))))</f>
        <v>0.05</v>
      </c>
      <c r="Q248">
        <f>VALUE(TRIM(SUBSTITUTE(VentesMagasins!$J248,".",",")))</f>
        <v>51.3</v>
      </c>
      <c r="R248">
        <f t="shared" si="9"/>
        <v>48.734999999999992</v>
      </c>
      <c r="S248">
        <f>IF(VentesMagasins!$K248=1,(-1)*R248,R248)</f>
        <v>48.734999999999992</v>
      </c>
      <c r="T248">
        <f>IFERROR(VALUE(TRIM(SUBSTITUTE(VentesMagasins!$L248,".",","))),0)</f>
        <v>0</v>
      </c>
      <c r="U248">
        <f t="shared" si="10"/>
        <v>3</v>
      </c>
      <c r="V248" t="str">
        <f t="shared" si="11"/>
        <v>moyenne</v>
      </c>
      <c r="W248" t="str">
        <f>_xlfn.XLOOKUP(VentesMagasins!$B248,Clients!ClientID,Région)</f>
        <v>Ouest</v>
      </c>
      <c r="X248" t="str">
        <f>INDEX(TypeClient,MATCH(VentesMagasins!$B248,Clients!ClientID))</f>
        <v>Occasionnel</v>
      </c>
      <c r="Y248" t="str">
        <v>avr</v>
      </c>
    </row>
    <row r="249" spans="1:25" x14ac:dyDescent="0.25">
      <c r="A249" s="2">
        <v>248</v>
      </c>
      <c r="B249" s="12" t="s">
        <v>297</v>
      </c>
      <c r="C249" s="13">
        <v>45074</v>
      </c>
      <c r="D249" s="12" t="s">
        <v>333</v>
      </c>
      <c r="E249" s="14" t="s">
        <v>339</v>
      </c>
      <c r="F249" s="12" t="s">
        <v>330</v>
      </c>
      <c r="G249" s="2">
        <v>1</v>
      </c>
      <c r="H249" s="3">
        <v>429</v>
      </c>
      <c r="I249" s="14" t="s">
        <v>355</v>
      </c>
      <c r="J249" s="12" t="s">
        <v>591</v>
      </c>
      <c r="K249" s="2">
        <v>1</v>
      </c>
      <c r="L249" s="12" t="s">
        <v>344</v>
      </c>
      <c r="M249">
        <f>YEAR(VentesMagasins!$C249)</f>
        <v>2023</v>
      </c>
      <c r="N249" t="e" cm="1" vm="1">
        <f t="array" aca="1" ref="N249" ca="1">MONTH(DateVente)</f>
        <v>#VALUE!</v>
      </c>
      <c r="O249" t="str">
        <f>PROPER(VentesMagasins!$F249)</f>
        <v>Décoration</v>
      </c>
      <c r="P249">
        <f>VALUE(CLEAN(TRIM(SUBSTITUTE(VentesMagasins!$I249,".",","))))</f>
        <v>0.1</v>
      </c>
      <c r="Q249">
        <f>VALUE(TRIM(SUBSTITUTE(VentesMagasins!$J249,".",",")))</f>
        <v>386.1</v>
      </c>
      <c r="R249">
        <f t="shared" si="9"/>
        <v>347.49</v>
      </c>
      <c r="S249">
        <f>IF(VentesMagasins!$K249=1,(-1)*R249,R249)</f>
        <v>-347.49</v>
      </c>
      <c r="T249">
        <f>IFERROR(VALUE(TRIM(SUBSTITUTE(VentesMagasins!$L249,".",","))),0)</f>
        <v>2</v>
      </c>
      <c r="U249">
        <f t="shared" si="10"/>
        <v>2</v>
      </c>
      <c r="V249" t="str">
        <f t="shared" si="11"/>
        <v>faible</v>
      </c>
      <c r="W249" t="str">
        <f>_xlfn.XLOOKUP(VentesMagasins!$B249,Clients!ClientID,Région)</f>
        <v>Nord</v>
      </c>
      <c r="X249" t="str">
        <f>INDEX(TypeClient,MATCH(VentesMagasins!$B249,Clients!ClientID))</f>
        <v>Occasionnel</v>
      </c>
      <c r="Y249" t="str">
        <v>mai</v>
      </c>
    </row>
    <row r="250" spans="1:25" x14ac:dyDescent="0.25">
      <c r="A250" s="2">
        <v>249</v>
      </c>
      <c r="B250" s="12" t="s">
        <v>172</v>
      </c>
      <c r="C250" s="13">
        <v>45234</v>
      </c>
      <c r="D250" s="12" t="s">
        <v>322</v>
      </c>
      <c r="E250" s="14" t="s">
        <v>329</v>
      </c>
      <c r="F250" s="12" t="s">
        <v>341</v>
      </c>
      <c r="G250" s="2">
        <v>2</v>
      </c>
      <c r="H250" s="3">
        <v>455</v>
      </c>
      <c r="I250" s="14" t="s">
        <v>335</v>
      </c>
      <c r="J250" s="12" t="s">
        <v>592</v>
      </c>
      <c r="K250" s="2">
        <v>0</v>
      </c>
      <c r="L250" s="12" t="s">
        <v>352</v>
      </c>
      <c r="M250">
        <f>YEAR(VentesMagasins!$C250)</f>
        <v>2023</v>
      </c>
      <c r="N250" t="e" cm="1" vm="1">
        <f t="array" aca="1" ref="N250" ca="1">MONTH(DateVente)</f>
        <v>#VALUE!</v>
      </c>
      <c r="O250" t="str">
        <f>PROPER(VentesMagasins!$F250)</f>
        <v>Meuble</v>
      </c>
      <c r="P250">
        <f>VALUE(CLEAN(TRIM(SUBSTITUTE(VentesMagasins!$I250,".",","))))</f>
        <v>0</v>
      </c>
      <c r="Q250">
        <f>VALUE(TRIM(SUBSTITUTE(VentesMagasins!$J250,".",",")))</f>
        <v>910</v>
      </c>
      <c r="R250">
        <f t="shared" si="9"/>
        <v>910</v>
      </c>
      <c r="S250">
        <f>IF(VentesMagasins!$K250=1,(-1)*R250,R250)</f>
        <v>910</v>
      </c>
      <c r="T250">
        <f>IFERROR(VALUE(TRIM(SUBSTITUTE(VentesMagasins!$L250,".",","))),0)</f>
        <v>0</v>
      </c>
      <c r="U250">
        <f t="shared" si="10"/>
        <v>3</v>
      </c>
      <c r="V250" t="str">
        <f t="shared" si="11"/>
        <v>moyenne</v>
      </c>
      <c r="W250" t="str">
        <f>_xlfn.XLOOKUP(VentesMagasins!$B250,Clients!ClientID,Région)</f>
        <v>Centre</v>
      </c>
      <c r="X250" t="str">
        <f>INDEX(TypeClient,MATCH(VentesMagasins!$B250,Clients!ClientID))</f>
        <v>Nouveau</v>
      </c>
      <c r="Y250" t="str">
        <v>nov</v>
      </c>
    </row>
    <row r="251" spans="1:25" x14ac:dyDescent="0.25">
      <c r="A251" s="2">
        <v>250</v>
      </c>
      <c r="B251" s="12" t="s">
        <v>133</v>
      </c>
      <c r="C251" s="13">
        <v>45312</v>
      </c>
      <c r="D251" s="12" t="s">
        <v>338</v>
      </c>
      <c r="E251" s="14" t="s">
        <v>348</v>
      </c>
      <c r="F251" s="12" t="s">
        <v>330</v>
      </c>
      <c r="G251" s="2">
        <v>3</v>
      </c>
      <c r="H251" s="3">
        <v>85</v>
      </c>
      <c r="I251" s="14" t="s">
        <v>325</v>
      </c>
      <c r="J251" s="12" t="s">
        <v>593</v>
      </c>
      <c r="K251" s="2">
        <v>0</v>
      </c>
      <c r="L251" s="12" t="s">
        <v>337</v>
      </c>
      <c r="M251">
        <f>YEAR(VentesMagasins!$C251)</f>
        <v>2024</v>
      </c>
      <c r="N251" t="e" cm="1" vm="1">
        <f t="array" aca="1" ref="N251" ca="1">MONTH(DateVente)</f>
        <v>#VALUE!</v>
      </c>
      <c r="O251" t="str">
        <f>PROPER(VentesMagasins!$F251)</f>
        <v>Décoration</v>
      </c>
      <c r="P251">
        <f>VALUE(CLEAN(TRIM(SUBSTITUTE(VentesMagasins!$I251,".",","))))</f>
        <v>0.15</v>
      </c>
      <c r="Q251">
        <f>VALUE(TRIM(SUBSTITUTE(VentesMagasins!$J251,".",",")))</f>
        <v>216.75</v>
      </c>
      <c r="R251">
        <f t="shared" si="9"/>
        <v>184.23749999999998</v>
      </c>
      <c r="S251">
        <f>IF(VentesMagasins!$K251=1,(-1)*R251,R251)</f>
        <v>184.23749999999998</v>
      </c>
      <c r="T251">
        <f>IFERROR(VALUE(TRIM(SUBSTITUTE(VentesMagasins!$L251,".",","))),0)</f>
        <v>3</v>
      </c>
      <c r="U251">
        <f t="shared" si="10"/>
        <v>3</v>
      </c>
      <c r="V251" t="str">
        <f t="shared" si="11"/>
        <v>moyenne</v>
      </c>
      <c r="W251" t="str">
        <f>_xlfn.XLOOKUP(VentesMagasins!$B251,Clients!ClientID,Région)</f>
        <v>Est</v>
      </c>
      <c r="X251" t="str">
        <f>INDEX(TypeClient,MATCH(VentesMagasins!$B251,Clients!ClientID))</f>
        <v>Nouveau</v>
      </c>
      <c r="Y251" t="str">
        <v>janv</v>
      </c>
    </row>
    <row r="252" spans="1:25" x14ac:dyDescent="0.25">
      <c r="A252" s="2">
        <v>251</v>
      </c>
      <c r="B252" s="12" t="s">
        <v>175</v>
      </c>
      <c r="C252" s="13">
        <v>45450</v>
      </c>
      <c r="D252" s="12" t="s">
        <v>338</v>
      </c>
      <c r="E252" s="14" t="s">
        <v>334</v>
      </c>
      <c r="F252" s="12" t="s">
        <v>324</v>
      </c>
      <c r="G252" s="2">
        <v>3</v>
      </c>
      <c r="H252" s="3">
        <v>368</v>
      </c>
      <c r="I252" s="14" t="s">
        <v>342</v>
      </c>
      <c r="J252" s="12" t="s">
        <v>594</v>
      </c>
      <c r="K252" s="2">
        <v>0</v>
      </c>
      <c r="L252" s="12" t="s">
        <v>332</v>
      </c>
      <c r="M252">
        <f>YEAR(VentesMagasins!$C252)</f>
        <v>2024</v>
      </c>
      <c r="N252" t="e" cm="1" vm="1">
        <f t="array" aca="1" ref="N252" ca="1">MONTH(DateVente)</f>
        <v>#VALUE!</v>
      </c>
      <c r="O252" t="str">
        <f>PROPER(VentesMagasins!$F252)</f>
        <v>Électronique</v>
      </c>
      <c r="P252">
        <f>VALUE(CLEAN(TRIM(SUBSTITUTE(VentesMagasins!$I252,".",","))))</f>
        <v>0.05</v>
      </c>
      <c r="Q252">
        <f>VALUE(TRIM(SUBSTITUTE(VentesMagasins!$J252,".",",")))</f>
        <v>1048.8</v>
      </c>
      <c r="R252">
        <f t="shared" si="9"/>
        <v>996.3599999999999</v>
      </c>
      <c r="S252">
        <f>IF(VentesMagasins!$K252=1,(-1)*R252,R252)</f>
        <v>996.3599999999999</v>
      </c>
      <c r="T252">
        <f>IFERROR(VALUE(TRIM(SUBSTITUTE(VentesMagasins!$L252,".",","))),0)</f>
        <v>4</v>
      </c>
      <c r="U252">
        <f t="shared" si="10"/>
        <v>4</v>
      </c>
      <c r="V252" t="str">
        <f t="shared" si="11"/>
        <v>moyenne</v>
      </c>
      <c r="W252" t="str">
        <f>_xlfn.XLOOKUP(VentesMagasins!$B252,Clients!ClientID,Région)</f>
        <v>Est</v>
      </c>
      <c r="X252" t="str">
        <f>INDEX(TypeClient,MATCH(VentesMagasins!$B252,Clients!ClientID))</f>
        <v>Nouveau</v>
      </c>
      <c r="Y252" t="str">
        <v>juin</v>
      </c>
    </row>
    <row r="253" spans="1:25" x14ac:dyDescent="0.25">
      <c r="A253" s="2">
        <v>252</v>
      </c>
      <c r="B253" s="12" t="s">
        <v>165</v>
      </c>
      <c r="C253" s="13">
        <v>45076</v>
      </c>
      <c r="D253" s="12" t="s">
        <v>333</v>
      </c>
      <c r="E253" s="14" t="s">
        <v>339</v>
      </c>
      <c r="F253" s="12" t="s">
        <v>341</v>
      </c>
      <c r="G253" s="2">
        <v>3</v>
      </c>
      <c r="H253" s="3">
        <v>452</v>
      </c>
      <c r="I253" s="14" t="s">
        <v>355</v>
      </c>
      <c r="J253" s="12" t="s">
        <v>595</v>
      </c>
      <c r="K253" s="2">
        <v>1</v>
      </c>
      <c r="L253" s="12" t="s">
        <v>352</v>
      </c>
      <c r="M253">
        <f>YEAR(VentesMagasins!$C253)</f>
        <v>2023</v>
      </c>
      <c r="N253" t="e" cm="1" vm="1">
        <f t="array" aca="1" ref="N253" ca="1">MONTH(DateVente)</f>
        <v>#VALUE!</v>
      </c>
      <c r="O253" t="str">
        <f>PROPER(VentesMagasins!$F253)</f>
        <v>Meuble</v>
      </c>
      <c r="P253">
        <f>VALUE(CLEAN(TRIM(SUBSTITUTE(VentesMagasins!$I253,".",","))))</f>
        <v>0.1</v>
      </c>
      <c r="Q253">
        <f>VALUE(TRIM(SUBSTITUTE(VentesMagasins!$J253,".",",")))</f>
        <v>1220.4000000000001</v>
      </c>
      <c r="R253">
        <f t="shared" si="9"/>
        <v>1098.3600000000001</v>
      </c>
      <c r="S253">
        <f>IF(VentesMagasins!$K253=1,(-1)*R253,R253)</f>
        <v>-1098.3600000000001</v>
      </c>
      <c r="T253">
        <f>IFERROR(VALUE(TRIM(SUBSTITUTE(VentesMagasins!$L253,".",","))),0)</f>
        <v>0</v>
      </c>
      <c r="U253">
        <f t="shared" si="10"/>
        <v>3</v>
      </c>
      <c r="V253" t="str">
        <f t="shared" si="11"/>
        <v>moyenne</v>
      </c>
      <c r="W253" t="str">
        <f>_xlfn.XLOOKUP(VentesMagasins!$B253,Clients!ClientID,Région)</f>
        <v>Centre</v>
      </c>
      <c r="X253" t="str">
        <f>INDEX(TypeClient,MATCH(VentesMagasins!$B253,Clients!ClientID))</f>
        <v>Nouveau</v>
      </c>
      <c r="Y253" t="str">
        <v>mai</v>
      </c>
    </row>
    <row r="254" spans="1:25" x14ac:dyDescent="0.25">
      <c r="A254" s="2">
        <v>253</v>
      </c>
      <c r="B254" s="12" t="s">
        <v>121</v>
      </c>
      <c r="C254" s="13">
        <v>45333</v>
      </c>
      <c r="D254" s="12" t="s">
        <v>322</v>
      </c>
      <c r="E254" s="14" t="s">
        <v>364</v>
      </c>
      <c r="F254" s="12" t="s">
        <v>324</v>
      </c>
      <c r="G254" s="2">
        <v>5</v>
      </c>
      <c r="H254" s="3">
        <v>466</v>
      </c>
      <c r="I254" s="14" t="s">
        <v>342</v>
      </c>
      <c r="J254" s="12" t="s">
        <v>596</v>
      </c>
      <c r="K254" s="2">
        <v>0</v>
      </c>
      <c r="L254" s="12" t="s">
        <v>369</v>
      </c>
      <c r="M254">
        <f>YEAR(VentesMagasins!$C254)</f>
        <v>2024</v>
      </c>
      <c r="N254" t="e" cm="1" vm="1">
        <f t="array" aca="1" ref="N254" ca="1">MONTH(DateVente)</f>
        <v>#VALUE!</v>
      </c>
      <c r="O254" t="str">
        <f>PROPER(VentesMagasins!$F254)</f>
        <v>Électronique</v>
      </c>
      <c r="P254">
        <f>VALUE(CLEAN(TRIM(SUBSTITUTE(VentesMagasins!$I254,".",","))))</f>
        <v>0.05</v>
      </c>
      <c r="Q254">
        <f>VALUE(TRIM(SUBSTITUTE(VentesMagasins!$J254,".",",")))</f>
        <v>2213.5</v>
      </c>
      <c r="R254">
        <f t="shared" si="9"/>
        <v>2102.8249999999998</v>
      </c>
      <c r="S254">
        <f>IF(VentesMagasins!$K254=1,(-1)*R254,R254)</f>
        <v>2102.8249999999998</v>
      </c>
      <c r="T254">
        <f>IFERROR(VALUE(TRIM(SUBSTITUTE(VentesMagasins!$L254,".",","))),0)</f>
        <v>1</v>
      </c>
      <c r="U254">
        <f t="shared" si="10"/>
        <v>1</v>
      </c>
      <c r="V254" t="str">
        <f t="shared" si="11"/>
        <v>faible</v>
      </c>
      <c r="W254" t="str">
        <f>_xlfn.XLOOKUP(VentesMagasins!$B254,Clients!ClientID,Région)</f>
        <v>Centre</v>
      </c>
      <c r="X254" t="str">
        <f>INDEX(TypeClient,MATCH(VentesMagasins!$B254,Clients!ClientID))</f>
        <v>Nouveau</v>
      </c>
      <c r="Y254" t="str">
        <v>févr</v>
      </c>
    </row>
    <row r="255" spans="1:25" x14ac:dyDescent="0.25">
      <c r="A255" s="2">
        <v>254</v>
      </c>
      <c r="B255" s="12" t="s">
        <v>37</v>
      </c>
      <c r="C255" s="13">
        <v>45209</v>
      </c>
      <c r="D255" s="12" t="s">
        <v>333</v>
      </c>
      <c r="E255" s="14" t="s">
        <v>334</v>
      </c>
      <c r="F255" s="12" t="s">
        <v>324</v>
      </c>
      <c r="G255" s="2">
        <v>3</v>
      </c>
      <c r="H255" s="3">
        <v>202</v>
      </c>
      <c r="I255" s="14" t="s">
        <v>342</v>
      </c>
      <c r="J255" s="12" t="s">
        <v>597</v>
      </c>
      <c r="K255" s="2">
        <v>0</v>
      </c>
      <c r="L255" s="12" t="s">
        <v>332</v>
      </c>
      <c r="M255">
        <f>YEAR(VentesMagasins!$C255)</f>
        <v>2023</v>
      </c>
      <c r="N255" t="e" cm="1" vm="1">
        <f t="array" aca="1" ref="N255" ca="1">MONTH(DateVente)</f>
        <v>#VALUE!</v>
      </c>
      <c r="O255" t="str">
        <f>PROPER(VentesMagasins!$F255)</f>
        <v>Électronique</v>
      </c>
      <c r="P255">
        <f>VALUE(CLEAN(TRIM(SUBSTITUTE(VentesMagasins!$I255,".",","))))</f>
        <v>0.05</v>
      </c>
      <c r="Q255">
        <f>VALUE(TRIM(SUBSTITUTE(VentesMagasins!$J255,".",",")))</f>
        <v>575.69999999999902</v>
      </c>
      <c r="R255">
        <f t="shared" si="9"/>
        <v>546.91499999999905</v>
      </c>
      <c r="S255">
        <f>IF(VentesMagasins!$K255=1,(-1)*R255,R255)</f>
        <v>546.91499999999905</v>
      </c>
      <c r="T255">
        <f>IFERROR(VALUE(TRIM(SUBSTITUTE(VentesMagasins!$L255,".",","))),0)</f>
        <v>4</v>
      </c>
      <c r="U255">
        <f t="shared" si="10"/>
        <v>4</v>
      </c>
      <c r="V255" t="str">
        <f t="shared" si="11"/>
        <v>moyenne</v>
      </c>
      <c r="W255" t="str">
        <f>_xlfn.XLOOKUP(VentesMagasins!$B255,Clients!ClientID,Région)</f>
        <v>Centre</v>
      </c>
      <c r="X255" t="str">
        <f>INDEX(TypeClient,MATCH(VentesMagasins!$B255,Clients!ClientID))</f>
        <v>Nouveau</v>
      </c>
      <c r="Y255" t="str">
        <v>oct</v>
      </c>
    </row>
    <row r="256" spans="1:25" x14ac:dyDescent="0.25">
      <c r="A256" s="2">
        <v>255</v>
      </c>
      <c r="B256" s="12" t="s">
        <v>89</v>
      </c>
      <c r="C256" s="13">
        <v>45470</v>
      </c>
      <c r="D256" s="12" t="s">
        <v>333</v>
      </c>
      <c r="E256" s="14" t="s">
        <v>339</v>
      </c>
      <c r="F256" s="12" t="s">
        <v>330</v>
      </c>
      <c r="G256" s="2">
        <v>1</v>
      </c>
      <c r="H256" s="3">
        <v>185</v>
      </c>
      <c r="I256" s="14" t="s">
        <v>342</v>
      </c>
      <c r="J256" s="12" t="s">
        <v>598</v>
      </c>
      <c r="K256" s="2">
        <v>0</v>
      </c>
      <c r="L256" s="12" t="s">
        <v>352</v>
      </c>
      <c r="M256">
        <f>YEAR(VentesMagasins!$C256)</f>
        <v>2024</v>
      </c>
      <c r="N256" t="e" cm="1" vm="1">
        <f t="array" aca="1" ref="N256" ca="1">MONTH(DateVente)</f>
        <v>#VALUE!</v>
      </c>
      <c r="O256" t="str">
        <f>PROPER(VentesMagasins!$F256)</f>
        <v>Décoration</v>
      </c>
      <c r="P256">
        <f>VALUE(CLEAN(TRIM(SUBSTITUTE(VentesMagasins!$I256,".",","))))</f>
        <v>0.05</v>
      </c>
      <c r="Q256">
        <f>VALUE(TRIM(SUBSTITUTE(VentesMagasins!$J256,".",",")))</f>
        <v>175.75</v>
      </c>
      <c r="R256">
        <f t="shared" si="9"/>
        <v>166.96250000000001</v>
      </c>
      <c r="S256">
        <f>IF(VentesMagasins!$K256=1,(-1)*R256,R256)</f>
        <v>166.96250000000001</v>
      </c>
      <c r="T256">
        <f>IFERROR(VALUE(TRIM(SUBSTITUTE(VentesMagasins!$L256,".",","))),0)</f>
        <v>0</v>
      </c>
      <c r="U256">
        <f t="shared" si="10"/>
        <v>3</v>
      </c>
      <c r="V256" t="str">
        <f t="shared" si="11"/>
        <v>moyenne</v>
      </c>
      <c r="W256" t="str">
        <f>_xlfn.XLOOKUP(VentesMagasins!$B256,Clients!ClientID,Région)</f>
        <v>Nord</v>
      </c>
      <c r="X256" t="str">
        <f>INDEX(TypeClient,MATCH(VentesMagasins!$B256,Clients!ClientID))</f>
        <v>Fidèle</v>
      </c>
      <c r="Y256" t="str">
        <v>juin</v>
      </c>
    </row>
    <row r="257" spans="1:25" x14ac:dyDescent="0.25">
      <c r="A257" s="2">
        <v>256</v>
      </c>
      <c r="B257" s="12" t="s">
        <v>115</v>
      </c>
      <c r="C257" s="13">
        <v>45100</v>
      </c>
      <c r="D257" s="12" t="s">
        <v>338</v>
      </c>
      <c r="E257" s="14" t="s">
        <v>339</v>
      </c>
      <c r="F257" s="12" t="s">
        <v>341</v>
      </c>
      <c r="G257" s="2">
        <v>2</v>
      </c>
      <c r="H257" s="3">
        <v>296</v>
      </c>
      <c r="I257" s="14" t="s">
        <v>325</v>
      </c>
      <c r="J257" s="12" t="s">
        <v>599</v>
      </c>
      <c r="K257" s="2">
        <v>0</v>
      </c>
      <c r="L257" s="12" t="s">
        <v>352</v>
      </c>
      <c r="M257">
        <f>YEAR(VentesMagasins!$C257)</f>
        <v>2023</v>
      </c>
      <c r="N257" t="e" cm="1" vm="1">
        <f t="array" aca="1" ref="N257" ca="1">MONTH(DateVente)</f>
        <v>#VALUE!</v>
      </c>
      <c r="O257" t="str">
        <f>PROPER(VentesMagasins!$F257)</f>
        <v>Meuble</v>
      </c>
      <c r="P257">
        <f>VALUE(CLEAN(TRIM(SUBSTITUTE(VentesMagasins!$I257,".",","))))</f>
        <v>0.15</v>
      </c>
      <c r="Q257">
        <f>VALUE(TRIM(SUBSTITUTE(VentesMagasins!$J257,".",",")))</f>
        <v>503.2</v>
      </c>
      <c r="R257">
        <f t="shared" si="9"/>
        <v>427.71999999999997</v>
      </c>
      <c r="S257">
        <f>IF(VentesMagasins!$K257=1,(-1)*R257,R257)</f>
        <v>427.71999999999997</v>
      </c>
      <c r="T257">
        <f>IFERROR(VALUE(TRIM(SUBSTITUTE(VentesMagasins!$L257,".",","))),0)</f>
        <v>0</v>
      </c>
      <c r="U257">
        <f t="shared" si="10"/>
        <v>3</v>
      </c>
      <c r="V257" t="str">
        <f t="shared" si="11"/>
        <v>moyenne</v>
      </c>
      <c r="W257" t="str">
        <f>_xlfn.XLOOKUP(VentesMagasins!$B257,Clients!ClientID,Région)</f>
        <v>Centre</v>
      </c>
      <c r="X257" t="str">
        <f>INDEX(TypeClient,MATCH(VentesMagasins!$B257,Clients!ClientID))</f>
        <v>Fidèle</v>
      </c>
      <c r="Y257" t="str">
        <v>juin</v>
      </c>
    </row>
    <row r="258" spans="1:25" x14ac:dyDescent="0.25">
      <c r="A258" s="2">
        <v>257</v>
      </c>
      <c r="B258" s="12" t="s">
        <v>236</v>
      </c>
      <c r="C258" s="13">
        <v>45327</v>
      </c>
      <c r="D258" s="12" t="s">
        <v>338</v>
      </c>
      <c r="E258" s="14" t="s">
        <v>329</v>
      </c>
      <c r="F258" s="12" t="s">
        <v>330</v>
      </c>
      <c r="G258" s="2">
        <v>5</v>
      </c>
      <c r="H258" s="3">
        <v>343</v>
      </c>
      <c r="I258" s="14" t="s">
        <v>335</v>
      </c>
      <c r="J258" s="12" t="s">
        <v>600</v>
      </c>
      <c r="K258" s="2">
        <v>0</v>
      </c>
      <c r="L258" s="12" t="s">
        <v>332</v>
      </c>
      <c r="M258">
        <f>YEAR(VentesMagasins!$C258)</f>
        <v>2024</v>
      </c>
      <c r="N258" t="e" cm="1" vm="1">
        <f t="array" aca="1" ref="N258" ca="1">MONTH(DateVente)</f>
        <v>#VALUE!</v>
      </c>
      <c r="O258" t="str">
        <f>PROPER(VentesMagasins!$F258)</f>
        <v>Décoration</v>
      </c>
      <c r="P258">
        <f>VALUE(CLEAN(TRIM(SUBSTITUTE(VentesMagasins!$I258,".",","))))</f>
        <v>0</v>
      </c>
      <c r="Q258">
        <f>VALUE(TRIM(SUBSTITUTE(VentesMagasins!$J258,".",",")))</f>
        <v>1715</v>
      </c>
      <c r="R258">
        <f t="shared" si="9"/>
        <v>1715</v>
      </c>
      <c r="S258">
        <f>IF(VentesMagasins!$K258=1,(-1)*R258,R258)</f>
        <v>1715</v>
      </c>
      <c r="T258">
        <f>IFERROR(VALUE(TRIM(SUBSTITUTE(VentesMagasins!$L258,".",","))),0)</f>
        <v>4</v>
      </c>
      <c r="U258">
        <f t="shared" si="10"/>
        <v>4</v>
      </c>
      <c r="V258" t="str">
        <f t="shared" si="11"/>
        <v>moyenne</v>
      </c>
      <c r="W258" t="str">
        <f>_xlfn.XLOOKUP(VentesMagasins!$B258,Clients!ClientID,Région)</f>
        <v>Est</v>
      </c>
      <c r="X258" t="str">
        <f>INDEX(TypeClient,MATCH(VentesMagasins!$B258,Clients!ClientID))</f>
        <v>Nouveau</v>
      </c>
      <c r="Y258" t="str">
        <v>févr</v>
      </c>
    </row>
    <row r="259" spans="1:25" x14ac:dyDescent="0.25">
      <c r="A259" s="2">
        <v>258</v>
      </c>
      <c r="B259" s="12" t="s">
        <v>188</v>
      </c>
      <c r="C259" s="13">
        <v>45573</v>
      </c>
      <c r="D259" s="12" t="s">
        <v>328</v>
      </c>
      <c r="E259" s="14" t="s">
        <v>364</v>
      </c>
      <c r="F259" s="12" t="s">
        <v>330</v>
      </c>
      <c r="G259" s="2">
        <v>3</v>
      </c>
      <c r="H259" s="3">
        <v>234</v>
      </c>
      <c r="I259" s="14" t="s">
        <v>325</v>
      </c>
      <c r="J259" s="12" t="s">
        <v>601</v>
      </c>
      <c r="K259" s="2">
        <v>0</v>
      </c>
      <c r="L259" s="12" t="s">
        <v>327</v>
      </c>
      <c r="M259">
        <f>YEAR(VentesMagasins!$C259)</f>
        <v>2024</v>
      </c>
      <c r="N259" t="e" cm="1" vm="1">
        <f t="array" aca="1" ref="N259" ca="1">MONTH(DateVente)</f>
        <v>#VALUE!</v>
      </c>
      <c r="O259" t="str">
        <f>PROPER(VentesMagasins!$F259)</f>
        <v>Décoration</v>
      </c>
      <c r="P259">
        <f>VALUE(CLEAN(TRIM(SUBSTITUTE(VentesMagasins!$I259,".",","))))</f>
        <v>0.15</v>
      </c>
      <c r="Q259">
        <f>VALUE(TRIM(SUBSTITUTE(VentesMagasins!$J259,".",",")))</f>
        <v>596.69999999999902</v>
      </c>
      <c r="R259">
        <f t="shared" ref="R259:R322" si="12">Q259*(1-P259)</f>
        <v>507.19499999999914</v>
      </c>
      <c r="S259">
        <f>IF(VentesMagasins!$K259=1,(-1)*R259,R259)</f>
        <v>507.19499999999914</v>
      </c>
      <c r="T259">
        <f>IFERROR(VALUE(TRIM(SUBSTITUTE(VentesMagasins!$L259,".",","))),0)</f>
        <v>5</v>
      </c>
      <c r="U259">
        <f t="shared" ref="U259:U322" si="13">ROUND(IF(T259=0,AVERAGE(T259:T1258),T259),0)</f>
        <v>5</v>
      </c>
      <c r="V259" t="str">
        <f t="shared" ref="V259:V322" si="14">IF(AND(U259&gt;0,U259&lt;=2),"faible",IF(AND(U259&gt;=3,U259&lt;=4),"moyenne",IF(U259=5,"élévé",0)))</f>
        <v>élévé</v>
      </c>
      <c r="W259" t="str">
        <f>_xlfn.XLOOKUP(VentesMagasins!$B259,Clients!ClientID,Région)</f>
        <v>Nord</v>
      </c>
      <c r="X259" t="str">
        <f>INDEX(TypeClient,MATCH(VentesMagasins!$B259,Clients!ClientID))</f>
        <v>Occasionnel</v>
      </c>
      <c r="Y259" t="str">
        <v>oct</v>
      </c>
    </row>
    <row r="260" spans="1:25" x14ac:dyDescent="0.25">
      <c r="A260" s="2">
        <v>259</v>
      </c>
      <c r="B260" s="12" t="s">
        <v>208</v>
      </c>
      <c r="C260" s="13">
        <v>45290</v>
      </c>
      <c r="D260" s="12" t="s">
        <v>328</v>
      </c>
      <c r="E260" s="14" t="s">
        <v>345</v>
      </c>
      <c r="F260" s="12" t="s">
        <v>324</v>
      </c>
      <c r="G260" s="2">
        <v>2</v>
      </c>
      <c r="H260" s="3">
        <v>82</v>
      </c>
      <c r="I260" s="14" t="s">
        <v>355</v>
      </c>
      <c r="J260" s="12" t="s">
        <v>602</v>
      </c>
      <c r="K260" s="2">
        <v>0</v>
      </c>
      <c r="L260" s="12" t="s">
        <v>327</v>
      </c>
      <c r="M260">
        <f>YEAR(VentesMagasins!$C260)</f>
        <v>2023</v>
      </c>
      <c r="N260" t="e" cm="1" vm="1">
        <f t="array" aca="1" ref="N260" ca="1">MONTH(DateVente)</f>
        <v>#VALUE!</v>
      </c>
      <c r="O260" t="str">
        <f>PROPER(VentesMagasins!$F260)</f>
        <v>Électronique</v>
      </c>
      <c r="P260">
        <f>VALUE(CLEAN(TRIM(SUBSTITUTE(VentesMagasins!$I260,".",","))))</f>
        <v>0.1</v>
      </c>
      <c r="Q260">
        <f>VALUE(TRIM(SUBSTITUTE(VentesMagasins!$J260,".",",")))</f>
        <v>147.6</v>
      </c>
      <c r="R260">
        <f t="shared" si="12"/>
        <v>132.84</v>
      </c>
      <c r="S260">
        <f>IF(VentesMagasins!$K260=1,(-1)*R260,R260)</f>
        <v>132.84</v>
      </c>
      <c r="T260">
        <f>IFERROR(VALUE(TRIM(SUBSTITUTE(VentesMagasins!$L260,".",","))),0)</f>
        <v>5</v>
      </c>
      <c r="U260">
        <f t="shared" si="13"/>
        <v>5</v>
      </c>
      <c r="V260" t="str">
        <f t="shared" si="14"/>
        <v>élévé</v>
      </c>
      <c r="W260" t="str">
        <f>_xlfn.XLOOKUP(VentesMagasins!$B260,Clients!ClientID,Région)</f>
        <v>Nord</v>
      </c>
      <c r="X260" t="str">
        <f>INDEX(TypeClient,MATCH(VentesMagasins!$B260,Clients!ClientID))</f>
        <v>Fidèle</v>
      </c>
      <c r="Y260" t="str">
        <v>déc</v>
      </c>
    </row>
    <row r="261" spans="1:25" x14ac:dyDescent="0.25">
      <c r="A261" s="2">
        <v>260</v>
      </c>
      <c r="B261" s="12" t="s">
        <v>228</v>
      </c>
      <c r="C261" s="13">
        <v>45205</v>
      </c>
      <c r="D261" s="12" t="s">
        <v>328</v>
      </c>
      <c r="E261" s="14" t="s">
        <v>345</v>
      </c>
      <c r="F261" s="12" t="s">
        <v>341</v>
      </c>
      <c r="G261" s="2">
        <v>2</v>
      </c>
      <c r="H261" s="3">
        <v>482</v>
      </c>
      <c r="I261" s="14" t="s">
        <v>335</v>
      </c>
      <c r="J261" s="12" t="s">
        <v>603</v>
      </c>
      <c r="K261" s="2">
        <v>0</v>
      </c>
      <c r="L261" s="12" t="s">
        <v>327</v>
      </c>
      <c r="M261">
        <f>YEAR(VentesMagasins!$C261)</f>
        <v>2023</v>
      </c>
      <c r="N261" t="e" cm="1" vm="1">
        <f t="array" aca="1" ref="N261" ca="1">MONTH(DateVente)</f>
        <v>#VALUE!</v>
      </c>
      <c r="O261" t="str">
        <f>PROPER(VentesMagasins!$F261)</f>
        <v>Meuble</v>
      </c>
      <c r="P261">
        <f>VALUE(CLEAN(TRIM(SUBSTITUTE(VentesMagasins!$I261,".",","))))</f>
        <v>0</v>
      </c>
      <c r="Q261">
        <f>VALUE(TRIM(SUBSTITUTE(VentesMagasins!$J261,".",",")))</f>
        <v>964</v>
      </c>
      <c r="R261">
        <f t="shared" si="12"/>
        <v>964</v>
      </c>
      <c r="S261">
        <f>IF(VentesMagasins!$K261=1,(-1)*R261,R261)</f>
        <v>964</v>
      </c>
      <c r="T261">
        <f>IFERROR(VALUE(TRIM(SUBSTITUTE(VentesMagasins!$L261,".",","))),0)</f>
        <v>5</v>
      </c>
      <c r="U261">
        <f t="shared" si="13"/>
        <v>5</v>
      </c>
      <c r="V261" t="str">
        <f t="shared" si="14"/>
        <v>élévé</v>
      </c>
      <c r="W261" t="str">
        <f>_xlfn.XLOOKUP(VentesMagasins!$B261,Clients!ClientID,Région)</f>
        <v>Centre</v>
      </c>
      <c r="X261" t="str">
        <f>INDEX(TypeClient,MATCH(VentesMagasins!$B261,Clients!ClientID))</f>
        <v>Occasionnel</v>
      </c>
      <c r="Y261" t="str">
        <v>oct</v>
      </c>
    </row>
    <row r="262" spans="1:25" x14ac:dyDescent="0.25">
      <c r="A262" s="2">
        <v>261</v>
      </c>
      <c r="B262" s="12" t="s">
        <v>267</v>
      </c>
      <c r="C262" s="13">
        <v>45992</v>
      </c>
      <c r="D262" s="12" t="s">
        <v>328</v>
      </c>
      <c r="E262" s="14" t="s">
        <v>329</v>
      </c>
      <c r="F262" s="12" t="s">
        <v>324</v>
      </c>
      <c r="G262" s="2">
        <v>1</v>
      </c>
      <c r="H262" s="3">
        <v>166</v>
      </c>
      <c r="I262" s="14" t="s">
        <v>335</v>
      </c>
      <c r="J262" s="12" t="s">
        <v>604</v>
      </c>
      <c r="K262" s="2">
        <v>0</v>
      </c>
      <c r="L262" s="12" t="s">
        <v>344</v>
      </c>
      <c r="M262">
        <f>YEAR(VentesMagasins!$C262)</f>
        <v>2025</v>
      </c>
      <c r="N262" t="e" cm="1" vm="1">
        <f t="array" aca="1" ref="N262" ca="1">MONTH(DateVente)</f>
        <v>#VALUE!</v>
      </c>
      <c r="O262" t="str">
        <f>PROPER(VentesMagasins!$F262)</f>
        <v>Électronique</v>
      </c>
      <c r="P262">
        <f>VALUE(CLEAN(TRIM(SUBSTITUTE(VentesMagasins!$I262,".",","))))</f>
        <v>0</v>
      </c>
      <c r="Q262">
        <f>VALUE(TRIM(SUBSTITUTE(VentesMagasins!$J262,".",",")))</f>
        <v>166</v>
      </c>
      <c r="R262">
        <f t="shared" si="12"/>
        <v>166</v>
      </c>
      <c r="S262">
        <f>IF(VentesMagasins!$K262=1,(-1)*R262,R262)</f>
        <v>166</v>
      </c>
      <c r="T262">
        <f>IFERROR(VALUE(TRIM(SUBSTITUTE(VentesMagasins!$L262,".",","))),0)</f>
        <v>2</v>
      </c>
      <c r="U262">
        <f t="shared" si="13"/>
        <v>2</v>
      </c>
      <c r="V262" t="str">
        <f t="shared" si="14"/>
        <v>faible</v>
      </c>
      <c r="W262" t="str">
        <f>_xlfn.XLOOKUP(VentesMagasins!$B262,Clients!ClientID,Région)</f>
        <v>Est</v>
      </c>
      <c r="X262" t="str">
        <f>INDEX(TypeClient,MATCH(VentesMagasins!$B262,Clients!ClientID))</f>
        <v>Nouveau</v>
      </c>
      <c r="Y262" t="str">
        <v>déc</v>
      </c>
    </row>
    <row r="263" spans="1:25" x14ac:dyDescent="0.25">
      <c r="A263" s="2">
        <v>262</v>
      </c>
      <c r="B263" s="12" t="s">
        <v>301</v>
      </c>
      <c r="C263" s="13">
        <v>45525</v>
      </c>
      <c r="D263" s="12" t="s">
        <v>328</v>
      </c>
      <c r="E263" s="14" t="s">
        <v>329</v>
      </c>
      <c r="F263" s="12" t="s">
        <v>341</v>
      </c>
      <c r="G263" s="2">
        <v>3</v>
      </c>
      <c r="H263" s="3">
        <v>222</v>
      </c>
      <c r="I263" s="14" t="s">
        <v>342</v>
      </c>
      <c r="J263" s="12" t="s">
        <v>605</v>
      </c>
      <c r="K263" s="2">
        <v>0</v>
      </c>
      <c r="L263" s="12" t="s">
        <v>327</v>
      </c>
      <c r="M263">
        <f>YEAR(VentesMagasins!$C263)</f>
        <v>2024</v>
      </c>
      <c r="N263" t="e" cm="1" vm="1">
        <f t="array" aca="1" ref="N263" ca="1">MONTH(DateVente)</f>
        <v>#VALUE!</v>
      </c>
      <c r="O263" t="str">
        <f>PROPER(VentesMagasins!$F263)</f>
        <v>Meuble</v>
      </c>
      <c r="P263">
        <f>VALUE(CLEAN(TRIM(SUBSTITUTE(VentesMagasins!$I263,".",","))))</f>
        <v>0.05</v>
      </c>
      <c r="Q263">
        <f>VALUE(TRIM(SUBSTITUTE(VentesMagasins!$J263,".",",")))</f>
        <v>632.69999999999902</v>
      </c>
      <c r="R263">
        <f t="shared" si="12"/>
        <v>601.06499999999903</v>
      </c>
      <c r="S263">
        <f>IF(VentesMagasins!$K263=1,(-1)*R263,R263)</f>
        <v>601.06499999999903</v>
      </c>
      <c r="T263">
        <f>IFERROR(VALUE(TRIM(SUBSTITUTE(VentesMagasins!$L263,".",","))),0)</f>
        <v>5</v>
      </c>
      <c r="U263">
        <f t="shared" si="13"/>
        <v>5</v>
      </c>
      <c r="V263" t="str">
        <f t="shared" si="14"/>
        <v>élévé</v>
      </c>
      <c r="W263" t="str">
        <f>_xlfn.XLOOKUP(VentesMagasins!$B263,Clients!ClientID,Région)</f>
        <v>Nord</v>
      </c>
      <c r="X263" t="str">
        <f>INDEX(TypeClient,MATCH(VentesMagasins!$B263,Clients!ClientID))</f>
        <v>Fidèle</v>
      </c>
      <c r="Y263" t="str">
        <v>août</v>
      </c>
    </row>
    <row r="264" spans="1:25" x14ac:dyDescent="0.25">
      <c r="A264" s="2">
        <v>263</v>
      </c>
      <c r="B264" s="12" t="s">
        <v>11</v>
      </c>
      <c r="C264" s="13">
        <v>45645</v>
      </c>
      <c r="D264" s="12" t="s">
        <v>333</v>
      </c>
      <c r="E264" s="14" t="s">
        <v>339</v>
      </c>
      <c r="F264" s="12" t="s">
        <v>324</v>
      </c>
      <c r="G264" s="2">
        <v>5</v>
      </c>
      <c r="H264" s="3">
        <v>304</v>
      </c>
      <c r="I264" s="14" t="s">
        <v>342</v>
      </c>
      <c r="J264" s="12" t="s">
        <v>606</v>
      </c>
      <c r="K264" s="2">
        <v>0</v>
      </c>
      <c r="L264" s="12" t="s">
        <v>369</v>
      </c>
      <c r="M264">
        <f>YEAR(VentesMagasins!$C264)</f>
        <v>2024</v>
      </c>
      <c r="N264" t="e" cm="1" vm="1">
        <f t="array" aca="1" ref="N264" ca="1">MONTH(DateVente)</f>
        <v>#VALUE!</v>
      </c>
      <c r="O264" t="str">
        <f>PROPER(VentesMagasins!$F264)</f>
        <v>Électronique</v>
      </c>
      <c r="P264">
        <f>VALUE(CLEAN(TRIM(SUBSTITUTE(VentesMagasins!$I264,".",","))))</f>
        <v>0.05</v>
      </c>
      <c r="Q264">
        <f>VALUE(TRIM(SUBSTITUTE(VentesMagasins!$J264,".",",")))</f>
        <v>1444</v>
      </c>
      <c r="R264">
        <f t="shared" si="12"/>
        <v>1371.8</v>
      </c>
      <c r="S264">
        <f>IF(VentesMagasins!$K264=1,(-1)*R264,R264)</f>
        <v>1371.8</v>
      </c>
      <c r="T264">
        <f>IFERROR(VALUE(TRIM(SUBSTITUTE(VentesMagasins!$L264,".",","))),0)</f>
        <v>1</v>
      </c>
      <c r="U264">
        <f t="shared" si="13"/>
        <v>1</v>
      </c>
      <c r="V264" t="str">
        <f t="shared" si="14"/>
        <v>faible</v>
      </c>
      <c r="W264" t="str">
        <f>_xlfn.XLOOKUP(VentesMagasins!$B264,Clients!ClientID,Région)</f>
        <v>Centre</v>
      </c>
      <c r="X264" t="str">
        <f>INDEX(TypeClient,MATCH(VentesMagasins!$B264,Clients!ClientID))</f>
        <v>Fidèle</v>
      </c>
      <c r="Y264" t="str">
        <v>déc</v>
      </c>
    </row>
    <row r="265" spans="1:25" x14ac:dyDescent="0.25">
      <c r="A265" s="2">
        <v>264</v>
      </c>
      <c r="B265" s="12" t="s">
        <v>159</v>
      </c>
      <c r="C265" s="13">
        <v>45338</v>
      </c>
      <c r="D265" s="12" t="s">
        <v>322</v>
      </c>
      <c r="E265" s="14" t="s">
        <v>348</v>
      </c>
      <c r="F265" s="12" t="s">
        <v>330</v>
      </c>
      <c r="G265" s="2">
        <v>2</v>
      </c>
      <c r="H265" s="3">
        <v>230</v>
      </c>
      <c r="I265" s="14" t="s">
        <v>342</v>
      </c>
      <c r="J265" s="12" t="s">
        <v>607</v>
      </c>
      <c r="K265" s="2">
        <v>0</v>
      </c>
      <c r="L265" s="12" t="s">
        <v>332</v>
      </c>
      <c r="M265">
        <f>YEAR(VentesMagasins!$C265)</f>
        <v>2024</v>
      </c>
      <c r="N265" t="e" cm="1" vm="1">
        <f t="array" aca="1" ref="N265" ca="1">MONTH(DateVente)</f>
        <v>#VALUE!</v>
      </c>
      <c r="O265" t="str">
        <f>PROPER(VentesMagasins!$F265)</f>
        <v>Décoration</v>
      </c>
      <c r="P265">
        <f>VALUE(CLEAN(TRIM(SUBSTITUTE(VentesMagasins!$I265,".",","))))</f>
        <v>0.05</v>
      </c>
      <c r="Q265">
        <f>VALUE(TRIM(SUBSTITUTE(VentesMagasins!$J265,".",",")))</f>
        <v>437</v>
      </c>
      <c r="R265">
        <f t="shared" si="12"/>
        <v>415.15</v>
      </c>
      <c r="S265">
        <f>IF(VentesMagasins!$K265=1,(-1)*R265,R265)</f>
        <v>415.15</v>
      </c>
      <c r="T265">
        <f>IFERROR(VALUE(TRIM(SUBSTITUTE(VentesMagasins!$L265,".",","))),0)</f>
        <v>4</v>
      </c>
      <c r="U265">
        <f t="shared" si="13"/>
        <v>4</v>
      </c>
      <c r="V265" t="str">
        <f t="shared" si="14"/>
        <v>moyenne</v>
      </c>
      <c r="W265" t="str">
        <f>_xlfn.XLOOKUP(VentesMagasins!$B265,Clients!ClientID,Région)</f>
        <v>Centre</v>
      </c>
      <c r="X265" t="str">
        <f>INDEX(TypeClient,MATCH(VentesMagasins!$B265,Clients!ClientID))</f>
        <v>Fidèle</v>
      </c>
      <c r="Y265" t="str">
        <v>févr</v>
      </c>
    </row>
    <row r="266" spans="1:25" x14ac:dyDescent="0.25">
      <c r="A266" s="2">
        <v>265</v>
      </c>
      <c r="B266" s="12" t="s">
        <v>193</v>
      </c>
      <c r="C266" s="13">
        <v>45826</v>
      </c>
      <c r="D266" s="12" t="s">
        <v>322</v>
      </c>
      <c r="E266" s="14" t="s">
        <v>339</v>
      </c>
      <c r="F266" s="12" t="s">
        <v>341</v>
      </c>
      <c r="G266" s="2">
        <v>2</v>
      </c>
      <c r="H266" s="3">
        <v>341</v>
      </c>
      <c r="I266" s="14" t="s">
        <v>325</v>
      </c>
      <c r="J266" s="12" t="s">
        <v>608</v>
      </c>
      <c r="K266" s="2">
        <v>1</v>
      </c>
      <c r="L266" s="12" t="s">
        <v>352</v>
      </c>
      <c r="M266">
        <f>YEAR(VentesMagasins!$C266)</f>
        <v>2025</v>
      </c>
      <c r="N266" t="e" cm="1" vm="1">
        <f t="array" aca="1" ref="N266" ca="1">MONTH(DateVente)</f>
        <v>#VALUE!</v>
      </c>
      <c r="O266" t="str">
        <f>PROPER(VentesMagasins!$F266)</f>
        <v>Meuble</v>
      </c>
      <c r="P266">
        <f>VALUE(CLEAN(TRIM(SUBSTITUTE(VentesMagasins!$I266,".",","))))</f>
        <v>0.15</v>
      </c>
      <c r="Q266">
        <f>VALUE(TRIM(SUBSTITUTE(VentesMagasins!$J266,".",",")))</f>
        <v>579.69999999999902</v>
      </c>
      <c r="R266">
        <f t="shared" si="12"/>
        <v>492.74499999999915</v>
      </c>
      <c r="S266">
        <f>IF(VentesMagasins!$K266=1,(-1)*R266,R266)</f>
        <v>-492.74499999999915</v>
      </c>
      <c r="T266">
        <f>IFERROR(VALUE(TRIM(SUBSTITUTE(VentesMagasins!$L266,".",","))),0)</f>
        <v>0</v>
      </c>
      <c r="U266">
        <f t="shared" si="13"/>
        <v>3</v>
      </c>
      <c r="V266" t="str">
        <f t="shared" si="14"/>
        <v>moyenne</v>
      </c>
      <c r="W266" t="str">
        <f>_xlfn.XLOOKUP(VentesMagasins!$B266,Clients!ClientID,Région)</f>
        <v>Sud</v>
      </c>
      <c r="X266" t="str">
        <f>INDEX(TypeClient,MATCH(VentesMagasins!$B266,Clients!ClientID))</f>
        <v>Occasionnel</v>
      </c>
      <c r="Y266" t="str">
        <v>juin</v>
      </c>
    </row>
    <row r="267" spans="1:25" x14ac:dyDescent="0.25">
      <c r="A267" s="2">
        <v>266</v>
      </c>
      <c r="B267" s="12" t="s">
        <v>118</v>
      </c>
      <c r="C267" s="13">
        <v>45432</v>
      </c>
      <c r="D267" s="12" t="s">
        <v>338</v>
      </c>
      <c r="E267" s="14" t="s">
        <v>329</v>
      </c>
      <c r="F267" s="12" t="s">
        <v>341</v>
      </c>
      <c r="G267" s="2">
        <v>1</v>
      </c>
      <c r="H267" s="3">
        <v>20</v>
      </c>
      <c r="I267" s="14" t="s">
        <v>355</v>
      </c>
      <c r="J267" s="12" t="s">
        <v>609</v>
      </c>
      <c r="K267" s="2">
        <v>0</v>
      </c>
      <c r="L267" s="12" t="s">
        <v>337</v>
      </c>
      <c r="M267">
        <f>YEAR(VentesMagasins!$C267)</f>
        <v>2024</v>
      </c>
      <c r="N267" t="e" cm="1" vm="1">
        <f t="array" aca="1" ref="N267" ca="1">MONTH(DateVente)</f>
        <v>#VALUE!</v>
      </c>
      <c r="O267" t="str">
        <f>PROPER(VentesMagasins!$F267)</f>
        <v>Meuble</v>
      </c>
      <c r="P267">
        <f>VALUE(CLEAN(TRIM(SUBSTITUTE(VentesMagasins!$I267,".",","))))</f>
        <v>0.1</v>
      </c>
      <c r="Q267">
        <f>VALUE(TRIM(SUBSTITUTE(VentesMagasins!$J267,".",",")))</f>
        <v>18</v>
      </c>
      <c r="R267">
        <f t="shared" si="12"/>
        <v>16.2</v>
      </c>
      <c r="S267">
        <f>IF(VentesMagasins!$K267=1,(-1)*R267,R267)</f>
        <v>16.2</v>
      </c>
      <c r="T267">
        <f>IFERROR(VALUE(TRIM(SUBSTITUTE(VentesMagasins!$L267,".",","))),0)</f>
        <v>3</v>
      </c>
      <c r="U267">
        <f t="shared" si="13"/>
        <v>3</v>
      </c>
      <c r="V267" t="str">
        <f t="shared" si="14"/>
        <v>moyenne</v>
      </c>
      <c r="W267" t="str">
        <f>_xlfn.XLOOKUP(VentesMagasins!$B267,Clients!ClientID,Région)</f>
        <v>Ouest</v>
      </c>
      <c r="X267" t="str">
        <f>INDEX(TypeClient,MATCH(VentesMagasins!$B267,Clients!ClientID))</f>
        <v>Nouveau</v>
      </c>
      <c r="Y267" t="str">
        <v>mai</v>
      </c>
    </row>
    <row r="268" spans="1:25" x14ac:dyDescent="0.25">
      <c r="A268" s="2">
        <v>267</v>
      </c>
      <c r="B268" s="12" t="s">
        <v>70</v>
      </c>
      <c r="C268" s="13">
        <v>45374</v>
      </c>
      <c r="D268" s="12" t="s">
        <v>328</v>
      </c>
      <c r="E268" s="14" t="s">
        <v>364</v>
      </c>
      <c r="F268" s="12" t="s">
        <v>341</v>
      </c>
      <c r="G268" s="2">
        <v>2</v>
      </c>
      <c r="H268" s="3">
        <v>94</v>
      </c>
      <c r="I268" s="14" t="s">
        <v>335</v>
      </c>
      <c r="J268" s="12" t="s">
        <v>610</v>
      </c>
      <c r="K268" s="2">
        <v>1</v>
      </c>
      <c r="L268" s="12" t="s">
        <v>369</v>
      </c>
      <c r="M268">
        <f>YEAR(VentesMagasins!$C268)</f>
        <v>2024</v>
      </c>
      <c r="N268" t="e" cm="1" vm="1">
        <f t="array" aca="1" ref="N268" ca="1">MONTH(DateVente)</f>
        <v>#VALUE!</v>
      </c>
      <c r="O268" t="str">
        <f>PROPER(VentesMagasins!$F268)</f>
        <v>Meuble</v>
      </c>
      <c r="P268">
        <f>VALUE(CLEAN(TRIM(SUBSTITUTE(VentesMagasins!$I268,".",","))))</f>
        <v>0</v>
      </c>
      <c r="Q268">
        <f>VALUE(TRIM(SUBSTITUTE(VentesMagasins!$J268,".",",")))</f>
        <v>188</v>
      </c>
      <c r="R268">
        <f t="shared" si="12"/>
        <v>188</v>
      </c>
      <c r="S268">
        <f>IF(VentesMagasins!$K268=1,(-1)*R268,R268)</f>
        <v>-188</v>
      </c>
      <c r="T268">
        <f>IFERROR(VALUE(TRIM(SUBSTITUTE(VentesMagasins!$L268,".",","))),0)</f>
        <v>1</v>
      </c>
      <c r="U268">
        <f t="shared" si="13"/>
        <v>1</v>
      </c>
      <c r="V268" t="str">
        <f t="shared" si="14"/>
        <v>faible</v>
      </c>
      <c r="W268" t="str">
        <f>_xlfn.XLOOKUP(VentesMagasins!$B268,Clients!ClientID,Région)</f>
        <v>Ouest</v>
      </c>
      <c r="X268" t="str">
        <f>INDEX(TypeClient,MATCH(VentesMagasins!$B268,Clients!ClientID))</f>
        <v>Nouveau</v>
      </c>
      <c r="Y268" t="str">
        <v>mars</v>
      </c>
    </row>
    <row r="269" spans="1:25" x14ac:dyDescent="0.25">
      <c r="A269" s="2">
        <v>268</v>
      </c>
      <c r="B269" s="12" t="s">
        <v>169</v>
      </c>
      <c r="C269" s="13">
        <v>45673</v>
      </c>
      <c r="D269" s="12" t="s">
        <v>350</v>
      </c>
      <c r="E269" s="14" t="s">
        <v>339</v>
      </c>
      <c r="F269" s="12" t="s">
        <v>324</v>
      </c>
      <c r="G269" s="2">
        <v>4</v>
      </c>
      <c r="H269" s="3">
        <v>258</v>
      </c>
      <c r="I269" s="14" t="s">
        <v>325</v>
      </c>
      <c r="J269" s="12" t="s">
        <v>611</v>
      </c>
      <c r="K269" s="2">
        <v>0</v>
      </c>
      <c r="L269" s="12" t="s">
        <v>369</v>
      </c>
      <c r="M269">
        <f>YEAR(VentesMagasins!$C269)</f>
        <v>2025</v>
      </c>
      <c r="N269" t="e" cm="1" vm="1">
        <f t="array" aca="1" ref="N269" ca="1">MONTH(DateVente)</f>
        <v>#VALUE!</v>
      </c>
      <c r="O269" t="str">
        <f>PROPER(VentesMagasins!$F269)</f>
        <v>Électronique</v>
      </c>
      <c r="P269">
        <f>VALUE(CLEAN(TRIM(SUBSTITUTE(VentesMagasins!$I269,".",","))))</f>
        <v>0.15</v>
      </c>
      <c r="Q269">
        <f>VALUE(TRIM(SUBSTITUTE(VentesMagasins!$J269,".",",")))</f>
        <v>877.19999999999902</v>
      </c>
      <c r="R269">
        <f t="shared" si="12"/>
        <v>745.6199999999991</v>
      </c>
      <c r="S269">
        <f>IF(VentesMagasins!$K269=1,(-1)*R269,R269)</f>
        <v>745.6199999999991</v>
      </c>
      <c r="T269">
        <f>IFERROR(VALUE(TRIM(SUBSTITUTE(VentesMagasins!$L269,".",","))),0)</f>
        <v>1</v>
      </c>
      <c r="U269">
        <f t="shared" si="13"/>
        <v>1</v>
      </c>
      <c r="V269" t="str">
        <f t="shared" si="14"/>
        <v>faible</v>
      </c>
      <c r="W269" t="str">
        <f>_xlfn.XLOOKUP(VentesMagasins!$B269,Clients!ClientID,Région)</f>
        <v>Sud</v>
      </c>
      <c r="X269" t="str">
        <f>INDEX(TypeClient,MATCH(VentesMagasins!$B269,Clients!ClientID))</f>
        <v>Nouveau</v>
      </c>
      <c r="Y269" t="str">
        <v>janv</v>
      </c>
    </row>
    <row r="270" spans="1:25" x14ac:dyDescent="0.25">
      <c r="A270" s="2">
        <v>269</v>
      </c>
      <c r="B270" s="12" t="s">
        <v>255</v>
      </c>
      <c r="C270" s="13">
        <v>45890</v>
      </c>
      <c r="D270" s="12" t="s">
        <v>338</v>
      </c>
      <c r="E270" s="14" t="s">
        <v>334</v>
      </c>
      <c r="F270" s="12" t="s">
        <v>330</v>
      </c>
      <c r="G270" s="2">
        <v>5</v>
      </c>
      <c r="H270" s="3">
        <v>240</v>
      </c>
      <c r="I270" s="14" t="s">
        <v>335</v>
      </c>
      <c r="J270" s="12" t="s">
        <v>612</v>
      </c>
      <c r="K270" s="2">
        <v>0</v>
      </c>
      <c r="L270" s="12" t="s">
        <v>369</v>
      </c>
      <c r="M270">
        <f>YEAR(VentesMagasins!$C270)</f>
        <v>2025</v>
      </c>
      <c r="N270" t="e" cm="1" vm="1">
        <f t="array" aca="1" ref="N270" ca="1">MONTH(DateVente)</f>
        <v>#VALUE!</v>
      </c>
      <c r="O270" t="str">
        <f>PROPER(VentesMagasins!$F270)</f>
        <v>Décoration</v>
      </c>
      <c r="P270">
        <f>VALUE(CLEAN(TRIM(SUBSTITUTE(VentesMagasins!$I270,".",","))))</f>
        <v>0</v>
      </c>
      <c r="Q270">
        <f>VALUE(TRIM(SUBSTITUTE(VentesMagasins!$J270,".",",")))</f>
        <v>1200</v>
      </c>
      <c r="R270">
        <f t="shared" si="12"/>
        <v>1200</v>
      </c>
      <c r="S270">
        <f>IF(VentesMagasins!$K270=1,(-1)*R270,R270)</f>
        <v>1200</v>
      </c>
      <c r="T270">
        <f>IFERROR(VALUE(TRIM(SUBSTITUTE(VentesMagasins!$L270,".",","))),0)</f>
        <v>1</v>
      </c>
      <c r="U270">
        <f t="shared" si="13"/>
        <v>1</v>
      </c>
      <c r="V270" t="str">
        <f t="shared" si="14"/>
        <v>faible</v>
      </c>
      <c r="W270" t="str">
        <f>_xlfn.XLOOKUP(VentesMagasins!$B270,Clients!ClientID,Région)</f>
        <v>Ouest</v>
      </c>
      <c r="X270" t="str">
        <f>INDEX(TypeClient,MATCH(VentesMagasins!$B270,Clients!ClientID))</f>
        <v>Nouveau</v>
      </c>
      <c r="Y270" t="str">
        <v>août</v>
      </c>
    </row>
    <row r="271" spans="1:25" x14ac:dyDescent="0.25">
      <c r="A271" s="2">
        <v>270</v>
      </c>
      <c r="B271" s="12" t="s">
        <v>136</v>
      </c>
      <c r="C271" s="13">
        <v>45610</v>
      </c>
      <c r="D271" s="12" t="s">
        <v>360</v>
      </c>
      <c r="E271" s="14" t="s">
        <v>348</v>
      </c>
      <c r="F271" s="12" t="s">
        <v>341</v>
      </c>
      <c r="G271" s="2">
        <v>4</v>
      </c>
      <c r="H271" s="3">
        <v>252</v>
      </c>
      <c r="I271" s="14" t="s">
        <v>342</v>
      </c>
      <c r="J271" s="12" t="s">
        <v>613</v>
      </c>
      <c r="K271" s="2">
        <v>1</v>
      </c>
      <c r="L271" s="12" t="s">
        <v>327</v>
      </c>
      <c r="M271">
        <f>YEAR(VentesMagasins!$C271)</f>
        <v>2024</v>
      </c>
      <c r="N271" t="e" cm="1" vm="1">
        <f t="array" aca="1" ref="N271" ca="1">MONTH(DateVente)</f>
        <v>#VALUE!</v>
      </c>
      <c r="O271" t="str">
        <f>PROPER(VentesMagasins!$F271)</f>
        <v>Meuble</v>
      </c>
      <c r="P271">
        <f>VALUE(CLEAN(TRIM(SUBSTITUTE(VentesMagasins!$I271,".",","))))</f>
        <v>0.05</v>
      </c>
      <c r="Q271">
        <f>VALUE(TRIM(SUBSTITUTE(VentesMagasins!$J271,".",",")))</f>
        <v>957.599999999999</v>
      </c>
      <c r="R271">
        <f t="shared" si="12"/>
        <v>909.719999999999</v>
      </c>
      <c r="S271">
        <f>IF(VentesMagasins!$K271=1,(-1)*R271,R271)</f>
        <v>-909.719999999999</v>
      </c>
      <c r="T271">
        <f>IFERROR(VALUE(TRIM(SUBSTITUTE(VentesMagasins!$L271,".",","))),0)</f>
        <v>5</v>
      </c>
      <c r="U271">
        <f t="shared" si="13"/>
        <v>5</v>
      </c>
      <c r="V271" t="str">
        <f t="shared" si="14"/>
        <v>élévé</v>
      </c>
      <c r="W271" t="str">
        <f>_xlfn.XLOOKUP(VentesMagasins!$B271,Clients!ClientID,Région)</f>
        <v>Sud</v>
      </c>
      <c r="X271" t="str">
        <f>INDEX(TypeClient,MATCH(VentesMagasins!$B271,Clients!ClientID))</f>
        <v>Fidèle</v>
      </c>
      <c r="Y271" t="str">
        <v>nov</v>
      </c>
    </row>
    <row r="272" spans="1:25" x14ac:dyDescent="0.25">
      <c r="A272" s="2">
        <v>271</v>
      </c>
      <c r="B272" s="12" t="s">
        <v>24</v>
      </c>
      <c r="C272" s="13">
        <v>45066</v>
      </c>
      <c r="D272" s="12" t="s">
        <v>322</v>
      </c>
      <c r="E272" s="14" t="s">
        <v>339</v>
      </c>
      <c r="F272" s="12" t="s">
        <v>324</v>
      </c>
      <c r="G272" s="2">
        <v>1</v>
      </c>
      <c r="H272" s="3">
        <v>79</v>
      </c>
      <c r="I272" s="14" t="s">
        <v>355</v>
      </c>
      <c r="J272" s="12" t="s">
        <v>614</v>
      </c>
      <c r="K272" s="2">
        <v>0</v>
      </c>
      <c r="L272" s="12" t="s">
        <v>337</v>
      </c>
      <c r="M272">
        <f>YEAR(VentesMagasins!$C272)</f>
        <v>2023</v>
      </c>
      <c r="N272" t="e" cm="1" vm="1">
        <f t="array" aca="1" ref="N272" ca="1">MONTH(DateVente)</f>
        <v>#VALUE!</v>
      </c>
      <c r="O272" t="str">
        <f>PROPER(VentesMagasins!$F272)</f>
        <v>Électronique</v>
      </c>
      <c r="P272">
        <f>VALUE(CLEAN(TRIM(SUBSTITUTE(VentesMagasins!$I272,".",","))))</f>
        <v>0.1</v>
      </c>
      <c r="Q272">
        <f>VALUE(TRIM(SUBSTITUTE(VentesMagasins!$J272,".",",")))</f>
        <v>71.099999999999994</v>
      </c>
      <c r="R272">
        <f t="shared" si="12"/>
        <v>63.989999999999995</v>
      </c>
      <c r="S272">
        <f>IF(VentesMagasins!$K272=1,(-1)*R272,R272)</f>
        <v>63.989999999999995</v>
      </c>
      <c r="T272">
        <f>IFERROR(VALUE(TRIM(SUBSTITUTE(VentesMagasins!$L272,".",","))),0)</f>
        <v>3</v>
      </c>
      <c r="U272">
        <f t="shared" si="13"/>
        <v>3</v>
      </c>
      <c r="V272" t="str">
        <f t="shared" si="14"/>
        <v>moyenne</v>
      </c>
      <c r="W272" t="str">
        <f>_xlfn.XLOOKUP(VentesMagasins!$B272,Clients!ClientID,Région)</f>
        <v>Est</v>
      </c>
      <c r="X272" t="str">
        <f>INDEX(TypeClient,MATCH(VentesMagasins!$B272,Clients!ClientID))</f>
        <v>Fidèle</v>
      </c>
      <c r="Y272" t="str">
        <v>mai</v>
      </c>
    </row>
    <row r="273" spans="1:25" x14ac:dyDescent="0.25">
      <c r="A273" s="2">
        <v>272</v>
      </c>
      <c r="B273" s="12" t="s">
        <v>267</v>
      </c>
      <c r="C273" s="13">
        <v>45476</v>
      </c>
      <c r="D273" s="12" t="s">
        <v>338</v>
      </c>
      <c r="E273" s="14" t="s">
        <v>345</v>
      </c>
      <c r="F273" s="12" t="s">
        <v>330</v>
      </c>
      <c r="G273" s="2">
        <v>5</v>
      </c>
      <c r="H273" s="3">
        <v>352</v>
      </c>
      <c r="I273" s="14" t="s">
        <v>335</v>
      </c>
      <c r="J273" s="12" t="s">
        <v>615</v>
      </c>
      <c r="K273" s="2">
        <v>0</v>
      </c>
      <c r="L273" s="12" t="s">
        <v>344</v>
      </c>
      <c r="M273">
        <f>YEAR(VentesMagasins!$C273)</f>
        <v>2024</v>
      </c>
      <c r="N273" t="e" cm="1" vm="1">
        <f t="array" aca="1" ref="N273" ca="1">MONTH(DateVente)</f>
        <v>#VALUE!</v>
      </c>
      <c r="O273" t="str">
        <f>PROPER(VentesMagasins!$F273)</f>
        <v>Décoration</v>
      </c>
      <c r="P273">
        <f>VALUE(CLEAN(TRIM(SUBSTITUTE(VentesMagasins!$I273,".",","))))</f>
        <v>0</v>
      </c>
      <c r="Q273">
        <f>VALUE(TRIM(SUBSTITUTE(VentesMagasins!$J273,".",",")))</f>
        <v>1760</v>
      </c>
      <c r="R273">
        <f t="shared" si="12"/>
        <v>1760</v>
      </c>
      <c r="S273">
        <f>IF(VentesMagasins!$K273=1,(-1)*R273,R273)</f>
        <v>1760</v>
      </c>
      <c r="T273">
        <f>IFERROR(VALUE(TRIM(SUBSTITUTE(VentesMagasins!$L273,".",","))),0)</f>
        <v>2</v>
      </c>
      <c r="U273">
        <f t="shared" si="13"/>
        <v>2</v>
      </c>
      <c r="V273" t="str">
        <f t="shared" si="14"/>
        <v>faible</v>
      </c>
      <c r="W273" t="str">
        <f>_xlfn.XLOOKUP(VentesMagasins!$B273,Clients!ClientID,Région)</f>
        <v>Est</v>
      </c>
      <c r="X273" t="str">
        <f>INDEX(TypeClient,MATCH(VentesMagasins!$B273,Clients!ClientID))</f>
        <v>Nouveau</v>
      </c>
      <c r="Y273" t="str">
        <v>juil</v>
      </c>
    </row>
    <row r="274" spans="1:25" x14ac:dyDescent="0.25">
      <c r="A274" s="2">
        <v>273</v>
      </c>
      <c r="B274" s="12" t="s">
        <v>38</v>
      </c>
      <c r="C274" s="13">
        <v>45401</v>
      </c>
      <c r="D274" s="12" t="s">
        <v>322</v>
      </c>
      <c r="E274" s="14" t="s">
        <v>348</v>
      </c>
      <c r="F274" s="12" t="s">
        <v>330</v>
      </c>
      <c r="G274" s="2">
        <v>2</v>
      </c>
      <c r="H274" s="3">
        <v>69</v>
      </c>
      <c r="I274" s="14" t="s">
        <v>335</v>
      </c>
      <c r="J274" s="12" t="s">
        <v>616</v>
      </c>
      <c r="K274" s="2">
        <v>1</v>
      </c>
      <c r="L274" s="12" t="s">
        <v>337</v>
      </c>
      <c r="M274">
        <f>YEAR(VentesMagasins!$C274)</f>
        <v>2024</v>
      </c>
      <c r="N274" t="e" cm="1" vm="1">
        <f t="array" aca="1" ref="N274" ca="1">MONTH(DateVente)</f>
        <v>#VALUE!</v>
      </c>
      <c r="O274" t="str">
        <f>PROPER(VentesMagasins!$F274)</f>
        <v>Décoration</v>
      </c>
      <c r="P274">
        <f>VALUE(CLEAN(TRIM(SUBSTITUTE(VentesMagasins!$I274,".",","))))</f>
        <v>0</v>
      </c>
      <c r="Q274">
        <f>VALUE(TRIM(SUBSTITUTE(VentesMagasins!$J274,".",",")))</f>
        <v>138</v>
      </c>
      <c r="R274">
        <f t="shared" si="12"/>
        <v>138</v>
      </c>
      <c r="S274">
        <f>IF(VentesMagasins!$K274=1,(-1)*R274,R274)</f>
        <v>-138</v>
      </c>
      <c r="T274">
        <f>IFERROR(VALUE(TRIM(SUBSTITUTE(VentesMagasins!$L274,".",","))),0)</f>
        <v>3</v>
      </c>
      <c r="U274">
        <f t="shared" si="13"/>
        <v>3</v>
      </c>
      <c r="V274" t="str">
        <f t="shared" si="14"/>
        <v>moyenne</v>
      </c>
      <c r="W274" t="str">
        <f>_xlfn.XLOOKUP(VentesMagasins!$B274,Clients!ClientID,Région)</f>
        <v>Est</v>
      </c>
      <c r="X274" t="str">
        <f>INDEX(TypeClient,MATCH(VentesMagasins!$B274,Clients!ClientID))</f>
        <v>Occasionnel</v>
      </c>
      <c r="Y274" t="str">
        <v>avr</v>
      </c>
    </row>
    <row r="275" spans="1:25" x14ac:dyDescent="0.25">
      <c r="A275" s="2">
        <v>274</v>
      </c>
      <c r="B275" s="12" t="s">
        <v>93</v>
      </c>
      <c r="C275" s="13">
        <v>45299</v>
      </c>
      <c r="D275" s="12" t="s">
        <v>322</v>
      </c>
      <c r="E275" s="14" t="s">
        <v>345</v>
      </c>
      <c r="F275" s="12" t="s">
        <v>341</v>
      </c>
      <c r="G275" s="2">
        <v>3</v>
      </c>
      <c r="H275" s="3">
        <v>229</v>
      </c>
      <c r="I275" s="14" t="s">
        <v>355</v>
      </c>
      <c r="J275" s="12" t="s">
        <v>617</v>
      </c>
      <c r="K275" s="2">
        <v>1</v>
      </c>
      <c r="L275" s="12" t="s">
        <v>337</v>
      </c>
      <c r="M275">
        <f>YEAR(VentesMagasins!$C275)</f>
        <v>2024</v>
      </c>
      <c r="N275" t="e" cm="1" vm="1">
        <f t="array" aca="1" ref="N275" ca="1">MONTH(DateVente)</f>
        <v>#VALUE!</v>
      </c>
      <c r="O275" t="str">
        <f>PROPER(VentesMagasins!$F275)</f>
        <v>Meuble</v>
      </c>
      <c r="P275">
        <f>VALUE(CLEAN(TRIM(SUBSTITUTE(VentesMagasins!$I275,".",","))))</f>
        <v>0.1</v>
      </c>
      <c r="Q275">
        <f>VALUE(TRIM(SUBSTITUTE(VentesMagasins!$J275,".",",")))</f>
        <v>680.13</v>
      </c>
      <c r="R275">
        <f t="shared" si="12"/>
        <v>612.11699999999996</v>
      </c>
      <c r="S275">
        <f>IF(VentesMagasins!$K275=1,(-1)*R275,R275)</f>
        <v>-612.11699999999996</v>
      </c>
      <c r="T275">
        <f>IFERROR(VALUE(TRIM(SUBSTITUTE(VentesMagasins!$L275,".",","))),0)</f>
        <v>3</v>
      </c>
      <c r="U275">
        <f t="shared" si="13"/>
        <v>3</v>
      </c>
      <c r="V275" t="str">
        <f t="shared" si="14"/>
        <v>moyenne</v>
      </c>
      <c r="W275" t="str">
        <f>_xlfn.XLOOKUP(VentesMagasins!$B275,Clients!ClientID,Région)</f>
        <v>Est</v>
      </c>
      <c r="X275" t="str">
        <f>INDEX(TypeClient,MATCH(VentesMagasins!$B275,Clients!ClientID))</f>
        <v>Nouveau</v>
      </c>
      <c r="Y275" t="str">
        <v>janv</v>
      </c>
    </row>
    <row r="276" spans="1:25" x14ac:dyDescent="0.25">
      <c r="A276" s="2">
        <v>275</v>
      </c>
      <c r="B276" s="12" t="s">
        <v>67</v>
      </c>
      <c r="C276" s="13">
        <v>45105</v>
      </c>
      <c r="D276" s="12" t="s">
        <v>322</v>
      </c>
      <c r="E276" s="14" t="s">
        <v>348</v>
      </c>
      <c r="F276" s="12" t="s">
        <v>324</v>
      </c>
      <c r="G276" s="2">
        <v>1</v>
      </c>
      <c r="H276" s="3">
        <v>218</v>
      </c>
      <c r="I276" s="14" t="s">
        <v>342</v>
      </c>
      <c r="J276" s="12" t="s">
        <v>618</v>
      </c>
      <c r="K276" s="2">
        <v>0</v>
      </c>
      <c r="L276" s="12" t="s">
        <v>337</v>
      </c>
      <c r="M276">
        <f>YEAR(VentesMagasins!$C276)</f>
        <v>2023</v>
      </c>
      <c r="N276" t="e" cm="1" vm="1">
        <f t="array" aca="1" ref="N276" ca="1">MONTH(DateVente)</f>
        <v>#VALUE!</v>
      </c>
      <c r="O276" t="str">
        <f>PROPER(VentesMagasins!$F276)</f>
        <v>Électronique</v>
      </c>
      <c r="P276">
        <f>VALUE(CLEAN(TRIM(SUBSTITUTE(VentesMagasins!$I276,".",","))))</f>
        <v>0.05</v>
      </c>
      <c r="Q276">
        <f>VALUE(TRIM(SUBSTITUTE(VentesMagasins!$J276,".",",")))</f>
        <v>207.1</v>
      </c>
      <c r="R276">
        <f t="shared" si="12"/>
        <v>196.74499999999998</v>
      </c>
      <c r="S276">
        <f>IF(VentesMagasins!$K276=1,(-1)*R276,R276)</f>
        <v>196.74499999999998</v>
      </c>
      <c r="T276">
        <f>IFERROR(VALUE(TRIM(SUBSTITUTE(VentesMagasins!$L276,".",","))),0)</f>
        <v>3</v>
      </c>
      <c r="U276">
        <f t="shared" si="13"/>
        <v>3</v>
      </c>
      <c r="V276" t="str">
        <f t="shared" si="14"/>
        <v>moyenne</v>
      </c>
      <c r="W276" t="str">
        <f>_xlfn.XLOOKUP(VentesMagasins!$B276,Clients!ClientID,Région)</f>
        <v>Sud</v>
      </c>
      <c r="X276" t="str">
        <f>INDEX(TypeClient,MATCH(VentesMagasins!$B276,Clients!ClientID))</f>
        <v>Nouveau</v>
      </c>
      <c r="Y276" t="str">
        <v>juin</v>
      </c>
    </row>
    <row r="277" spans="1:25" x14ac:dyDescent="0.25">
      <c r="A277" s="2">
        <v>276</v>
      </c>
      <c r="B277" s="12" t="s">
        <v>310</v>
      </c>
      <c r="C277" s="13">
        <v>45789</v>
      </c>
      <c r="D277" s="12" t="s">
        <v>338</v>
      </c>
      <c r="E277" s="14" t="s">
        <v>334</v>
      </c>
      <c r="F277" s="12" t="s">
        <v>324</v>
      </c>
      <c r="G277" s="2">
        <v>2</v>
      </c>
      <c r="H277" s="3">
        <v>42</v>
      </c>
      <c r="I277" s="14" t="s">
        <v>342</v>
      </c>
      <c r="J277" s="12" t="s">
        <v>619</v>
      </c>
      <c r="K277" s="2">
        <v>1</v>
      </c>
      <c r="L277" s="12" t="s">
        <v>344</v>
      </c>
      <c r="M277">
        <f>YEAR(VentesMagasins!$C277)</f>
        <v>2025</v>
      </c>
      <c r="N277" t="e" cm="1" vm="1">
        <f t="array" aca="1" ref="N277" ca="1">MONTH(DateVente)</f>
        <v>#VALUE!</v>
      </c>
      <c r="O277" t="str">
        <f>PROPER(VentesMagasins!$F277)</f>
        <v>Électronique</v>
      </c>
      <c r="P277">
        <f>VALUE(CLEAN(TRIM(SUBSTITUTE(VentesMagasins!$I277,".",","))))</f>
        <v>0.05</v>
      </c>
      <c r="Q277">
        <f>VALUE(TRIM(SUBSTITUTE(VentesMagasins!$J277,".",",")))</f>
        <v>79.8</v>
      </c>
      <c r="R277">
        <f t="shared" si="12"/>
        <v>75.809999999999988</v>
      </c>
      <c r="S277">
        <f>IF(VentesMagasins!$K277=1,(-1)*R277,R277)</f>
        <v>-75.809999999999988</v>
      </c>
      <c r="T277">
        <f>IFERROR(VALUE(TRIM(SUBSTITUTE(VentesMagasins!$L277,".",","))),0)</f>
        <v>2</v>
      </c>
      <c r="U277">
        <f t="shared" si="13"/>
        <v>2</v>
      </c>
      <c r="V277" t="str">
        <f t="shared" si="14"/>
        <v>faible</v>
      </c>
      <c r="W277" t="str">
        <f>_xlfn.XLOOKUP(VentesMagasins!$B277,Clients!ClientID,Région)</f>
        <v>Est</v>
      </c>
      <c r="X277" t="str">
        <f>INDEX(TypeClient,MATCH(VentesMagasins!$B277,Clients!ClientID))</f>
        <v>Occasionnel</v>
      </c>
      <c r="Y277" t="str">
        <v>mai</v>
      </c>
    </row>
    <row r="278" spans="1:25" x14ac:dyDescent="0.25">
      <c r="A278" s="2">
        <v>277</v>
      </c>
      <c r="B278" s="12" t="s">
        <v>63</v>
      </c>
      <c r="C278" s="13">
        <v>45140</v>
      </c>
      <c r="D278" s="12" t="s">
        <v>328</v>
      </c>
      <c r="E278" s="14" t="s">
        <v>364</v>
      </c>
      <c r="F278" s="12" t="s">
        <v>330</v>
      </c>
      <c r="G278" s="2">
        <v>1</v>
      </c>
      <c r="H278" s="3">
        <v>227</v>
      </c>
      <c r="I278" s="14" t="s">
        <v>325</v>
      </c>
      <c r="J278" s="12" t="s">
        <v>620</v>
      </c>
      <c r="K278" s="2">
        <v>0</v>
      </c>
      <c r="L278" s="12" t="s">
        <v>327</v>
      </c>
      <c r="M278">
        <f>YEAR(VentesMagasins!$C278)</f>
        <v>2023</v>
      </c>
      <c r="N278" t="e" cm="1" vm="1">
        <f t="array" aca="1" ref="N278" ca="1">MONTH(DateVente)</f>
        <v>#VALUE!</v>
      </c>
      <c r="O278" t="str">
        <f>PROPER(VentesMagasins!$F278)</f>
        <v>Décoration</v>
      </c>
      <c r="P278">
        <f>VALUE(CLEAN(TRIM(SUBSTITUTE(VentesMagasins!$I278,".",","))))</f>
        <v>0.15</v>
      </c>
      <c r="Q278">
        <f>VALUE(TRIM(SUBSTITUTE(VentesMagasins!$J278,".",",")))</f>
        <v>192.95</v>
      </c>
      <c r="R278">
        <f t="shared" si="12"/>
        <v>164.00749999999999</v>
      </c>
      <c r="S278">
        <f>IF(VentesMagasins!$K278=1,(-1)*R278,R278)</f>
        <v>164.00749999999999</v>
      </c>
      <c r="T278">
        <f>IFERROR(VALUE(TRIM(SUBSTITUTE(VentesMagasins!$L278,".",","))),0)</f>
        <v>5</v>
      </c>
      <c r="U278">
        <f t="shared" si="13"/>
        <v>5</v>
      </c>
      <c r="V278" t="str">
        <f t="shared" si="14"/>
        <v>élévé</v>
      </c>
      <c r="W278" t="str">
        <f>_xlfn.XLOOKUP(VentesMagasins!$B278,Clients!ClientID,Région)</f>
        <v>Sud</v>
      </c>
      <c r="X278" t="str">
        <f>INDEX(TypeClient,MATCH(VentesMagasins!$B278,Clients!ClientID))</f>
        <v>Occasionnel</v>
      </c>
      <c r="Y278" t="str">
        <v>août</v>
      </c>
    </row>
    <row r="279" spans="1:25" x14ac:dyDescent="0.25">
      <c r="A279" s="2">
        <v>278</v>
      </c>
      <c r="B279" s="12" t="s">
        <v>235</v>
      </c>
      <c r="C279" s="13">
        <v>45570</v>
      </c>
      <c r="D279" s="12" t="s">
        <v>338</v>
      </c>
      <c r="E279" s="14" t="s">
        <v>348</v>
      </c>
      <c r="F279" s="12" t="s">
        <v>341</v>
      </c>
      <c r="G279" s="2">
        <v>3</v>
      </c>
      <c r="H279" s="3">
        <v>365</v>
      </c>
      <c r="I279" s="14" t="s">
        <v>325</v>
      </c>
      <c r="J279" s="12" t="s">
        <v>621</v>
      </c>
      <c r="K279" s="2">
        <v>1</v>
      </c>
      <c r="L279" s="12" t="s">
        <v>369</v>
      </c>
      <c r="M279">
        <f>YEAR(VentesMagasins!$C279)</f>
        <v>2024</v>
      </c>
      <c r="N279" t="e" cm="1" vm="1">
        <f t="array" aca="1" ref="N279" ca="1">MONTH(DateVente)</f>
        <v>#VALUE!</v>
      </c>
      <c r="O279" t="str">
        <f>PROPER(VentesMagasins!$F279)</f>
        <v>Meuble</v>
      </c>
      <c r="P279">
        <f>VALUE(CLEAN(TRIM(SUBSTITUTE(VentesMagasins!$I279,".",","))))</f>
        <v>0.15</v>
      </c>
      <c r="Q279">
        <f>VALUE(TRIM(SUBSTITUTE(VentesMagasins!$J279,".",",")))</f>
        <v>930.75</v>
      </c>
      <c r="R279">
        <f t="shared" si="12"/>
        <v>791.13749999999993</v>
      </c>
      <c r="S279">
        <f>IF(VentesMagasins!$K279=1,(-1)*R279,R279)</f>
        <v>-791.13749999999993</v>
      </c>
      <c r="T279">
        <f>IFERROR(VALUE(TRIM(SUBSTITUTE(VentesMagasins!$L279,".",","))),0)</f>
        <v>1</v>
      </c>
      <c r="U279">
        <f t="shared" si="13"/>
        <v>1</v>
      </c>
      <c r="V279" t="str">
        <f t="shared" si="14"/>
        <v>faible</v>
      </c>
      <c r="W279" t="str">
        <f>_xlfn.XLOOKUP(VentesMagasins!$B279,Clients!ClientID,Région)</f>
        <v>Sud</v>
      </c>
      <c r="X279" t="str">
        <f>INDEX(TypeClient,MATCH(VentesMagasins!$B279,Clients!ClientID))</f>
        <v>Fidèle</v>
      </c>
      <c r="Y279" t="str">
        <v>oct</v>
      </c>
    </row>
    <row r="280" spans="1:25" x14ac:dyDescent="0.25">
      <c r="A280" s="2">
        <v>279</v>
      </c>
      <c r="B280" s="12" t="s">
        <v>278</v>
      </c>
      <c r="C280" s="13">
        <v>45400</v>
      </c>
      <c r="D280" s="12" t="s">
        <v>333</v>
      </c>
      <c r="E280" s="14" t="s">
        <v>329</v>
      </c>
      <c r="F280" s="12" t="s">
        <v>341</v>
      </c>
      <c r="G280" s="2">
        <v>4</v>
      </c>
      <c r="H280" s="3">
        <v>153</v>
      </c>
      <c r="I280" s="14" t="s">
        <v>325</v>
      </c>
      <c r="J280" s="12" t="s">
        <v>622</v>
      </c>
      <c r="K280" s="2">
        <v>0</v>
      </c>
      <c r="L280" s="12" t="s">
        <v>337</v>
      </c>
      <c r="M280">
        <f>YEAR(VentesMagasins!$C280)</f>
        <v>2024</v>
      </c>
      <c r="N280" t="e" cm="1" vm="1">
        <f t="array" aca="1" ref="N280" ca="1">MONTH(DateVente)</f>
        <v>#VALUE!</v>
      </c>
      <c r="O280" t="str">
        <f>PROPER(VentesMagasins!$F280)</f>
        <v>Meuble</v>
      </c>
      <c r="P280">
        <f>VALUE(CLEAN(TRIM(SUBSTITUTE(VentesMagasins!$I280,".",","))))</f>
        <v>0.15</v>
      </c>
      <c r="Q280">
        <f>VALUE(TRIM(SUBSTITUTE(VentesMagasins!$J280,".",",")))</f>
        <v>520.19999999999902</v>
      </c>
      <c r="R280">
        <f t="shared" si="12"/>
        <v>442.16999999999916</v>
      </c>
      <c r="S280">
        <f>IF(VentesMagasins!$K280=1,(-1)*R280,R280)</f>
        <v>442.16999999999916</v>
      </c>
      <c r="T280">
        <f>IFERROR(VALUE(TRIM(SUBSTITUTE(VentesMagasins!$L280,".",","))),0)</f>
        <v>3</v>
      </c>
      <c r="U280">
        <f t="shared" si="13"/>
        <v>3</v>
      </c>
      <c r="V280" t="str">
        <f t="shared" si="14"/>
        <v>moyenne</v>
      </c>
      <c r="W280" t="str">
        <f>_xlfn.XLOOKUP(VentesMagasins!$B280,Clients!ClientID,Région)</f>
        <v>Nord</v>
      </c>
      <c r="X280" t="str">
        <f>INDEX(TypeClient,MATCH(VentesMagasins!$B280,Clients!ClientID))</f>
        <v>Nouveau</v>
      </c>
      <c r="Y280" t="str">
        <v>avr</v>
      </c>
    </row>
    <row r="281" spans="1:25" x14ac:dyDescent="0.25">
      <c r="A281" s="2">
        <v>280</v>
      </c>
      <c r="B281" s="12" t="s">
        <v>113</v>
      </c>
      <c r="C281" s="13">
        <v>45782</v>
      </c>
      <c r="D281" s="12" t="s">
        <v>333</v>
      </c>
      <c r="E281" s="14" t="s">
        <v>348</v>
      </c>
      <c r="F281" s="12" t="s">
        <v>330</v>
      </c>
      <c r="G281" s="2">
        <v>5</v>
      </c>
      <c r="H281" s="3">
        <v>73</v>
      </c>
      <c r="I281" s="14" t="s">
        <v>355</v>
      </c>
      <c r="J281" s="12" t="s">
        <v>356</v>
      </c>
      <c r="K281" s="2">
        <v>0</v>
      </c>
      <c r="L281" s="12" t="s">
        <v>327</v>
      </c>
      <c r="M281">
        <f>YEAR(VentesMagasins!$C281)</f>
        <v>2025</v>
      </c>
      <c r="N281" t="e" cm="1" vm="1">
        <f t="array" aca="1" ref="N281" ca="1">MONTH(DateVente)</f>
        <v>#VALUE!</v>
      </c>
      <c r="O281" t="str">
        <f>PROPER(VentesMagasins!$F281)</f>
        <v>Décoration</v>
      </c>
      <c r="P281">
        <f>VALUE(CLEAN(TRIM(SUBSTITUTE(VentesMagasins!$I281,".",","))))</f>
        <v>0.1</v>
      </c>
      <c r="Q281">
        <f>VALUE(TRIM(SUBSTITUTE(VentesMagasins!$J281,".",",")))</f>
        <v>328.5</v>
      </c>
      <c r="R281">
        <f t="shared" si="12"/>
        <v>295.65000000000003</v>
      </c>
      <c r="S281">
        <f>IF(VentesMagasins!$K281=1,(-1)*R281,R281)</f>
        <v>295.65000000000003</v>
      </c>
      <c r="T281">
        <f>IFERROR(VALUE(TRIM(SUBSTITUTE(VentesMagasins!$L281,".",","))),0)</f>
        <v>5</v>
      </c>
      <c r="U281">
        <f t="shared" si="13"/>
        <v>5</v>
      </c>
      <c r="V281" t="str">
        <f t="shared" si="14"/>
        <v>élévé</v>
      </c>
      <c r="W281" t="str">
        <f>_xlfn.XLOOKUP(VentesMagasins!$B281,Clients!ClientID,Région)</f>
        <v>Est</v>
      </c>
      <c r="X281" t="str">
        <f>INDEX(TypeClient,MATCH(VentesMagasins!$B281,Clients!ClientID))</f>
        <v>Fidèle</v>
      </c>
      <c r="Y281" t="str">
        <v>mai</v>
      </c>
    </row>
    <row r="282" spans="1:25" x14ac:dyDescent="0.25">
      <c r="A282" s="2">
        <v>281</v>
      </c>
      <c r="B282" s="12" t="s">
        <v>141</v>
      </c>
      <c r="C282" s="13">
        <v>46007</v>
      </c>
      <c r="D282" s="12" t="s">
        <v>328</v>
      </c>
      <c r="E282" s="14" t="s">
        <v>334</v>
      </c>
      <c r="F282" s="12" t="s">
        <v>341</v>
      </c>
      <c r="G282" s="2">
        <v>5</v>
      </c>
      <c r="H282" s="3">
        <v>454</v>
      </c>
      <c r="I282" s="14" t="s">
        <v>325</v>
      </c>
      <c r="J282" s="12" t="s">
        <v>623</v>
      </c>
      <c r="K282" s="2">
        <v>0</v>
      </c>
      <c r="L282" s="12" t="s">
        <v>327</v>
      </c>
      <c r="M282">
        <f>YEAR(VentesMagasins!$C282)</f>
        <v>2025</v>
      </c>
      <c r="N282" t="e" cm="1" vm="1">
        <f t="array" aca="1" ref="N282" ca="1">MONTH(DateVente)</f>
        <v>#VALUE!</v>
      </c>
      <c r="O282" t="str">
        <f>PROPER(VentesMagasins!$F282)</f>
        <v>Meuble</v>
      </c>
      <c r="P282">
        <f>VALUE(CLEAN(TRIM(SUBSTITUTE(VentesMagasins!$I282,".",","))))</f>
        <v>0.15</v>
      </c>
      <c r="Q282">
        <f>VALUE(TRIM(SUBSTITUTE(VentesMagasins!$J282,".",",")))</f>
        <v>1929.5</v>
      </c>
      <c r="R282">
        <f t="shared" si="12"/>
        <v>1640.075</v>
      </c>
      <c r="S282">
        <f>IF(VentesMagasins!$K282=1,(-1)*R282,R282)</f>
        <v>1640.075</v>
      </c>
      <c r="T282">
        <f>IFERROR(VALUE(TRIM(SUBSTITUTE(VentesMagasins!$L282,".",","))),0)</f>
        <v>5</v>
      </c>
      <c r="U282">
        <f t="shared" si="13"/>
        <v>5</v>
      </c>
      <c r="V282" t="str">
        <f t="shared" si="14"/>
        <v>élévé</v>
      </c>
      <c r="W282" t="str">
        <f>_xlfn.XLOOKUP(VentesMagasins!$B282,Clients!ClientID,Région)</f>
        <v>Ouest</v>
      </c>
      <c r="X282" t="str">
        <f>INDEX(TypeClient,MATCH(VentesMagasins!$B282,Clients!ClientID))</f>
        <v>Fidèle</v>
      </c>
      <c r="Y282" t="str">
        <v>déc</v>
      </c>
    </row>
    <row r="283" spans="1:25" x14ac:dyDescent="0.25">
      <c r="A283" s="2">
        <v>282</v>
      </c>
      <c r="B283" s="12" t="s">
        <v>37</v>
      </c>
      <c r="C283" s="13">
        <v>45263</v>
      </c>
      <c r="D283" s="12" t="s">
        <v>338</v>
      </c>
      <c r="E283" s="14" t="s">
        <v>348</v>
      </c>
      <c r="F283" s="12" t="s">
        <v>330</v>
      </c>
      <c r="G283" s="2">
        <v>2</v>
      </c>
      <c r="H283" s="3">
        <v>50</v>
      </c>
      <c r="I283" s="14" t="s">
        <v>342</v>
      </c>
      <c r="J283" s="12" t="s">
        <v>624</v>
      </c>
      <c r="K283" s="2">
        <v>0</v>
      </c>
      <c r="L283" s="12" t="s">
        <v>332</v>
      </c>
      <c r="M283">
        <f>YEAR(VentesMagasins!$C283)</f>
        <v>2023</v>
      </c>
      <c r="N283" t="e" cm="1" vm="1">
        <f t="array" aca="1" ref="N283" ca="1">MONTH(DateVente)</f>
        <v>#VALUE!</v>
      </c>
      <c r="O283" t="str">
        <f>PROPER(VentesMagasins!$F283)</f>
        <v>Décoration</v>
      </c>
      <c r="P283">
        <f>VALUE(CLEAN(TRIM(SUBSTITUTE(VentesMagasins!$I283,".",","))))</f>
        <v>0.05</v>
      </c>
      <c r="Q283">
        <f>VALUE(TRIM(SUBSTITUTE(VentesMagasins!$J283,".",",")))</f>
        <v>95</v>
      </c>
      <c r="R283">
        <f t="shared" si="12"/>
        <v>90.25</v>
      </c>
      <c r="S283">
        <f>IF(VentesMagasins!$K283=1,(-1)*R283,R283)</f>
        <v>90.25</v>
      </c>
      <c r="T283">
        <f>IFERROR(VALUE(TRIM(SUBSTITUTE(VentesMagasins!$L283,".",","))),0)</f>
        <v>4</v>
      </c>
      <c r="U283">
        <f t="shared" si="13"/>
        <v>4</v>
      </c>
      <c r="V283" t="str">
        <f t="shared" si="14"/>
        <v>moyenne</v>
      </c>
      <c r="W283" t="str">
        <f>_xlfn.XLOOKUP(VentesMagasins!$B283,Clients!ClientID,Région)</f>
        <v>Centre</v>
      </c>
      <c r="X283" t="str">
        <f>INDEX(TypeClient,MATCH(VentesMagasins!$B283,Clients!ClientID))</f>
        <v>Nouveau</v>
      </c>
      <c r="Y283" t="str">
        <v>déc</v>
      </c>
    </row>
    <row r="284" spans="1:25" x14ac:dyDescent="0.25">
      <c r="A284" s="2">
        <v>283</v>
      </c>
      <c r="B284" s="12" t="s">
        <v>285</v>
      </c>
      <c r="C284" s="13">
        <v>44952</v>
      </c>
      <c r="D284" s="12" t="s">
        <v>322</v>
      </c>
      <c r="E284" s="14" t="s">
        <v>345</v>
      </c>
      <c r="F284" s="12" t="s">
        <v>324</v>
      </c>
      <c r="G284" s="2">
        <v>4</v>
      </c>
      <c r="H284" s="3">
        <v>77</v>
      </c>
      <c r="I284" s="14" t="s">
        <v>342</v>
      </c>
      <c r="J284" s="12" t="s">
        <v>439</v>
      </c>
      <c r="K284" s="2">
        <v>0</v>
      </c>
      <c r="L284" s="12" t="s">
        <v>332</v>
      </c>
      <c r="M284">
        <f>YEAR(VentesMagasins!$C284)</f>
        <v>2023</v>
      </c>
      <c r="N284" t="e" cm="1" vm="1">
        <f t="array" aca="1" ref="N284" ca="1">MONTH(DateVente)</f>
        <v>#VALUE!</v>
      </c>
      <c r="O284" t="str">
        <f>PROPER(VentesMagasins!$F284)</f>
        <v>Électronique</v>
      </c>
      <c r="P284">
        <f>VALUE(CLEAN(TRIM(SUBSTITUTE(VentesMagasins!$I284,".",","))))</f>
        <v>0.05</v>
      </c>
      <c r="Q284">
        <f>VALUE(TRIM(SUBSTITUTE(VentesMagasins!$J284,".",",")))</f>
        <v>292.599999999999</v>
      </c>
      <c r="R284">
        <f t="shared" si="12"/>
        <v>277.96999999999906</v>
      </c>
      <c r="S284">
        <f>IF(VentesMagasins!$K284=1,(-1)*R284,R284)</f>
        <v>277.96999999999906</v>
      </c>
      <c r="T284">
        <f>IFERROR(VALUE(TRIM(SUBSTITUTE(VentesMagasins!$L284,".",","))),0)</f>
        <v>4</v>
      </c>
      <c r="U284">
        <f t="shared" si="13"/>
        <v>4</v>
      </c>
      <c r="V284" t="str">
        <f t="shared" si="14"/>
        <v>moyenne</v>
      </c>
      <c r="W284" t="str">
        <f>_xlfn.XLOOKUP(VentesMagasins!$B284,Clients!ClientID,Région)</f>
        <v>Ouest</v>
      </c>
      <c r="X284" t="str">
        <f>INDEX(TypeClient,MATCH(VentesMagasins!$B284,Clients!ClientID))</f>
        <v>Fidèle</v>
      </c>
      <c r="Y284" t="str">
        <v>janv</v>
      </c>
    </row>
    <row r="285" spans="1:25" x14ac:dyDescent="0.25">
      <c r="A285" s="2">
        <v>284</v>
      </c>
      <c r="B285" s="12" t="s">
        <v>301</v>
      </c>
      <c r="C285" s="13">
        <v>45734</v>
      </c>
      <c r="D285" s="12" t="s">
        <v>328</v>
      </c>
      <c r="E285" s="14" t="s">
        <v>339</v>
      </c>
      <c r="F285" s="12" t="s">
        <v>341</v>
      </c>
      <c r="G285" s="2">
        <v>2</v>
      </c>
      <c r="H285" s="3">
        <v>325</v>
      </c>
      <c r="I285" s="14" t="s">
        <v>335</v>
      </c>
      <c r="J285" s="12" t="s">
        <v>512</v>
      </c>
      <c r="K285" s="2">
        <v>0</v>
      </c>
      <c r="L285" s="12" t="s">
        <v>369</v>
      </c>
      <c r="M285">
        <f>YEAR(VentesMagasins!$C285)</f>
        <v>2025</v>
      </c>
      <c r="N285" t="e" cm="1" vm="1">
        <f t="array" aca="1" ref="N285" ca="1">MONTH(DateVente)</f>
        <v>#VALUE!</v>
      </c>
      <c r="O285" t="str">
        <f>PROPER(VentesMagasins!$F285)</f>
        <v>Meuble</v>
      </c>
      <c r="P285">
        <f>VALUE(CLEAN(TRIM(SUBSTITUTE(VentesMagasins!$I285,".",","))))</f>
        <v>0</v>
      </c>
      <c r="Q285">
        <f>VALUE(TRIM(SUBSTITUTE(VentesMagasins!$J285,".",",")))</f>
        <v>650</v>
      </c>
      <c r="R285">
        <f t="shared" si="12"/>
        <v>650</v>
      </c>
      <c r="S285">
        <f>IF(VentesMagasins!$K285=1,(-1)*R285,R285)</f>
        <v>650</v>
      </c>
      <c r="T285">
        <f>IFERROR(VALUE(TRIM(SUBSTITUTE(VentesMagasins!$L285,".",","))),0)</f>
        <v>1</v>
      </c>
      <c r="U285">
        <f t="shared" si="13"/>
        <v>1</v>
      </c>
      <c r="V285" t="str">
        <f t="shared" si="14"/>
        <v>faible</v>
      </c>
      <c r="W285" t="str">
        <f>_xlfn.XLOOKUP(VentesMagasins!$B285,Clients!ClientID,Région)</f>
        <v>Nord</v>
      </c>
      <c r="X285" t="str">
        <f>INDEX(TypeClient,MATCH(VentesMagasins!$B285,Clients!ClientID))</f>
        <v>Fidèle</v>
      </c>
      <c r="Y285" t="str">
        <v>mars</v>
      </c>
    </row>
    <row r="286" spans="1:25" x14ac:dyDescent="0.25">
      <c r="A286" s="2">
        <v>285</v>
      </c>
      <c r="B286" s="12" t="s">
        <v>150</v>
      </c>
      <c r="C286" s="13">
        <v>45227</v>
      </c>
      <c r="D286" s="12" t="s">
        <v>350</v>
      </c>
      <c r="E286" s="14" t="s">
        <v>364</v>
      </c>
      <c r="F286" s="12" t="s">
        <v>324</v>
      </c>
      <c r="G286" s="2">
        <v>2</v>
      </c>
      <c r="H286" s="3">
        <v>155</v>
      </c>
      <c r="I286" s="14" t="s">
        <v>325</v>
      </c>
      <c r="J286" s="12" t="s">
        <v>625</v>
      </c>
      <c r="K286" s="2">
        <v>0</v>
      </c>
      <c r="L286" s="12" t="s">
        <v>332</v>
      </c>
      <c r="M286">
        <f>YEAR(VentesMagasins!$C286)</f>
        <v>2023</v>
      </c>
      <c r="N286" t="e" cm="1" vm="1">
        <f t="array" aca="1" ref="N286" ca="1">MONTH(DateVente)</f>
        <v>#VALUE!</v>
      </c>
      <c r="O286" t="str">
        <f>PROPER(VentesMagasins!$F286)</f>
        <v>Électronique</v>
      </c>
      <c r="P286">
        <f>VALUE(CLEAN(TRIM(SUBSTITUTE(VentesMagasins!$I286,".",","))))</f>
        <v>0.15</v>
      </c>
      <c r="Q286">
        <f>VALUE(TRIM(SUBSTITUTE(VentesMagasins!$J286,".",",")))</f>
        <v>263.5</v>
      </c>
      <c r="R286">
        <f t="shared" si="12"/>
        <v>223.97499999999999</v>
      </c>
      <c r="S286">
        <f>IF(VentesMagasins!$K286=1,(-1)*R286,R286)</f>
        <v>223.97499999999999</v>
      </c>
      <c r="T286">
        <f>IFERROR(VALUE(TRIM(SUBSTITUTE(VentesMagasins!$L286,".",","))),0)</f>
        <v>4</v>
      </c>
      <c r="U286">
        <f t="shared" si="13"/>
        <v>4</v>
      </c>
      <c r="V286" t="str">
        <f t="shared" si="14"/>
        <v>moyenne</v>
      </c>
      <c r="W286" t="str">
        <f>_xlfn.XLOOKUP(VentesMagasins!$B286,Clients!ClientID,Région)</f>
        <v>Sud</v>
      </c>
      <c r="X286" t="str">
        <f>INDEX(TypeClient,MATCH(VentesMagasins!$B286,Clients!ClientID))</f>
        <v>Fidèle</v>
      </c>
      <c r="Y286" t="str">
        <v>oct</v>
      </c>
    </row>
    <row r="287" spans="1:25" x14ac:dyDescent="0.25">
      <c r="A287" s="2">
        <v>286</v>
      </c>
      <c r="B287" s="12" t="s">
        <v>85</v>
      </c>
      <c r="C287" s="13">
        <v>45956</v>
      </c>
      <c r="D287" s="12" t="s">
        <v>328</v>
      </c>
      <c r="E287" s="14" t="s">
        <v>348</v>
      </c>
      <c r="F287" s="12" t="s">
        <v>324</v>
      </c>
      <c r="G287" s="2">
        <v>4</v>
      </c>
      <c r="H287" s="3">
        <v>208</v>
      </c>
      <c r="I287" s="14" t="s">
        <v>325</v>
      </c>
      <c r="J287" s="12" t="s">
        <v>626</v>
      </c>
      <c r="K287" s="2">
        <v>0</v>
      </c>
      <c r="L287" s="12" t="s">
        <v>344</v>
      </c>
      <c r="M287">
        <f>YEAR(VentesMagasins!$C287)</f>
        <v>2025</v>
      </c>
      <c r="N287" t="e" cm="1" vm="1">
        <f t="array" aca="1" ref="N287" ca="1">MONTH(DateVente)</f>
        <v>#VALUE!</v>
      </c>
      <c r="O287" t="str">
        <f>PROPER(VentesMagasins!$F287)</f>
        <v>Électronique</v>
      </c>
      <c r="P287">
        <f>VALUE(CLEAN(TRIM(SUBSTITUTE(VentesMagasins!$I287,".",","))))</f>
        <v>0.15</v>
      </c>
      <c r="Q287">
        <f>VALUE(TRIM(SUBSTITUTE(VentesMagasins!$J287,".",",")))</f>
        <v>707.19999999999902</v>
      </c>
      <c r="R287">
        <f t="shared" si="12"/>
        <v>601.11999999999921</v>
      </c>
      <c r="S287">
        <f>IF(VentesMagasins!$K287=1,(-1)*R287,R287)</f>
        <v>601.11999999999921</v>
      </c>
      <c r="T287">
        <f>IFERROR(VALUE(TRIM(SUBSTITUTE(VentesMagasins!$L287,".",","))),0)</f>
        <v>2</v>
      </c>
      <c r="U287">
        <f t="shared" si="13"/>
        <v>2</v>
      </c>
      <c r="V287" t="str">
        <f t="shared" si="14"/>
        <v>faible</v>
      </c>
      <c r="W287" t="str">
        <f>_xlfn.XLOOKUP(VentesMagasins!$B287,Clients!ClientID,Région)</f>
        <v>Sud</v>
      </c>
      <c r="X287" t="str">
        <f>INDEX(TypeClient,MATCH(VentesMagasins!$B287,Clients!ClientID))</f>
        <v>Fidèle</v>
      </c>
      <c r="Y287" t="str">
        <v>oct</v>
      </c>
    </row>
    <row r="288" spans="1:25" x14ac:dyDescent="0.25">
      <c r="A288" s="2">
        <v>287</v>
      </c>
      <c r="B288" s="12" t="s">
        <v>73</v>
      </c>
      <c r="C288" s="13">
        <v>46017</v>
      </c>
      <c r="D288" s="12" t="s">
        <v>338</v>
      </c>
      <c r="E288" s="14" t="s">
        <v>345</v>
      </c>
      <c r="F288" s="12" t="s">
        <v>341</v>
      </c>
      <c r="G288" s="2">
        <v>4</v>
      </c>
      <c r="H288" s="3">
        <v>205</v>
      </c>
      <c r="I288" s="14" t="s">
        <v>342</v>
      </c>
      <c r="J288" s="12" t="s">
        <v>627</v>
      </c>
      <c r="K288" s="2">
        <v>1</v>
      </c>
      <c r="L288" s="12" t="s">
        <v>369</v>
      </c>
      <c r="M288">
        <f>YEAR(VentesMagasins!$C288)</f>
        <v>2025</v>
      </c>
      <c r="N288" t="e" cm="1" vm="1">
        <f t="array" aca="1" ref="N288" ca="1">MONTH(DateVente)</f>
        <v>#VALUE!</v>
      </c>
      <c r="O288" t="str">
        <f>PROPER(VentesMagasins!$F288)</f>
        <v>Meuble</v>
      </c>
      <c r="P288">
        <f>VALUE(CLEAN(TRIM(SUBSTITUTE(VentesMagasins!$I288,".",","))))</f>
        <v>0.05</v>
      </c>
      <c r="Q288">
        <f>VALUE(TRIM(SUBSTITUTE(VentesMagasins!$J288,".",",")))</f>
        <v>779</v>
      </c>
      <c r="R288">
        <f t="shared" si="12"/>
        <v>740.05</v>
      </c>
      <c r="S288">
        <f>IF(VentesMagasins!$K288=1,(-1)*R288,R288)</f>
        <v>-740.05</v>
      </c>
      <c r="T288">
        <f>IFERROR(VALUE(TRIM(SUBSTITUTE(VentesMagasins!$L288,".",","))),0)</f>
        <v>1</v>
      </c>
      <c r="U288">
        <f t="shared" si="13"/>
        <v>1</v>
      </c>
      <c r="V288" t="str">
        <f t="shared" si="14"/>
        <v>faible</v>
      </c>
      <c r="W288" t="str">
        <f>_xlfn.XLOOKUP(VentesMagasins!$B288,Clients!ClientID,Région)</f>
        <v>Sud</v>
      </c>
      <c r="X288" t="str">
        <f>INDEX(TypeClient,MATCH(VentesMagasins!$B288,Clients!ClientID))</f>
        <v>Occasionnel</v>
      </c>
      <c r="Y288" t="str">
        <v>déc</v>
      </c>
    </row>
    <row r="289" spans="1:25" x14ac:dyDescent="0.25">
      <c r="A289" s="2">
        <v>288</v>
      </c>
      <c r="B289" s="12" t="s">
        <v>126</v>
      </c>
      <c r="C289" s="13">
        <v>45143</v>
      </c>
      <c r="D289" s="12" t="s">
        <v>333</v>
      </c>
      <c r="E289" s="14" t="s">
        <v>339</v>
      </c>
      <c r="F289" s="12" t="s">
        <v>341</v>
      </c>
      <c r="G289" s="2">
        <v>2</v>
      </c>
      <c r="H289" s="3">
        <v>500</v>
      </c>
      <c r="I289" s="14" t="s">
        <v>335</v>
      </c>
      <c r="J289" s="12" t="s">
        <v>628</v>
      </c>
      <c r="K289" s="2">
        <v>0</v>
      </c>
      <c r="L289" s="12" t="s">
        <v>337</v>
      </c>
      <c r="M289">
        <f>YEAR(VentesMagasins!$C289)</f>
        <v>2023</v>
      </c>
      <c r="N289" t="e" cm="1" vm="1">
        <f t="array" aca="1" ref="N289" ca="1">MONTH(DateVente)</f>
        <v>#VALUE!</v>
      </c>
      <c r="O289" t="str">
        <f>PROPER(VentesMagasins!$F289)</f>
        <v>Meuble</v>
      </c>
      <c r="P289">
        <f>VALUE(CLEAN(TRIM(SUBSTITUTE(VentesMagasins!$I289,".",","))))</f>
        <v>0</v>
      </c>
      <c r="Q289">
        <f>VALUE(TRIM(SUBSTITUTE(VentesMagasins!$J289,".",",")))</f>
        <v>1000</v>
      </c>
      <c r="R289">
        <f t="shared" si="12"/>
        <v>1000</v>
      </c>
      <c r="S289">
        <f>IF(VentesMagasins!$K289=1,(-1)*R289,R289)</f>
        <v>1000</v>
      </c>
      <c r="T289">
        <f>IFERROR(VALUE(TRIM(SUBSTITUTE(VentesMagasins!$L289,".",","))),0)</f>
        <v>3</v>
      </c>
      <c r="U289">
        <f t="shared" si="13"/>
        <v>3</v>
      </c>
      <c r="V289" t="str">
        <f t="shared" si="14"/>
        <v>moyenne</v>
      </c>
      <c r="W289" t="str">
        <f>_xlfn.XLOOKUP(VentesMagasins!$B289,Clients!ClientID,Région)</f>
        <v>Nord</v>
      </c>
      <c r="X289" t="str">
        <f>INDEX(TypeClient,MATCH(VentesMagasins!$B289,Clients!ClientID))</f>
        <v>Nouveau</v>
      </c>
      <c r="Y289" t="str">
        <v>août</v>
      </c>
    </row>
    <row r="290" spans="1:25" x14ac:dyDescent="0.25">
      <c r="A290" s="2">
        <v>289</v>
      </c>
      <c r="B290" s="12" t="s">
        <v>156</v>
      </c>
      <c r="C290" s="13">
        <v>45157</v>
      </c>
      <c r="D290" s="12" t="s">
        <v>333</v>
      </c>
      <c r="E290" s="14" t="s">
        <v>329</v>
      </c>
      <c r="F290" s="12" t="s">
        <v>330</v>
      </c>
      <c r="G290" s="2">
        <v>4</v>
      </c>
      <c r="H290" s="3">
        <v>469</v>
      </c>
      <c r="I290" s="14" t="s">
        <v>325</v>
      </c>
      <c r="J290" s="12" t="s">
        <v>629</v>
      </c>
      <c r="K290" s="2">
        <v>0</v>
      </c>
      <c r="L290" s="12" t="s">
        <v>337</v>
      </c>
      <c r="M290">
        <f>YEAR(VentesMagasins!$C290)</f>
        <v>2023</v>
      </c>
      <c r="N290" t="e" cm="1" vm="1">
        <f t="array" aca="1" ref="N290" ca="1">MONTH(DateVente)</f>
        <v>#VALUE!</v>
      </c>
      <c r="O290" t="str">
        <f>PROPER(VentesMagasins!$F290)</f>
        <v>Décoration</v>
      </c>
      <c r="P290">
        <f>VALUE(CLEAN(TRIM(SUBSTITUTE(VentesMagasins!$I290,".",","))))</f>
        <v>0.15</v>
      </c>
      <c r="Q290">
        <f>VALUE(TRIM(SUBSTITUTE(VentesMagasins!$J290,".",",")))</f>
        <v>1594.6</v>
      </c>
      <c r="R290">
        <f t="shared" si="12"/>
        <v>1355.4099999999999</v>
      </c>
      <c r="S290">
        <f>IF(VentesMagasins!$K290=1,(-1)*R290,R290)</f>
        <v>1355.4099999999999</v>
      </c>
      <c r="T290">
        <f>IFERROR(VALUE(TRIM(SUBSTITUTE(VentesMagasins!$L290,".",","))),0)</f>
        <v>3</v>
      </c>
      <c r="U290">
        <f t="shared" si="13"/>
        <v>3</v>
      </c>
      <c r="V290" t="str">
        <f t="shared" si="14"/>
        <v>moyenne</v>
      </c>
      <c r="W290" t="str">
        <f>_xlfn.XLOOKUP(VentesMagasins!$B290,Clients!ClientID,Région)</f>
        <v>Centre</v>
      </c>
      <c r="X290" t="str">
        <f>INDEX(TypeClient,MATCH(VentesMagasins!$B290,Clients!ClientID))</f>
        <v>Nouveau</v>
      </c>
      <c r="Y290" t="str">
        <v>août</v>
      </c>
    </row>
    <row r="291" spans="1:25" x14ac:dyDescent="0.25">
      <c r="A291" s="2">
        <v>290</v>
      </c>
      <c r="B291" s="12" t="s">
        <v>242</v>
      </c>
      <c r="C291" s="13">
        <v>44982</v>
      </c>
      <c r="D291" s="12" t="s">
        <v>328</v>
      </c>
      <c r="E291" s="14" t="s">
        <v>323</v>
      </c>
      <c r="F291" s="12" t="s">
        <v>341</v>
      </c>
      <c r="G291" s="2">
        <v>2</v>
      </c>
      <c r="H291" s="3">
        <v>291</v>
      </c>
      <c r="I291" s="14" t="s">
        <v>342</v>
      </c>
      <c r="J291" s="12" t="s">
        <v>630</v>
      </c>
      <c r="K291" s="2">
        <v>1</v>
      </c>
      <c r="L291" s="12" t="s">
        <v>337</v>
      </c>
      <c r="M291">
        <f>YEAR(VentesMagasins!$C291)</f>
        <v>2023</v>
      </c>
      <c r="N291" t="e" cm="1" vm="1">
        <f t="array" aca="1" ref="N291" ca="1">MONTH(DateVente)</f>
        <v>#VALUE!</v>
      </c>
      <c r="O291" t="str">
        <f>PROPER(VentesMagasins!$F291)</f>
        <v>Meuble</v>
      </c>
      <c r="P291">
        <f>VALUE(CLEAN(TRIM(SUBSTITUTE(VentesMagasins!$I291,".",","))))</f>
        <v>0.05</v>
      </c>
      <c r="Q291">
        <f>VALUE(TRIM(SUBSTITUTE(VentesMagasins!$J291,".",",")))</f>
        <v>552.9</v>
      </c>
      <c r="R291">
        <f t="shared" si="12"/>
        <v>525.255</v>
      </c>
      <c r="S291">
        <f>IF(VentesMagasins!$K291=1,(-1)*R291,R291)</f>
        <v>-525.255</v>
      </c>
      <c r="T291">
        <f>IFERROR(VALUE(TRIM(SUBSTITUTE(VentesMagasins!$L291,".",","))),0)</f>
        <v>3</v>
      </c>
      <c r="U291">
        <f t="shared" si="13"/>
        <v>3</v>
      </c>
      <c r="V291" t="str">
        <f t="shared" si="14"/>
        <v>moyenne</v>
      </c>
      <c r="W291" t="str">
        <f>_xlfn.XLOOKUP(VentesMagasins!$B291,Clients!ClientID,Région)</f>
        <v>Sud</v>
      </c>
      <c r="X291" t="str">
        <f>INDEX(TypeClient,MATCH(VentesMagasins!$B291,Clients!ClientID))</f>
        <v>Occasionnel</v>
      </c>
      <c r="Y291" t="str">
        <v>févr</v>
      </c>
    </row>
    <row r="292" spans="1:25" x14ac:dyDescent="0.25">
      <c r="A292" s="2">
        <v>291</v>
      </c>
      <c r="B292" s="12" t="s">
        <v>254</v>
      </c>
      <c r="C292" s="13">
        <v>45122</v>
      </c>
      <c r="D292" s="12" t="s">
        <v>322</v>
      </c>
      <c r="E292" s="14" t="s">
        <v>348</v>
      </c>
      <c r="F292" s="12" t="s">
        <v>324</v>
      </c>
      <c r="G292" s="2">
        <v>4</v>
      </c>
      <c r="H292" s="3">
        <v>135</v>
      </c>
      <c r="I292" s="14" t="s">
        <v>335</v>
      </c>
      <c r="J292" s="12" t="s">
        <v>631</v>
      </c>
      <c r="K292" s="2">
        <v>0</v>
      </c>
      <c r="L292" s="12" t="s">
        <v>327</v>
      </c>
      <c r="M292">
        <f>YEAR(VentesMagasins!$C292)</f>
        <v>2023</v>
      </c>
      <c r="N292" t="e" cm="1" vm="1">
        <f t="array" aca="1" ref="N292" ca="1">MONTH(DateVente)</f>
        <v>#VALUE!</v>
      </c>
      <c r="O292" t="str">
        <f>PROPER(VentesMagasins!$F292)</f>
        <v>Électronique</v>
      </c>
      <c r="P292">
        <f>VALUE(CLEAN(TRIM(SUBSTITUTE(VentesMagasins!$I292,".",","))))</f>
        <v>0</v>
      </c>
      <c r="Q292">
        <f>VALUE(TRIM(SUBSTITUTE(VentesMagasins!$J292,".",",")))</f>
        <v>540</v>
      </c>
      <c r="R292">
        <f t="shared" si="12"/>
        <v>540</v>
      </c>
      <c r="S292">
        <f>IF(VentesMagasins!$K292=1,(-1)*R292,R292)</f>
        <v>540</v>
      </c>
      <c r="T292">
        <f>IFERROR(VALUE(TRIM(SUBSTITUTE(VentesMagasins!$L292,".",","))),0)</f>
        <v>5</v>
      </c>
      <c r="U292">
        <f t="shared" si="13"/>
        <v>5</v>
      </c>
      <c r="V292" t="str">
        <f t="shared" si="14"/>
        <v>élévé</v>
      </c>
      <c r="W292" t="str">
        <f>_xlfn.XLOOKUP(VentesMagasins!$B292,Clients!ClientID,Région)</f>
        <v>Ouest</v>
      </c>
      <c r="X292" t="str">
        <f>INDEX(TypeClient,MATCH(VentesMagasins!$B292,Clients!ClientID))</f>
        <v>Fidèle</v>
      </c>
      <c r="Y292" t="str">
        <v>juil</v>
      </c>
    </row>
    <row r="293" spans="1:25" x14ac:dyDescent="0.25">
      <c r="A293" s="2">
        <v>292</v>
      </c>
      <c r="B293" s="12" t="s">
        <v>76</v>
      </c>
      <c r="C293" s="13">
        <v>45505</v>
      </c>
      <c r="D293" s="12" t="s">
        <v>350</v>
      </c>
      <c r="E293" s="14" t="s">
        <v>334</v>
      </c>
      <c r="F293" s="12" t="s">
        <v>341</v>
      </c>
      <c r="G293" s="2">
        <v>5</v>
      </c>
      <c r="H293" s="3">
        <v>425</v>
      </c>
      <c r="I293" s="14" t="s">
        <v>342</v>
      </c>
      <c r="J293" s="12" t="s">
        <v>632</v>
      </c>
      <c r="K293" s="2">
        <v>0</v>
      </c>
      <c r="L293" s="12" t="s">
        <v>332</v>
      </c>
      <c r="M293">
        <f>YEAR(VentesMagasins!$C293)</f>
        <v>2024</v>
      </c>
      <c r="N293" t="e" cm="1" vm="1">
        <f t="array" aca="1" ref="N293" ca="1">MONTH(DateVente)</f>
        <v>#VALUE!</v>
      </c>
      <c r="O293" t="str">
        <f>PROPER(VentesMagasins!$F293)</f>
        <v>Meuble</v>
      </c>
      <c r="P293">
        <f>VALUE(CLEAN(TRIM(SUBSTITUTE(VentesMagasins!$I293,".",","))))</f>
        <v>0.05</v>
      </c>
      <c r="Q293">
        <f>VALUE(TRIM(SUBSTITUTE(VentesMagasins!$J293,".",",")))</f>
        <v>2018.75</v>
      </c>
      <c r="R293">
        <f t="shared" si="12"/>
        <v>1917.8125</v>
      </c>
      <c r="S293">
        <f>IF(VentesMagasins!$K293=1,(-1)*R293,R293)</f>
        <v>1917.8125</v>
      </c>
      <c r="T293">
        <f>IFERROR(VALUE(TRIM(SUBSTITUTE(VentesMagasins!$L293,".",","))),0)</f>
        <v>4</v>
      </c>
      <c r="U293">
        <f t="shared" si="13"/>
        <v>4</v>
      </c>
      <c r="V293" t="str">
        <f t="shared" si="14"/>
        <v>moyenne</v>
      </c>
      <c r="W293" t="str">
        <f>_xlfn.XLOOKUP(VentesMagasins!$B293,Clients!ClientID,Région)</f>
        <v>Nord</v>
      </c>
      <c r="X293" t="str">
        <f>INDEX(TypeClient,MATCH(VentesMagasins!$B293,Clients!ClientID))</f>
        <v>Occasionnel</v>
      </c>
      <c r="Y293" t="str">
        <v>août</v>
      </c>
    </row>
    <row r="294" spans="1:25" x14ac:dyDescent="0.25">
      <c r="A294" s="2">
        <v>293</v>
      </c>
      <c r="B294" s="12" t="s">
        <v>120</v>
      </c>
      <c r="C294" s="13">
        <v>45536</v>
      </c>
      <c r="D294" s="12" t="s">
        <v>338</v>
      </c>
      <c r="E294" s="14" t="s">
        <v>348</v>
      </c>
      <c r="F294" s="12" t="s">
        <v>324</v>
      </c>
      <c r="G294" s="2">
        <v>4</v>
      </c>
      <c r="H294" s="3">
        <v>433</v>
      </c>
      <c r="I294" s="14" t="s">
        <v>325</v>
      </c>
      <c r="J294" s="12" t="s">
        <v>633</v>
      </c>
      <c r="K294" s="2">
        <v>0</v>
      </c>
      <c r="L294" s="12" t="s">
        <v>332</v>
      </c>
      <c r="M294">
        <f>YEAR(VentesMagasins!$C294)</f>
        <v>2024</v>
      </c>
      <c r="N294" t="e" cm="1" vm="1">
        <f t="array" aca="1" ref="N294" ca="1">MONTH(DateVente)</f>
        <v>#VALUE!</v>
      </c>
      <c r="O294" t="str">
        <f>PROPER(VentesMagasins!$F294)</f>
        <v>Électronique</v>
      </c>
      <c r="P294">
        <f>VALUE(CLEAN(TRIM(SUBSTITUTE(VentesMagasins!$I294,".",","))))</f>
        <v>0.15</v>
      </c>
      <c r="Q294">
        <f>VALUE(TRIM(SUBSTITUTE(VentesMagasins!$J294,".",",")))</f>
        <v>1619.42</v>
      </c>
      <c r="R294">
        <f t="shared" si="12"/>
        <v>1376.5070000000001</v>
      </c>
      <c r="S294">
        <f>IF(VentesMagasins!$K294=1,(-1)*R294,R294)</f>
        <v>1376.5070000000001</v>
      </c>
      <c r="T294">
        <f>IFERROR(VALUE(TRIM(SUBSTITUTE(VentesMagasins!$L294,".",","))),0)</f>
        <v>4</v>
      </c>
      <c r="U294">
        <f t="shared" si="13"/>
        <v>4</v>
      </c>
      <c r="V294" t="str">
        <f t="shared" si="14"/>
        <v>moyenne</v>
      </c>
      <c r="W294" t="str">
        <f>_xlfn.XLOOKUP(VentesMagasins!$B294,Clients!ClientID,Région)</f>
        <v>Ouest</v>
      </c>
      <c r="X294" t="str">
        <f>INDEX(TypeClient,MATCH(VentesMagasins!$B294,Clients!ClientID))</f>
        <v>Nouveau</v>
      </c>
      <c r="Y294" t="str">
        <v>sept</v>
      </c>
    </row>
    <row r="295" spans="1:25" x14ac:dyDescent="0.25">
      <c r="A295" s="2">
        <v>294</v>
      </c>
      <c r="B295" s="12" t="s">
        <v>31</v>
      </c>
      <c r="C295" s="13">
        <v>45533</v>
      </c>
      <c r="D295" s="12" t="s">
        <v>338</v>
      </c>
      <c r="E295" s="14" t="s">
        <v>348</v>
      </c>
      <c r="F295" s="12" t="s">
        <v>324</v>
      </c>
      <c r="G295" s="2">
        <v>2</v>
      </c>
      <c r="H295" s="3">
        <v>310</v>
      </c>
      <c r="I295" s="14" t="s">
        <v>355</v>
      </c>
      <c r="J295" s="12" t="s">
        <v>634</v>
      </c>
      <c r="K295" s="2">
        <v>0</v>
      </c>
      <c r="L295" s="12" t="s">
        <v>327</v>
      </c>
      <c r="M295">
        <f>YEAR(VentesMagasins!$C295)</f>
        <v>2024</v>
      </c>
      <c r="N295" t="e" cm="1" vm="1">
        <f t="array" aca="1" ref="N295" ca="1">MONTH(DateVente)</f>
        <v>#VALUE!</v>
      </c>
      <c r="O295" t="str">
        <f>PROPER(VentesMagasins!$F295)</f>
        <v>Électronique</v>
      </c>
      <c r="P295">
        <f>VALUE(CLEAN(TRIM(SUBSTITUTE(VentesMagasins!$I295,".",","))))</f>
        <v>0.1</v>
      </c>
      <c r="Q295">
        <f>VALUE(TRIM(SUBSTITUTE(VentesMagasins!$J295,".",",")))</f>
        <v>558</v>
      </c>
      <c r="R295">
        <f t="shared" si="12"/>
        <v>502.2</v>
      </c>
      <c r="S295">
        <f>IF(VentesMagasins!$K295=1,(-1)*R295,R295)</f>
        <v>502.2</v>
      </c>
      <c r="T295">
        <f>IFERROR(VALUE(TRIM(SUBSTITUTE(VentesMagasins!$L295,".",","))),0)</f>
        <v>5</v>
      </c>
      <c r="U295">
        <f t="shared" si="13"/>
        <v>5</v>
      </c>
      <c r="V295" t="str">
        <f t="shared" si="14"/>
        <v>élévé</v>
      </c>
      <c r="W295" t="str">
        <f>_xlfn.XLOOKUP(VentesMagasins!$B295,Clients!ClientID,Région)</f>
        <v>Sud</v>
      </c>
      <c r="X295" t="str">
        <f>INDEX(TypeClient,MATCH(VentesMagasins!$B295,Clients!ClientID))</f>
        <v>Occasionnel</v>
      </c>
      <c r="Y295" t="str">
        <v>août</v>
      </c>
    </row>
    <row r="296" spans="1:25" x14ac:dyDescent="0.25">
      <c r="A296" s="2">
        <v>295</v>
      </c>
      <c r="B296" s="12" t="s">
        <v>62</v>
      </c>
      <c r="C296" s="13">
        <v>45687</v>
      </c>
      <c r="D296" s="12" t="s">
        <v>322</v>
      </c>
      <c r="E296" s="14" t="s">
        <v>323</v>
      </c>
      <c r="F296" s="12" t="s">
        <v>324</v>
      </c>
      <c r="G296" s="2">
        <v>5</v>
      </c>
      <c r="H296" s="3">
        <v>133</v>
      </c>
      <c r="I296" s="14" t="s">
        <v>325</v>
      </c>
      <c r="J296" s="12" t="s">
        <v>635</v>
      </c>
      <c r="K296" s="2">
        <v>1</v>
      </c>
      <c r="L296" s="12" t="s">
        <v>369</v>
      </c>
      <c r="M296">
        <f>YEAR(VentesMagasins!$C296)</f>
        <v>2025</v>
      </c>
      <c r="N296" t="e" cm="1" vm="1">
        <f t="array" aca="1" ref="N296" ca="1">MONTH(DateVente)</f>
        <v>#VALUE!</v>
      </c>
      <c r="O296" t="str">
        <f>PROPER(VentesMagasins!$F296)</f>
        <v>Électronique</v>
      </c>
      <c r="P296">
        <f>VALUE(CLEAN(TRIM(SUBSTITUTE(VentesMagasins!$I296,".",","))))</f>
        <v>0.15</v>
      </c>
      <c r="Q296">
        <f>VALUE(TRIM(SUBSTITUTE(VentesMagasins!$J296,".",",")))</f>
        <v>565.25</v>
      </c>
      <c r="R296">
        <f t="shared" si="12"/>
        <v>480.46249999999998</v>
      </c>
      <c r="S296">
        <f>IF(VentesMagasins!$K296=1,(-1)*R296,R296)</f>
        <v>-480.46249999999998</v>
      </c>
      <c r="T296">
        <f>IFERROR(VALUE(TRIM(SUBSTITUTE(VentesMagasins!$L296,".",","))),0)</f>
        <v>1</v>
      </c>
      <c r="U296">
        <f t="shared" si="13"/>
        <v>1</v>
      </c>
      <c r="V296" t="str">
        <f t="shared" si="14"/>
        <v>faible</v>
      </c>
      <c r="W296" t="str">
        <f>_xlfn.XLOOKUP(VentesMagasins!$B296,Clients!ClientID,Région)</f>
        <v>Sud</v>
      </c>
      <c r="X296" t="str">
        <f>INDEX(TypeClient,MATCH(VentesMagasins!$B296,Clients!ClientID))</f>
        <v>Nouveau</v>
      </c>
      <c r="Y296" t="str">
        <v>janv</v>
      </c>
    </row>
    <row r="297" spans="1:25" x14ac:dyDescent="0.25">
      <c r="A297" s="2">
        <v>296</v>
      </c>
      <c r="B297" s="12" t="s">
        <v>64</v>
      </c>
      <c r="C297" s="13">
        <v>45802</v>
      </c>
      <c r="D297" s="12" t="s">
        <v>449</v>
      </c>
      <c r="E297" s="14" t="s">
        <v>339</v>
      </c>
      <c r="F297" s="12" t="s">
        <v>341</v>
      </c>
      <c r="G297" s="2">
        <v>2</v>
      </c>
      <c r="H297" s="3">
        <v>423</v>
      </c>
      <c r="I297" s="14" t="s">
        <v>355</v>
      </c>
      <c r="J297" s="12" t="s">
        <v>636</v>
      </c>
      <c r="K297" s="2">
        <v>1</v>
      </c>
      <c r="L297" s="12" t="s">
        <v>332</v>
      </c>
      <c r="M297">
        <f>YEAR(VentesMagasins!$C297)</f>
        <v>2025</v>
      </c>
      <c r="N297" t="e" cm="1" vm="1">
        <f t="array" aca="1" ref="N297" ca="1">MONTH(DateVente)</f>
        <v>#VALUE!</v>
      </c>
      <c r="O297" t="str">
        <f>PROPER(VentesMagasins!$F297)</f>
        <v>Meuble</v>
      </c>
      <c r="P297">
        <f>VALUE(CLEAN(TRIM(SUBSTITUTE(VentesMagasins!$I297,".",","))))</f>
        <v>0.1</v>
      </c>
      <c r="Q297">
        <f>VALUE(TRIM(SUBSTITUTE(VentesMagasins!$J297,".",",")))</f>
        <v>761.4</v>
      </c>
      <c r="R297">
        <f t="shared" si="12"/>
        <v>685.26</v>
      </c>
      <c r="S297">
        <f>IF(VentesMagasins!$K297=1,(-1)*R297,R297)</f>
        <v>-685.26</v>
      </c>
      <c r="T297">
        <f>IFERROR(VALUE(TRIM(SUBSTITUTE(VentesMagasins!$L297,".",","))),0)</f>
        <v>4</v>
      </c>
      <c r="U297">
        <f t="shared" si="13"/>
        <v>4</v>
      </c>
      <c r="V297" t="str">
        <f t="shared" si="14"/>
        <v>moyenne</v>
      </c>
      <c r="W297" t="str">
        <f>_xlfn.XLOOKUP(VentesMagasins!$B297,Clients!ClientID,Région)</f>
        <v>Sud</v>
      </c>
      <c r="X297" t="str">
        <f>INDEX(TypeClient,MATCH(VentesMagasins!$B297,Clients!ClientID))</f>
        <v>Nouveau</v>
      </c>
      <c r="Y297" t="str">
        <v>mai</v>
      </c>
    </row>
    <row r="298" spans="1:25" x14ac:dyDescent="0.25">
      <c r="A298" s="2">
        <v>297</v>
      </c>
      <c r="B298" s="12" t="s">
        <v>18</v>
      </c>
      <c r="C298" s="13">
        <v>46011</v>
      </c>
      <c r="D298" s="12" t="s">
        <v>333</v>
      </c>
      <c r="E298" s="14" t="s">
        <v>339</v>
      </c>
      <c r="F298" s="12" t="s">
        <v>330</v>
      </c>
      <c r="G298" s="2">
        <v>2</v>
      </c>
      <c r="H298" s="3">
        <v>380</v>
      </c>
      <c r="I298" s="14" t="s">
        <v>342</v>
      </c>
      <c r="J298" s="12" t="s">
        <v>637</v>
      </c>
      <c r="K298" s="2">
        <v>0</v>
      </c>
      <c r="L298" s="12" t="s">
        <v>332</v>
      </c>
      <c r="M298">
        <f>YEAR(VentesMagasins!$C298)</f>
        <v>2025</v>
      </c>
      <c r="N298" t="e" cm="1" vm="1">
        <f t="array" aca="1" ref="N298" ca="1">MONTH(DateVente)</f>
        <v>#VALUE!</v>
      </c>
      <c r="O298" t="str">
        <f>PROPER(VentesMagasins!$F298)</f>
        <v>Décoration</v>
      </c>
      <c r="P298">
        <f>VALUE(CLEAN(TRIM(SUBSTITUTE(VentesMagasins!$I298,".",","))))</f>
        <v>0.05</v>
      </c>
      <c r="Q298">
        <f>VALUE(TRIM(SUBSTITUTE(VentesMagasins!$J298,".",",")))</f>
        <v>722</v>
      </c>
      <c r="R298">
        <f t="shared" si="12"/>
        <v>685.9</v>
      </c>
      <c r="S298">
        <f>IF(VentesMagasins!$K298=1,(-1)*R298,R298)</f>
        <v>685.9</v>
      </c>
      <c r="T298">
        <f>IFERROR(VALUE(TRIM(SUBSTITUTE(VentesMagasins!$L298,".",","))),0)</f>
        <v>4</v>
      </c>
      <c r="U298">
        <f t="shared" si="13"/>
        <v>4</v>
      </c>
      <c r="V298" t="str">
        <f t="shared" si="14"/>
        <v>moyenne</v>
      </c>
      <c r="W298" t="str">
        <f>_xlfn.XLOOKUP(VentesMagasins!$B298,Clients!ClientID,Région)</f>
        <v>Nord</v>
      </c>
      <c r="X298" t="str">
        <f>INDEX(TypeClient,MATCH(VentesMagasins!$B298,Clients!ClientID))</f>
        <v>Fidèle</v>
      </c>
      <c r="Y298" t="str">
        <v>déc</v>
      </c>
    </row>
    <row r="299" spans="1:25" x14ac:dyDescent="0.25">
      <c r="A299" s="2">
        <v>298</v>
      </c>
      <c r="B299" s="12" t="s">
        <v>209</v>
      </c>
      <c r="C299" s="13">
        <v>45964</v>
      </c>
      <c r="D299" s="12" t="s">
        <v>333</v>
      </c>
      <c r="E299" s="14" t="s">
        <v>348</v>
      </c>
      <c r="F299" s="12" t="s">
        <v>341</v>
      </c>
      <c r="G299" s="2">
        <v>3</v>
      </c>
      <c r="H299" s="3">
        <v>207</v>
      </c>
      <c r="I299" s="14" t="s">
        <v>335</v>
      </c>
      <c r="J299" s="12" t="s">
        <v>638</v>
      </c>
      <c r="K299" s="2">
        <v>0</v>
      </c>
      <c r="L299" s="12" t="s">
        <v>332</v>
      </c>
      <c r="M299">
        <f>YEAR(VentesMagasins!$C299)</f>
        <v>2025</v>
      </c>
      <c r="N299" t="e" cm="1" vm="1">
        <f t="array" aca="1" ref="N299" ca="1">MONTH(DateVente)</f>
        <v>#VALUE!</v>
      </c>
      <c r="O299" t="str">
        <f>PROPER(VentesMagasins!$F299)</f>
        <v>Meuble</v>
      </c>
      <c r="P299">
        <f>VALUE(CLEAN(TRIM(SUBSTITUTE(VentesMagasins!$I299,".",","))))</f>
        <v>0</v>
      </c>
      <c r="Q299">
        <f>VALUE(TRIM(SUBSTITUTE(VentesMagasins!$J299,".",",")))</f>
        <v>621</v>
      </c>
      <c r="R299">
        <f t="shared" si="12"/>
        <v>621</v>
      </c>
      <c r="S299">
        <f>IF(VentesMagasins!$K299=1,(-1)*R299,R299)</f>
        <v>621</v>
      </c>
      <c r="T299">
        <f>IFERROR(VALUE(TRIM(SUBSTITUTE(VentesMagasins!$L299,".",","))),0)</f>
        <v>4</v>
      </c>
      <c r="U299">
        <f t="shared" si="13"/>
        <v>4</v>
      </c>
      <c r="V299" t="str">
        <f t="shared" si="14"/>
        <v>moyenne</v>
      </c>
      <c r="W299" t="str">
        <f>_xlfn.XLOOKUP(VentesMagasins!$B299,Clients!ClientID,Région)</f>
        <v>Centre</v>
      </c>
      <c r="X299" t="str">
        <f>INDEX(TypeClient,MATCH(VentesMagasins!$B299,Clients!ClientID))</f>
        <v>Occasionnel</v>
      </c>
      <c r="Y299" t="str">
        <v>nov</v>
      </c>
    </row>
    <row r="300" spans="1:25" x14ac:dyDescent="0.25">
      <c r="A300" s="2">
        <v>299</v>
      </c>
      <c r="B300" s="12" t="s">
        <v>223</v>
      </c>
      <c r="C300" s="13">
        <v>45938</v>
      </c>
      <c r="D300" s="12" t="s">
        <v>350</v>
      </c>
      <c r="E300" s="14" t="s">
        <v>329</v>
      </c>
      <c r="F300" s="12" t="s">
        <v>341</v>
      </c>
      <c r="G300" s="2">
        <v>2</v>
      </c>
      <c r="H300" s="3">
        <v>218</v>
      </c>
      <c r="I300" s="14" t="s">
        <v>335</v>
      </c>
      <c r="J300" s="12" t="s">
        <v>639</v>
      </c>
      <c r="K300" s="2">
        <v>0</v>
      </c>
      <c r="L300" s="12" t="s">
        <v>352</v>
      </c>
      <c r="M300">
        <f>YEAR(VentesMagasins!$C300)</f>
        <v>2025</v>
      </c>
      <c r="N300" t="e" cm="1" vm="1">
        <f t="array" aca="1" ref="N300" ca="1">MONTH(DateVente)</f>
        <v>#VALUE!</v>
      </c>
      <c r="O300" t="str">
        <f>PROPER(VentesMagasins!$F300)</f>
        <v>Meuble</v>
      </c>
      <c r="P300">
        <f>VALUE(CLEAN(TRIM(SUBSTITUTE(VentesMagasins!$I300,".",","))))</f>
        <v>0</v>
      </c>
      <c r="Q300">
        <f>VALUE(TRIM(SUBSTITUTE(VentesMagasins!$J300,".",",")))</f>
        <v>436</v>
      </c>
      <c r="R300">
        <f t="shared" si="12"/>
        <v>436</v>
      </c>
      <c r="S300">
        <f>IF(VentesMagasins!$K300=1,(-1)*R300,R300)</f>
        <v>436</v>
      </c>
      <c r="T300">
        <f>IFERROR(VALUE(TRIM(SUBSTITUTE(VentesMagasins!$L300,".",","))),0)</f>
        <v>0</v>
      </c>
      <c r="U300">
        <f t="shared" si="13"/>
        <v>3</v>
      </c>
      <c r="V300" t="str">
        <f t="shared" si="14"/>
        <v>moyenne</v>
      </c>
      <c r="W300" t="str">
        <f>_xlfn.XLOOKUP(VentesMagasins!$B300,Clients!ClientID,Région)</f>
        <v>Nord</v>
      </c>
      <c r="X300" t="str">
        <f>INDEX(TypeClient,MATCH(VentesMagasins!$B300,Clients!ClientID))</f>
        <v>Fidèle</v>
      </c>
      <c r="Y300" t="str">
        <v>oct</v>
      </c>
    </row>
    <row r="301" spans="1:25" x14ac:dyDescent="0.25">
      <c r="A301" s="2">
        <v>300</v>
      </c>
      <c r="B301" s="12" t="s">
        <v>127</v>
      </c>
      <c r="C301" s="13">
        <v>45586</v>
      </c>
      <c r="D301" s="12" t="s">
        <v>360</v>
      </c>
      <c r="E301" s="14" t="s">
        <v>339</v>
      </c>
      <c r="F301" s="12" t="s">
        <v>330</v>
      </c>
      <c r="G301" s="2">
        <v>5</v>
      </c>
      <c r="H301" s="3">
        <v>144</v>
      </c>
      <c r="I301" s="14" t="s">
        <v>355</v>
      </c>
      <c r="J301" s="12" t="s">
        <v>504</v>
      </c>
      <c r="K301" s="2">
        <v>0</v>
      </c>
      <c r="L301" s="12" t="s">
        <v>369</v>
      </c>
      <c r="M301">
        <f>YEAR(VentesMagasins!$C301)</f>
        <v>2024</v>
      </c>
      <c r="N301" t="e" cm="1" vm="1">
        <f t="array" aca="1" ref="N301" ca="1">MONTH(DateVente)</f>
        <v>#VALUE!</v>
      </c>
      <c r="O301" t="str">
        <f>PROPER(VentesMagasins!$F301)</f>
        <v>Décoration</v>
      </c>
      <c r="P301">
        <f>VALUE(CLEAN(TRIM(SUBSTITUTE(VentesMagasins!$I301,".",","))))</f>
        <v>0.1</v>
      </c>
      <c r="Q301">
        <f>VALUE(TRIM(SUBSTITUTE(VentesMagasins!$J301,".",",")))</f>
        <v>648</v>
      </c>
      <c r="R301">
        <f t="shared" si="12"/>
        <v>583.20000000000005</v>
      </c>
      <c r="S301">
        <f>IF(VentesMagasins!$K301=1,(-1)*R301,R301)</f>
        <v>583.20000000000005</v>
      </c>
      <c r="T301">
        <f>IFERROR(VALUE(TRIM(SUBSTITUTE(VentesMagasins!$L301,".",","))),0)</f>
        <v>1</v>
      </c>
      <c r="U301">
        <f t="shared" si="13"/>
        <v>1</v>
      </c>
      <c r="V301" t="str">
        <f t="shared" si="14"/>
        <v>faible</v>
      </c>
      <c r="W301" t="str">
        <f>_xlfn.XLOOKUP(VentesMagasins!$B301,Clients!ClientID,Région)</f>
        <v>Ouest</v>
      </c>
      <c r="X301" t="str">
        <f>INDEX(TypeClient,MATCH(VentesMagasins!$B301,Clients!ClientID))</f>
        <v>Fidèle</v>
      </c>
      <c r="Y301" t="str">
        <v>oct</v>
      </c>
    </row>
    <row r="302" spans="1:25" x14ac:dyDescent="0.25">
      <c r="A302" s="2">
        <v>301</v>
      </c>
      <c r="B302" s="12" t="s">
        <v>223</v>
      </c>
      <c r="C302" s="13">
        <v>45522</v>
      </c>
      <c r="D302" s="12" t="s">
        <v>449</v>
      </c>
      <c r="E302" s="14" t="s">
        <v>362</v>
      </c>
      <c r="F302" s="12" t="s">
        <v>341</v>
      </c>
      <c r="G302" s="2">
        <v>5</v>
      </c>
      <c r="H302" s="3">
        <v>27</v>
      </c>
      <c r="I302" s="14" t="s">
        <v>342</v>
      </c>
      <c r="J302" s="12" t="s">
        <v>493</v>
      </c>
      <c r="K302" s="2">
        <v>0</v>
      </c>
      <c r="L302" s="12" t="s">
        <v>344</v>
      </c>
      <c r="M302">
        <f>YEAR(VentesMagasins!$C302)</f>
        <v>2024</v>
      </c>
      <c r="N302" t="e" cm="1" vm="1">
        <f t="array" aca="1" ref="N302" ca="1">MONTH(DateVente)</f>
        <v>#VALUE!</v>
      </c>
      <c r="O302" t="str">
        <f>PROPER(VentesMagasins!$F302)</f>
        <v>Meuble</v>
      </c>
      <c r="P302">
        <f>VALUE(CLEAN(TRIM(SUBSTITUTE(VentesMagasins!$I302,".",","))))</f>
        <v>0.05</v>
      </c>
      <c r="Q302">
        <f>VALUE(TRIM(SUBSTITUTE(VentesMagasins!$J302,".",",")))</f>
        <v>128.25</v>
      </c>
      <c r="R302">
        <f t="shared" si="12"/>
        <v>121.83749999999999</v>
      </c>
      <c r="S302">
        <f>IF(VentesMagasins!$K302=1,(-1)*R302,R302)</f>
        <v>121.83749999999999</v>
      </c>
      <c r="T302">
        <f>IFERROR(VALUE(TRIM(SUBSTITUTE(VentesMagasins!$L302,".",","))),0)</f>
        <v>2</v>
      </c>
      <c r="U302">
        <f t="shared" si="13"/>
        <v>2</v>
      </c>
      <c r="V302" t="str">
        <f t="shared" si="14"/>
        <v>faible</v>
      </c>
      <c r="W302" t="str">
        <f>_xlfn.XLOOKUP(VentesMagasins!$B302,Clients!ClientID,Région)</f>
        <v>Nord</v>
      </c>
      <c r="X302" t="str">
        <f>INDEX(TypeClient,MATCH(VentesMagasins!$B302,Clients!ClientID))</f>
        <v>Fidèle</v>
      </c>
      <c r="Y302" t="str">
        <v>août</v>
      </c>
    </row>
    <row r="303" spans="1:25" x14ac:dyDescent="0.25">
      <c r="A303" s="2">
        <v>302</v>
      </c>
      <c r="B303" s="12" t="s">
        <v>170</v>
      </c>
      <c r="C303" s="13">
        <v>45722</v>
      </c>
      <c r="D303" s="12" t="s">
        <v>322</v>
      </c>
      <c r="E303" s="14" t="s">
        <v>339</v>
      </c>
      <c r="F303" s="12" t="s">
        <v>324</v>
      </c>
      <c r="G303" s="2">
        <v>5</v>
      </c>
      <c r="H303" s="3">
        <v>188</v>
      </c>
      <c r="I303" s="14" t="s">
        <v>335</v>
      </c>
      <c r="J303" s="12" t="s">
        <v>640</v>
      </c>
      <c r="K303" s="2">
        <v>0</v>
      </c>
      <c r="L303" s="12" t="s">
        <v>327</v>
      </c>
      <c r="M303">
        <f>YEAR(VentesMagasins!$C303)</f>
        <v>2025</v>
      </c>
      <c r="N303" t="e" cm="1" vm="1">
        <f t="array" aca="1" ref="N303" ca="1">MONTH(DateVente)</f>
        <v>#VALUE!</v>
      </c>
      <c r="O303" t="str">
        <f>PROPER(VentesMagasins!$F303)</f>
        <v>Électronique</v>
      </c>
      <c r="P303">
        <f>VALUE(CLEAN(TRIM(SUBSTITUTE(VentesMagasins!$I303,".",","))))</f>
        <v>0</v>
      </c>
      <c r="Q303">
        <f>VALUE(TRIM(SUBSTITUTE(VentesMagasins!$J303,".",",")))</f>
        <v>940</v>
      </c>
      <c r="R303">
        <f t="shared" si="12"/>
        <v>940</v>
      </c>
      <c r="S303">
        <f>IF(VentesMagasins!$K303=1,(-1)*R303,R303)</f>
        <v>940</v>
      </c>
      <c r="T303">
        <f>IFERROR(VALUE(TRIM(SUBSTITUTE(VentesMagasins!$L303,".",","))),0)</f>
        <v>5</v>
      </c>
      <c r="U303">
        <f t="shared" si="13"/>
        <v>5</v>
      </c>
      <c r="V303" t="str">
        <f t="shared" si="14"/>
        <v>élévé</v>
      </c>
      <c r="W303" t="str">
        <f>_xlfn.XLOOKUP(VentesMagasins!$B303,Clients!ClientID,Région)</f>
        <v>Sud</v>
      </c>
      <c r="X303" t="str">
        <f>INDEX(TypeClient,MATCH(VentesMagasins!$B303,Clients!ClientID))</f>
        <v>Fidèle</v>
      </c>
      <c r="Y303" t="str">
        <v>mars</v>
      </c>
    </row>
    <row r="304" spans="1:25" x14ac:dyDescent="0.25">
      <c r="A304" s="2">
        <v>303</v>
      </c>
      <c r="B304" s="12" t="s">
        <v>49</v>
      </c>
      <c r="C304" s="13">
        <v>45517</v>
      </c>
      <c r="D304" s="12" t="s">
        <v>333</v>
      </c>
      <c r="E304" s="14" t="s">
        <v>364</v>
      </c>
      <c r="F304" s="12" t="s">
        <v>341</v>
      </c>
      <c r="G304" s="2">
        <v>3</v>
      </c>
      <c r="H304" s="3">
        <v>437</v>
      </c>
      <c r="I304" s="14" t="s">
        <v>335</v>
      </c>
      <c r="J304" s="12" t="s">
        <v>641</v>
      </c>
      <c r="K304" s="2">
        <v>0</v>
      </c>
      <c r="L304" s="12" t="s">
        <v>344</v>
      </c>
      <c r="M304">
        <f>YEAR(VentesMagasins!$C304)</f>
        <v>2024</v>
      </c>
      <c r="N304" t="e" cm="1" vm="1">
        <f t="array" aca="1" ref="N304" ca="1">MONTH(DateVente)</f>
        <v>#VALUE!</v>
      </c>
      <c r="O304" t="str">
        <f>PROPER(VentesMagasins!$F304)</f>
        <v>Meuble</v>
      </c>
      <c r="P304">
        <f>VALUE(CLEAN(TRIM(SUBSTITUTE(VentesMagasins!$I304,".",","))))</f>
        <v>0</v>
      </c>
      <c r="Q304">
        <f>VALUE(TRIM(SUBSTITUTE(VentesMagasins!$J304,".",",")))</f>
        <v>1311</v>
      </c>
      <c r="R304">
        <f t="shared" si="12"/>
        <v>1311</v>
      </c>
      <c r="S304">
        <f>IF(VentesMagasins!$K304=1,(-1)*R304,R304)</f>
        <v>1311</v>
      </c>
      <c r="T304">
        <f>IFERROR(VALUE(TRIM(SUBSTITUTE(VentesMagasins!$L304,".",","))),0)</f>
        <v>2</v>
      </c>
      <c r="U304">
        <f t="shared" si="13"/>
        <v>2</v>
      </c>
      <c r="V304" t="str">
        <f t="shared" si="14"/>
        <v>faible</v>
      </c>
      <c r="W304" t="str">
        <f>_xlfn.XLOOKUP(VentesMagasins!$B304,Clients!ClientID,Région)</f>
        <v>Nord</v>
      </c>
      <c r="X304" t="str">
        <f>INDEX(TypeClient,MATCH(VentesMagasins!$B304,Clients!ClientID))</f>
        <v>Nouveau</v>
      </c>
      <c r="Y304" t="str">
        <v>août</v>
      </c>
    </row>
    <row r="305" spans="1:25" x14ac:dyDescent="0.25">
      <c r="A305" s="2">
        <v>304</v>
      </c>
      <c r="B305" s="12" t="s">
        <v>47</v>
      </c>
      <c r="C305" s="13">
        <v>45090</v>
      </c>
      <c r="D305" s="12" t="s">
        <v>333</v>
      </c>
      <c r="E305" s="14" t="s">
        <v>362</v>
      </c>
      <c r="F305" s="12" t="s">
        <v>330</v>
      </c>
      <c r="G305" s="2">
        <v>3</v>
      </c>
      <c r="H305" s="3">
        <v>377</v>
      </c>
      <c r="I305" s="14" t="s">
        <v>325</v>
      </c>
      <c r="J305" s="12" t="s">
        <v>642</v>
      </c>
      <c r="K305" s="2">
        <v>0</v>
      </c>
      <c r="L305" s="12" t="s">
        <v>344</v>
      </c>
      <c r="M305">
        <f>YEAR(VentesMagasins!$C305)</f>
        <v>2023</v>
      </c>
      <c r="N305" t="e" cm="1" vm="1">
        <f t="array" aca="1" ref="N305" ca="1">MONTH(DateVente)</f>
        <v>#VALUE!</v>
      </c>
      <c r="O305" t="str">
        <f>PROPER(VentesMagasins!$F305)</f>
        <v>Décoration</v>
      </c>
      <c r="P305">
        <f>VALUE(CLEAN(TRIM(SUBSTITUTE(VentesMagasins!$I305,".",","))))</f>
        <v>0.15</v>
      </c>
      <c r="Q305">
        <f>VALUE(TRIM(SUBSTITUTE(VentesMagasins!$J305,".",",")))</f>
        <v>961.35</v>
      </c>
      <c r="R305">
        <f t="shared" si="12"/>
        <v>817.14750000000004</v>
      </c>
      <c r="S305">
        <f>IF(VentesMagasins!$K305=1,(-1)*R305,R305)</f>
        <v>817.14750000000004</v>
      </c>
      <c r="T305">
        <f>IFERROR(VALUE(TRIM(SUBSTITUTE(VentesMagasins!$L305,".",","))),0)</f>
        <v>2</v>
      </c>
      <c r="U305">
        <f t="shared" si="13"/>
        <v>2</v>
      </c>
      <c r="V305" t="str">
        <f t="shared" si="14"/>
        <v>faible</v>
      </c>
      <c r="W305" t="str">
        <f>_xlfn.XLOOKUP(VentesMagasins!$B305,Clients!ClientID,Région)</f>
        <v>Centre</v>
      </c>
      <c r="X305" t="str">
        <f>INDEX(TypeClient,MATCH(VentesMagasins!$B305,Clients!ClientID))</f>
        <v>Fidèle</v>
      </c>
      <c r="Y305" t="str">
        <v>juin</v>
      </c>
    </row>
    <row r="306" spans="1:25" x14ac:dyDescent="0.25">
      <c r="A306" s="2">
        <v>305</v>
      </c>
      <c r="B306" s="12" t="s">
        <v>271</v>
      </c>
      <c r="C306" s="13">
        <v>45739</v>
      </c>
      <c r="D306" s="12" t="s">
        <v>338</v>
      </c>
      <c r="E306" s="14" t="s">
        <v>348</v>
      </c>
      <c r="F306" s="12" t="s">
        <v>330</v>
      </c>
      <c r="G306" s="2">
        <v>2</v>
      </c>
      <c r="H306" s="3">
        <v>378</v>
      </c>
      <c r="I306" s="14" t="s">
        <v>335</v>
      </c>
      <c r="J306" s="12" t="s">
        <v>643</v>
      </c>
      <c r="K306" s="2">
        <v>0</v>
      </c>
      <c r="L306" s="12" t="s">
        <v>337</v>
      </c>
      <c r="M306">
        <f>YEAR(VentesMagasins!$C306)</f>
        <v>2025</v>
      </c>
      <c r="N306" t="e" cm="1" vm="1">
        <f t="array" aca="1" ref="N306" ca="1">MONTH(DateVente)</f>
        <v>#VALUE!</v>
      </c>
      <c r="O306" t="str">
        <f>PROPER(VentesMagasins!$F306)</f>
        <v>Décoration</v>
      </c>
      <c r="P306">
        <f>VALUE(CLEAN(TRIM(SUBSTITUTE(VentesMagasins!$I306,".",","))))</f>
        <v>0</v>
      </c>
      <c r="Q306">
        <f>VALUE(TRIM(SUBSTITUTE(VentesMagasins!$J306,".",",")))</f>
        <v>756</v>
      </c>
      <c r="R306">
        <f t="shared" si="12"/>
        <v>756</v>
      </c>
      <c r="S306">
        <f>IF(VentesMagasins!$K306=1,(-1)*R306,R306)</f>
        <v>756</v>
      </c>
      <c r="T306">
        <f>IFERROR(VALUE(TRIM(SUBSTITUTE(VentesMagasins!$L306,".",","))),0)</f>
        <v>3</v>
      </c>
      <c r="U306">
        <f t="shared" si="13"/>
        <v>3</v>
      </c>
      <c r="V306" t="str">
        <f t="shared" si="14"/>
        <v>moyenne</v>
      </c>
      <c r="W306" t="str">
        <f>_xlfn.XLOOKUP(VentesMagasins!$B306,Clients!ClientID,Région)</f>
        <v>Centre</v>
      </c>
      <c r="X306" t="str">
        <f>INDEX(TypeClient,MATCH(VentesMagasins!$B306,Clients!ClientID))</f>
        <v>Occasionnel</v>
      </c>
      <c r="Y306" t="str">
        <v>mars</v>
      </c>
    </row>
    <row r="307" spans="1:25" x14ac:dyDescent="0.25">
      <c r="A307" s="2">
        <v>306</v>
      </c>
      <c r="B307" s="12" t="s">
        <v>93</v>
      </c>
      <c r="C307" s="13">
        <v>44944</v>
      </c>
      <c r="D307" s="12" t="s">
        <v>350</v>
      </c>
      <c r="E307" s="14" t="s">
        <v>348</v>
      </c>
      <c r="F307" s="12" t="s">
        <v>330</v>
      </c>
      <c r="G307" s="2">
        <v>5</v>
      </c>
      <c r="H307" s="3">
        <v>384</v>
      </c>
      <c r="I307" s="14" t="s">
        <v>335</v>
      </c>
      <c r="J307" s="12" t="s">
        <v>644</v>
      </c>
      <c r="K307" s="2">
        <v>0</v>
      </c>
      <c r="L307" s="12" t="s">
        <v>369</v>
      </c>
      <c r="M307">
        <f>YEAR(VentesMagasins!$C307)</f>
        <v>2023</v>
      </c>
      <c r="N307" t="e" cm="1" vm="1">
        <f t="array" aca="1" ref="N307" ca="1">MONTH(DateVente)</f>
        <v>#VALUE!</v>
      </c>
      <c r="O307" t="str">
        <f>PROPER(VentesMagasins!$F307)</f>
        <v>Décoration</v>
      </c>
      <c r="P307">
        <f>VALUE(CLEAN(TRIM(SUBSTITUTE(VentesMagasins!$I307,".",","))))</f>
        <v>0</v>
      </c>
      <c r="Q307">
        <f>VALUE(TRIM(SUBSTITUTE(VentesMagasins!$J307,".",",")))</f>
        <v>1920</v>
      </c>
      <c r="R307">
        <f t="shared" si="12"/>
        <v>1920</v>
      </c>
      <c r="S307">
        <f>IF(VentesMagasins!$K307=1,(-1)*R307,R307)</f>
        <v>1920</v>
      </c>
      <c r="T307">
        <f>IFERROR(VALUE(TRIM(SUBSTITUTE(VentesMagasins!$L307,".",","))),0)</f>
        <v>1</v>
      </c>
      <c r="U307">
        <f t="shared" si="13"/>
        <v>1</v>
      </c>
      <c r="V307" t="str">
        <f t="shared" si="14"/>
        <v>faible</v>
      </c>
      <c r="W307" t="str">
        <f>_xlfn.XLOOKUP(VentesMagasins!$B307,Clients!ClientID,Région)</f>
        <v>Est</v>
      </c>
      <c r="X307" t="str">
        <f>INDEX(TypeClient,MATCH(VentesMagasins!$B307,Clients!ClientID))</f>
        <v>Nouveau</v>
      </c>
      <c r="Y307" t="str">
        <v>janv</v>
      </c>
    </row>
    <row r="308" spans="1:25" x14ac:dyDescent="0.25">
      <c r="A308" s="2">
        <v>307</v>
      </c>
      <c r="B308" s="12" t="s">
        <v>157</v>
      </c>
      <c r="C308" s="13">
        <v>45582</v>
      </c>
      <c r="D308" s="12" t="s">
        <v>338</v>
      </c>
      <c r="E308" s="14" t="s">
        <v>323</v>
      </c>
      <c r="F308" s="12" t="s">
        <v>341</v>
      </c>
      <c r="G308" s="2">
        <v>3</v>
      </c>
      <c r="H308" s="3">
        <v>293</v>
      </c>
      <c r="I308" s="14" t="s">
        <v>335</v>
      </c>
      <c r="J308" s="12" t="s">
        <v>645</v>
      </c>
      <c r="K308" s="2">
        <v>0</v>
      </c>
      <c r="L308" s="12" t="s">
        <v>344</v>
      </c>
      <c r="M308">
        <f>YEAR(VentesMagasins!$C308)</f>
        <v>2024</v>
      </c>
      <c r="N308" t="e" cm="1" vm="1">
        <f t="array" aca="1" ref="N308" ca="1">MONTH(DateVente)</f>
        <v>#VALUE!</v>
      </c>
      <c r="O308" t="str">
        <f>PROPER(VentesMagasins!$F308)</f>
        <v>Meuble</v>
      </c>
      <c r="P308">
        <f>VALUE(CLEAN(TRIM(SUBSTITUTE(VentesMagasins!$I308,".",","))))</f>
        <v>0</v>
      </c>
      <c r="Q308">
        <f>VALUE(TRIM(SUBSTITUTE(VentesMagasins!$J308,".",",")))</f>
        <v>879</v>
      </c>
      <c r="R308">
        <f t="shared" si="12"/>
        <v>879</v>
      </c>
      <c r="S308">
        <f>IF(VentesMagasins!$K308=1,(-1)*R308,R308)</f>
        <v>879</v>
      </c>
      <c r="T308">
        <f>IFERROR(VALUE(TRIM(SUBSTITUTE(VentesMagasins!$L308,".",","))),0)</f>
        <v>2</v>
      </c>
      <c r="U308">
        <f t="shared" si="13"/>
        <v>2</v>
      </c>
      <c r="V308" t="str">
        <f t="shared" si="14"/>
        <v>faible</v>
      </c>
      <c r="W308" t="str">
        <f>_xlfn.XLOOKUP(VentesMagasins!$B308,Clients!ClientID,Région)</f>
        <v>Nord</v>
      </c>
      <c r="X308" t="str">
        <f>INDEX(TypeClient,MATCH(VentesMagasins!$B308,Clients!ClientID))</f>
        <v>Occasionnel</v>
      </c>
      <c r="Y308" t="str">
        <v>oct</v>
      </c>
    </row>
    <row r="309" spans="1:25" x14ac:dyDescent="0.25">
      <c r="A309" s="2">
        <v>308</v>
      </c>
      <c r="B309" s="12" t="s">
        <v>131</v>
      </c>
      <c r="C309" s="13">
        <v>45032</v>
      </c>
      <c r="D309" s="12" t="s">
        <v>322</v>
      </c>
      <c r="E309" s="14" t="s">
        <v>362</v>
      </c>
      <c r="F309" s="12" t="s">
        <v>341</v>
      </c>
      <c r="G309" s="2">
        <v>1</v>
      </c>
      <c r="H309" s="3">
        <v>442</v>
      </c>
      <c r="I309" s="14" t="s">
        <v>355</v>
      </c>
      <c r="J309" s="12" t="s">
        <v>646</v>
      </c>
      <c r="K309" s="2">
        <v>1</v>
      </c>
      <c r="L309" s="12" t="s">
        <v>369</v>
      </c>
      <c r="M309">
        <f>YEAR(VentesMagasins!$C309)</f>
        <v>2023</v>
      </c>
      <c r="N309" t="e" cm="1" vm="1">
        <f t="array" aca="1" ref="N309" ca="1">MONTH(DateVente)</f>
        <v>#VALUE!</v>
      </c>
      <c r="O309" t="str">
        <f>PROPER(VentesMagasins!$F309)</f>
        <v>Meuble</v>
      </c>
      <c r="P309">
        <f>VALUE(CLEAN(TRIM(SUBSTITUTE(VentesMagasins!$I309,".",","))))</f>
        <v>0.1</v>
      </c>
      <c r="Q309">
        <f>VALUE(TRIM(SUBSTITUTE(VentesMagasins!$J309,".",",")))</f>
        <v>397.8</v>
      </c>
      <c r="R309">
        <f t="shared" si="12"/>
        <v>358.02000000000004</v>
      </c>
      <c r="S309">
        <f>IF(VentesMagasins!$K309=1,(-1)*R309,R309)</f>
        <v>-358.02000000000004</v>
      </c>
      <c r="T309">
        <f>IFERROR(VALUE(TRIM(SUBSTITUTE(VentesMagasins!$L309,".",","))),0)</f>
        <v>1</v>
      </c>
      <c r="U309">
        <f t="shared" si="13"/>
        <v>1</v>
      </c>
      <c r="V309" t="str">
        <f t="shared" si="14"/>
        <v>faible</v>
      </c>
      <c r="W309" t="str">
        <f>_xlfn.XLOOKUP(VentesMagasins!$B309,Clients!ClientID,Région)</f>
        <v>Sud</v>
      </c>
      <c r="X309" t="str">
        <f>INDEX(TypeClient,MATCH(VentesMagasins!$B309,Clients!ClientID))</f>
        <v>Nouveau</v>
      </c>
      <c r="Y309" t="str">
        <v>avr</v>
      </c>
    </row>
    <row r="310" spans="1:25" x14ac:dyDescent="0.25">
      <c r="A310" s="2">
        <v>309</v>
      </c>
      <c r="B310" s="12" t="s">
        <v>299</v>
      </c>
      <c r="C310" s="13">
        <v>45512</v>
      </c>
      <c r="D310" s="12" t="s">
        <v>328</v>
      </c>
      <c r="E310" s="14" t="s">
        <v>362</v>
      </c>
      <c r="F310" s="12" t="s">
        <v>330</v>
      </c>
      <c r="G310" s="2">
        <v>1</v>
      </c>
      <c r="H310" s="3">
        <v>349</v>
      </c>
      <c r="I310" s="14" t="s">
        <v>325</v>
      </c>
      <c r="J310" s="12" t="s">
        <v>647</v>
      </c>
      <c r="K310" s="2">
        <v>0</v>
      </c>
      <c r="L310" s="12" t="s">
        <v>369</v>
      </c>
      <c r="M310">
        <f>YEAR(VentesMagasins!$C310)</f>
        <v>2024</v>
      </c>
      <c r="N310" t="e" cm="1" vm="1">
        <f t="array" aca="1" ref="N310" ca="1">MONTH(DateVente)</f>
        <v>#VALUE!</v>
      </c>
      <c r="O310" t="str">
        <f>PROPER(VentesMagasins!$F310)</f>
        <v>Décoration</v>
      </c>
      <c r="P310">
        <f>VALUE(CLEAN(TRIM(SUBSTITUTE(VentesMagasins!$I310,".",","))))</f>
        <v>0.15</v>
      </c>
      <c r="Q310">
        <f>VALUE(TRIM(SUBSTITUTE(VentesMagasins!$J310,".",",")))</f>
        <v>296.64999999999998</v>
      </c>
      <c r="R310">
        <f t="shared" si="12"/>
        <v>252.15249999999997</v>
      </c>
      <c r="S310">
        <f>IF(VentesMagasins!$K310=1,(-1)*R310,R310)</f>
        <v>252.15249999999997</v>
      </c>
      <c r="T310">
        <f>IFERROR(VALUE(TRIM(SUBSTITUTE(VentesMagasins!$L310,".",","))),0)</f>
        <v>1</v>
      </c>
      <c r="U310">
        <f t="shared" si="13"/>
        <v>1</v>
      </c>
      <c r="V310" t="str">
        <f t="shared" si="14"/>
        <v>faible</v>
      </c>
      <c r="W310" t="str">
        <f>_xlfn.XLOOKUP(VentesMagasins!$B310,Clients!ClientID,Région)</f>
        <v>Nord</v>
      </c>
      <c r="X310" t="str">
        <f>INDEX(TypeClient,MATCH(VentesMagasins!$B310,Clients!ClientID))</f>
        <v>Occasionnel</v>
      </c>
      <c r="Y310" t="str">
        <v>août</v>
      </c>
    </row>
    <row r="311" spans="1:25" x14ac:dyDescent="0.25">
      <c r="A311" s="2">
        <v>310</v>
      </c>
      <c r="B311" s="12" t="s">
        <v>177</v>
      </c>
      <c r="C311" s="13">
        <v>45156</v>
      </c>
      <c r="D311" s="12" t="s">
        <v>449</v>
      </c>
      <c r="E311" s="14" t="s">
        <v>362</v>
      </c>
      <c r="F311" s="12" t="s">
        <v>324</v>
      </c>
      <c r="G311" s="2">
        <v>1</v>
      </c>
      <c r="H311" s="3">
        <v>105</v>
      </c>
      <c r="I311" s="14" t="s">
        <v>342</v>
      </c>
      <c r="J311" s="12" t="s">
        <v>648</v>
      </c>
      <c r="K311" s="2">
        <v>0</v>
      </c>
      <c r="L311" s="12" t="s">
        <v>327</v>
      </c>
      <c r="M311">
        <f>YEAR(VentesMagasins!$C311)</f>
        <v>2023</v>
      </c>
      <c r="N311" t="e" cm="1" vm="1">
        <f t="array" aca="1" ref="N311" ca="1">MONTH(DateVente)</f>
        <v>#VALUE!</v>
      </c>
      <c r="O311" t="str">
        <f>PROPER(VentesMagasins!$F311)</f>
        <v>Électronique</v>
      </c>
      <c r="P311">
        <f>VALUE(CLEAN(TRIM(SUBSTITUTE(VentesMagasins!$I311,".",","))))</f>
        <v>0.05</v>
      </c>
      <c r="Q311">
        <f>VALUE(TRIM(SUBSTITUTE(VentesMagasins!$J311,".",",")))</f>
        <v>89.775000000000006</v>
      </c>
      <c r="R311">
        <f t="shared" si="12"/>
        <v>85.286249999999995</v>
      </c>
      <c r="S311">
        <f>IF(VentesMagasins!$K311=1,(-1)*R311,R311)</f>
        <v>85.286249999999995</v>
      </c>
      <c r="T311">
        <f>IFERROR(VALUE(TRIM(SUBSTITUTE(VentesMagasins!$L311,".",","))),0)</f>
        <v>5</v>
      </c>
      <c r="U311">
        <f t="shared" si="13"/>
        <v>5</v>
      </c>
      <c r="V311" t="str">
        <f t="shared" si="14"/>
        <v>élévé</v>
      </c>
      <c r="W311" t="str">
        <f>_xlfn.XLOOKUP(VentesMagasins!$B311,Clients!ClientID,Région)</f>
        <v>Est</v>
      </c>
      <c r="X311" t="str">
        <f>INDEX(TypeClient,MATCH(VentesMagasins!$B311,Clients!ClientID))</f>
        <v>Nouveau</v>
      </c>
      <c r="Y311" t="str">
        <v>août</v>
      </c>
    </row>
    <row r="312" spans="1:25" x14ac:dyDescent="0.25">
      <c r="A312" s="2">
        <v>311</v>
      </c>
      <c r="B312" s="12" t="s">
        <v>171</v>
      </c>
      <c r="C312" s="13">
        <v>45166</v>
      </c>
      <c r="D312" s="12" t="s">
        <v>322</v>
      </c>
      <c r="E312" s="14" t="s">
        <v>348</v>
      </c>
      <c r="F312" s="12" t="s">
        <v>330</v>
      </c>
      <c r="G312" s="2">
        <v>2</v>
      </c>
      <c r="H312" s="3">
        <v>83</v>
      </c>
      <c r="I312" s="14" t="s">
        <v>342</v>
      </c>
      <c r="J312" s="12" t="s">
        <v>649</v>
      </c>
      <c r="K312" s="2">
        <v>0</v>
      </c>
      <c r="L312" s="12" t="s">
        <v>332</v>
      </c>
      <c r="M312">
        <f>YEAR(VentesMagasins!$C312)</f>
        <v>2023</v>
      </c>
      <c r="N312" t="e" cm="1" vm="1">
        <f t="array" aca="1" ref="N312" ca="1">MONTH(DateVente)</f>
        <v>#VALUE!</v>
      </c>
      <c r="O312" t="str">
        <f>PROPER(VentesMagasins!$F312)</f>
        <v>Décoration</v>
      </c>
      <c r="P312">
        <f>VALUE(CLEAN(TRIM(SUBSTITUTE(VentesMagasins!$I312,".",","))))</f>
        <v>0.05</v>
      </c>
      <c r="Q312">
        <f>VALUE(TRIM(SUBSTITUTE(VentesMagasins!$J312,".",",")))</f>
        <v>157.69999999999999</v>
      </c>
      <c r="R312">
        <f t="shared" si="12"/>
        <v>149.81499999999997</v>
      </c>
      <c r="S312">
        <f>IF(VentesMagasins!$K312=1,(-1)*R312,R312)</f>
        <v>149.81499999999997</v>
      </c>
      <c r="T312">
        <f>IFERROR(VALUE(TRIM(SUBSTITUTE(VentesMagasins!$L312,".",","))),0)</f>
        <v>4</v>
      </c>
      <c r="U312">
        <f t="shared" si="13"/>
        <v>4</v>
      </c>
      <c r="V312" t="str">
        <f t="shared" si="14"/>
        <v>moyenne</v>
      </c>
      <c r="W312" t="str">
        <f>_xlfn.XLOOKUP(VentesMagasins!$B312,Clients!ClientID,Région)</f>
        <v>Nord</v>
      </c>
      <c r="X312" t="str">
        <f>INDEX(TypeClient,MATCH(VentesMagasins!$B312,Clients!ClientID))</f>
        <v>Fidèle</v>
      </c>
      <c r="Y312" t="str">
        <v>août</v>
      </c>
    </row>
    <row r="313" spans="1:25" x14ac:dyDescent="0.25">
      <c r="A313" s="2">
        <v>312</v>
      </c>
      <c r="B313" s="12" t="s">
        <v>90</v>
      </c>
      <c r="C313" s="13">
        <v>45855</v>
      </c>
      <c r="D313" s="12" t="s">
        <v>328</v>
      </c>
      <c r="E313" s="14" t="s">
        <v>348</v>
      </c>
      <c r="F313" s="12" t="s">
        <v>341</v>
      </c>
      <c r="G313" s="2">
        <v>4</v>
      </c>
      <c r="H313" s="3">
        <v>170</v>
      </c>
      <c r="I313" s="14" t="s">
        <v>355</v>
      </c>
      <c r="J313" s="12" t="s">
        <v>538</v>
      </c>
      <c r="K313" s="2">
        <v>0</v>
      </c>
      <c r="L313" s="12" t="s">
        <v>337</v>
      </c>
      <c r="M313">
        <f>YEAR(VentesMagasins!$C313)</f>
        <v>2025</v>
      </c>
      <c r="N313" t="e" cm="1" vm="1">
        <f t="array" aca="1" ref="N313" ca="1">MONTH(DateVente)</f>
        <v>#VALUE!</v>
      </c>
      <c r="O313" t="str">
        <f>PROPER(VentesMagasins!$F313)</f>
        <v>Meuble</v>
      </c>
      <c r="P313">
        <f>VALUE(CLEAN(TRIM(SUBSTITUTE(VentesMagasins!$I313,".",","))))</f>
        <v>0.1</v>
      </c>
      <c r="Q313">
        <f>VALUE(TRIM(SUBSTITUTE(VentesMagasins!$J313,".",",")))</f>
        <v>612</v>
      </c>
      <c r="R313">
        <f t="shared" si="12"/>
        <v>550.80000000000007</v>
      </c>
      <c r="S313">
        <f>IF(VentesMagasins!$K313=1,(-1)*R313,R313)</f>
        <v>550.80000000000007</v>
      </c>
      <c r="T313">
        <f>IFERROR(VALUE(TRIM(SUBSTITUTE(VentesMagasins!$L313,".",","))),0)</f>
        <v>3</v>
      </c>
      <c r="U313">
        <f t="shared" si="13"/>
        <v>3</v>
      </c>
      <c r="V313" t="str">
        <f t="shared" si="14"/>
        <v>moyenne</v>
      </c>
      <c r="W313" t="str">
        <f>_xlfn.XLOOKUP(VentesMagasins!$B313,Clients!ClientID,Région)</f>
        <v>Est</v>
      </c>
      <c r="X313" t="str">
        <f>INDEX(TypeClient,MATCH(VentesMagasins!$B313,Clients!ClientID))</f>
        <v>Fidèle</v>
      </c>
      <c r="Y313" t="str">
        <v>juil</v>
      </c>
    </row>
    <row r="314" spans="1:25" x14ac:dyDescent="0.25">
      <c r="A314" s="2">
        <v>313</v>
      </c>
      <c r="B314" s="12" t="s">
        <v>297</v>
      </c>
      <c r="C314" s="13">
        <v>45424</v>
      </c>
      <c r="D314" s="12" t="s">
        <v>338</v>
      </c>
      <c r="E314" s="14" t="s">
        <v>334</v>
      </c>
      <c r="F314" s="12" t="s">
        <v>341</v>
      </c>
      <c r="G314" s="2">
        <v>3</v>
      </c>
      <c r="H314" s="3">
        <v>42</v>
      </c>
      <c r="I314" s="14" t="s">
        <v>342</v>
      </c>
      <c r="J314" s="12" t="s">
        <v>650</v>
      </c>
      <c r="K314" s="2">
        <v>0</v>
      </c>
      <c r="L314" s="12" t="s">
        <v>337</v>
      </c>
      <c r="M314">
        <f>YEAR(VentesMagasins!$C314)</f>
        <v>2024</v>
      </c>
      <c r="N314" t="e" cm="1" vm="1">
        <f t="array" aca="1" ref="N314" ca="1">MONTH(DateVente)</f>
        <v>#VALUE!</v>
      </c>
      <c r="O314" t="str">
        <f>PROPER(VentesMagasins!$F314)</f>
        <v>Meuble</v>
      </c>
      <c r="P314">
        <f>VALUE(CLEAN(TRIM(SUBSTITUTE(VentesMagasins!$I314,".",","))))</f>
        <v>0.05</v>
      </c>
      <c r="Q314">
        <f>VALUE(TRIM(SUBSTITUTE(VentesMagasins!$J314,".",",")))</f>
        <v>107.729999999999</v>
      </c>
      <c r="R314">
        <f t="shared" si="12"/>
        <v>102.34349999999904</v>
      </c>
      <c r="S314">
        <f>IF(VentesMagasins!$K314=1,(-1)*R314,R314)</f>
        <v>102.34349999999904</v>
      </c>
      <c r="T314">
        <f>IFERROR(VALUE(TRIM(SUBSTITUTE(VentesMagasins!$L314,".",","))),0)</f>
        <v>3</v>
      </c>
      <c r="U314">
        <f t="shared" si="13"/>
        <v>3</v>
      </c>
      <c r="V314" t="str">
        <f t="shared" si="14"/>
        <v>moyenne</v>
      </c>
      <c r="W314" t="str">
        <f>_xlfn.XLOOKUP(VentesMagasins!$B314,Clients!ClientID,Région)</f>
        <v>Nord</v>
      </c>
      <c r="X314" t="str">
        <f>INDEX(TypeClient,MATCH(VentesMagasins!$B314,Clients!ClientID))</f>
        <v>Occasionnel</v>
      </c>
      <c r="Y314" t="str">
        <v>mai</v>
      </c>
    </row>
    <row r="315" spans="1:25" x14ac:dyDescent="0.25">
      <c r="A315" s="2">
        <v>314</v>
      </c>
      <c r="B315" s="12" t="s">
        <v>134</v>
      </c>
      <c r="C315" s="13">
        <v>45162</v>
      </c>
      <c r="D315" s="12" t="s">
        <v>328</v>
      </c>
      <c r="E315" s="14" t="s">
        <v>339</v>
      </c>
      <c r="F315" s="12" t="s">
        <v>341</v>
      </c>
      <c r="G315" s="2">
        <v>2</v>
      </c>
      <c r="H315" s="3">
        <v>444</v>
      </c>
      <c r="I315" s="14" t="s">
        <v>325</v>
      </c>
      <c r="J315" s="12" t="s">
        <v>651</v>
      </c>
      <c r="K315" s="2">
        <v>0</v>
      </c>
      <c r="L315" s="12" t="s">
        <v>352</v>
      </c>
      <c r="M315">
        <f>YEAR(VentesMagasins!$C315)</f>
        <v>2023</v>
      </c>
      <c r="N315" t="e" cm="1" vm="1">
        <f t="array" aca="1" ref="N315" ca="1">MONTH(DateVente)</f>
        <v>#VALUE!</v>
      </c>
      <c r="O315" t="str">
        <f>PROPER(VentesMagasins!$F315)</f>
        <v>Meuble</v>
      </c>
      <c r="P315">
        <f>VALUE(CLEAN(TRIM(SUBSTITUTE(VentesMagasins!$I315,".",","))))</f>
        <v>0.15</v>
      </c>
      <c r="Q315">
        <f>VALUE(TRIM(SUBSTITUTE(VentesMagasins!$J315,".",",")))</f>
        <v>754.8</v>
      </c>
      <c r="R315">
        <f t="shared" si="12"/>
        <v>641.57999999999993</v>
      </c>
      <c r="S315">
        <f>IF(VentesMagasins!$K315=1,(-1)*R315,R315)</f>
        <v>641.57999999999993</v>
      </c>
      <c r="T315">
        <f>IFERROR(VALUE(TRIM(SUBSTITUTE(VentesMagasins!$L315,".",","))),0)</f>
        <v>0</v>
      </c>
      <c r="U315">
        <f t="shared" si="13"/>
        <v>3</v>
      </c>
      <c r="V315" t="str">
        <f t="shared" si="14"/>
        <v>moyenne</v>
      </c>
      <c r="W315" t="str">
        <f>_xlfn.XLOOKUP(VentesMagasins!$B315,Clients!ClientID,Région)</f>
        <v>Est</v>
      </c>
      <c r="X315" t="str">
        <f>INDEX(TypeClient,MATCH(VentesMagasins!$B315,Clients!ClientID))</f>
        <v>Nouveau</v>
      </c>
      <c r="Y315" t="str">
        <v>août</v>
      </c>
    </row>
    <row r="316" spans="1:25" x14ac:dyDescent="0.25">
      <c r="A316" s="2">
        <v>315</v>
      </c>
      <c r="B316" s="12" t="s">
        <v>176</v>
      </c>
      <c r="C316" s="13">
        <v>45849</v>
      </c>
      <c r="D316" s="12" t="s">
        <v>328</v>
      </c>
      <c r="E316" s="14" t="s">
        <v>334</v>
      </c>
      <c r="F316" s="12" t="s">
        <v>330</v>
      </c>
      <c r="G316" s="2">
        <v>4</v>
      </c>
      <c r="H316" s="3">
        <v>98</v>
      </c>
      <c r="I316" s="14" t="s">
        <v>355</v>
      </c>
      <c r="J316" s="12" t="s">
        <v>652</v>
      </c>
      <c r="K316" s="2">
        <v>0</v>
      </c>
      <c r="L316" s="12" t="s">
        <v>352</v>
      </c>
      <c r="M316">
        <f>YEAR(VentesMagasins!$C316)</f>
        <v>2025</v>
      </c>
      <c r="N316" t="e" cm="1" vm="1">
        <f t="array" aca="1" ref="N316" ca="1">MONTH(DateVente)</f>
        <v>#VALUE!</v>
      </c>
      <c r="O316" t="str">
        <f>PROPER(VentesMagasins!$F316)</f>
        <v>Décoration</v>
      </c>
      <c r="P316">
        <f>VALUE(CLEAN(TRIM(SUBSTITUTE(VentesMagasins!$I316,".",","))))</f>
        <v>0.1</v>
      </c>
      <c r="Q316">
        <f>VALUE(TRIM(SUBSTITUTE(VentesMagasins!$J316,".",",")))</f>
        <v>352.8</v>
      </c>
      <c r="R316">
        <f t="shared" si="12"/>
        <v>317.52000000000004</v>
      </c>
      <c r="S316">
        <f>IF(VentesMagasins!$K316=1,(-1)*R316,R316)</f>
        <v>317.52000000000004</v>
      </c>
      <c r="T316">
        <f>IFERROR(VALUE(TRIM(SUBSTITUTE(VentesMagasins!$L316,".",","))),0)</f>
        <v>0</v>
      </c>
      <c r="U316">
        <f t="shared" si="13"/>
        <v>3</v>
      </c>
      <c r="V316" t="str">
        <f t="shared" si="14"/>
        <v>moyenne</v>
      </c>
      <c r="W316" t="str">
        <f>_xlfn.XLOOKUP(VentesMagasins!$B316,Clients!ClientID,Région)</f>
        <v>Nord</v>
      </c>
      <c r="X316" t="str">
        <f>INDEX(TypeClient,MATCH(VentesMagasins!$B316,Clients!ClientID))</f>
        <v>Fidèle</v>
      </c>
      <c r="Y316" t="str">
        <v>juil</v>
      </c>
    </row>
    <row r="317" spans="1:25" x14ac:dyDescent="0.25">
      <c r="A317" s="2">
        <v>316</v>
      </c>
      <c r="B317" s="12" t="s">
        <v>199</v>
      </c>
      <c r="C317" s="13">
        <v>45991</v>
      </c>
      <c r="D317" s="12" t="s">
        <v>350</v>
      </c>
      <c r="E317" s="14" t="s">
        <v>323</v>
      </c>
      <c r="F317" s="12" t="s">
        <v>341</v>
      </c>
      <c r="G317" s="2">
        <v>2</v>
      </c>
      <c r="H317" s="3">
        <v>135</v>
      </c>
      <c r="I317" s="14" t="s">
        <v>355</v>
      </c>
      <c r="J317" s="12" t="s">
        <v>653</v>
      </c>
      <c r="K317" s="2">
        <v>0</v>
      </c>
      <c r="L317" s="12" t="s">
        <v>352</v>
      </c>
      <c r="M317">
        <f>YEAR(VentesMagasins!$C317)</f>
        <v>2025</v>
      </c>
      <c r="N317" t="e" cm="1" vm="1">
        <f t="array" aca="1" ref="N317" ca="1">MONTH(DateVente)</f>
        <v>#VALUE!</v>
      </c>
      <c r="O317" t="str">
        <f>PROPER(VentesMagasins!$F317)</f>
        <v>Meuble</v>
      </c>
      <c r="P317">
        <f>VALUE(CLEAN(TRIM(SUBSTITUTE(VentesMagasins!$I317,".",","))))</f>
        <v>0.1</v>
      </c>
      <c r="Q317">
        <f>VALUE(TRIM(SUBSTITUTE(VentesMagasins!$J317,".",",")))</f>
        <v>218.7</v>
      </c>
      <c r="R317">
        <f t="shared" si="12"/>
        <v>196.82999999999998</v>
      </c>
      <c r="S317">
        <f>IF(VentesMagasins!$K317=1,(-1)*R317,R317)</f>
        <v>196.82999999999998</v>
      </c>
      <c r="T317">
        <f>IFERROR(VALUE(TRIM(SUBSTITUTE(VentesMagasins!$L317,".",","))),0)</f>
        <v>0</v>
      </c>
      <c r="U317">
        <f t="shared" si="13"/>
        <v>3</v>
      </c>
      <c r="V317" t="str">
        <f t="shared" si="14"/>
        <v>moyenne</v>
      </c>
      <c r="W317" t="str">
        <f>_xlfn.XLOOKUP(VentesMagasins!$B317,Clients!ClientID,Région)</f>
        <v>Centre</v>
      </c>
      <c r="X317" t="str">
        <f>INDEX(TypeClient,MATCH(VentesMagasins!$B317,Clients!ClientID))</f>
        <v>Fidèle</v>
      </c>
      <c r="Y317" t="str">
        <v>nov</v>
      </c>
    </row>
    <row r="318" spans="1:25" x14ac:dyDescent="0.25">
      <c r="A318" s="2">
        <v>317</v>
      </c>
      <c r="B318" s="12" t="s">
        <v>289</v>
      </c>
      <c r="C318" s="13">
        <v>45568</v>
      </c>
      <c r="D318" s="12" t="s">
        <v>338</v>
      </c>
      <c r="E318" s="14" t="s">
        <v>339</v>
      </c>
      <c r="F318" s="12" t="s">
        <v>324</v>
      </c>
      <c r="G318" s="2">
        <v>4</v>
      </c>
      <c r="H318" s="3">
        <v>439</v>
      </c>
      <c r="I318" s="14" t="s">
        <v>335</v>
      </c>
      <c r="J318" s="12" t="s">
        <v>654</v>
      </c>
      <c r="K318" s="2">
        <v>0</v>
      </c>
      <c r="L318" s="12" t="s">
        <v>352</v>
      </c>
      <c r="M318">
        <f>YEAR(VentesMagasins!$C318)</f>
        <v>2024</v>
      </c>
      <c r="N318" t="e" cm="1" vm="1">
        <f t="array" aca="1" ref="N318" ca="1">MONTH(DateVente)</f>
        <v>#VALUE!</v>
      </c>
      <c r="O318" t="str">
        <f>PROPER(VentesMagasins!$F318)</f>
        <v>Électronique</v>
      </c>
      <c r="P318">
        <f>VALUE(CLEAN(TRIM(SUBSTITUTE(VentesMagasins!$I318,".",","))))</f>
        <v>0</v>
      </c>
      <c r="Q318">
        <f>VALUE(TRIM(SUBSTITUTE(VentesMagasins!$J318,".",",")))</f>
        <v>1756</v>
      </c>
      <c r="R318">
        <f t="shared" si="12"/>
        <v>1756</v>
      </c>
      <c r="S318">
        <f>IF(VentesMagasins!$K318=1,(-1)*R318,R318)</f>
        <v>1756</v>
      </c>
      <c r="T318">
        <f>IFERROR(VALUE(TRIM(SUBSTITUTE(VentesMagasins!$L318,".",","))),0)</f>
        <v>0</v>
      </c>
      <c r="U318">
        <f t="shared" si="13"/>
        <v>3</v>
      </c>
      <c r="V318" t="str">
        <f t="shared" si="14"/>
        <v>moyenne</v>
      </c>
      <c r="W318" t="str">
        <f>_xlfn.XLOOKUP(VentesMagasins!$B318,Clients!ClientID,Région)</f>
        <v>Est</v>
      </c>
      <c r="X318" t="str">
        <f>INDEX(TypeClient,MATCH(VentesMagasins!$B318,Clients!ClientID))</f>
        <v>Nouveau</v>
      </c>
      <c r="Y318" t="str">
        <v>oct</v>
      </c>
    </row>
    <row r="319" spans="1:25" x14ac:dyDescent="0.25">
      <c r="A319" s="2">
        <v>318</v>
      </c>
      <c r="B319" s="12" t="s">
        <v>42</v>
      </c>
      <c r="C319" s="13">
        <v>45938</v>
      </c>
      <c r="D319" s="12" t="s">
        <v>328</v>
      </c>
      <c r="E319" s="14" t="s">
        <v>339</v>
      </c>
      <c r="F319" s="12" t="s">
        <v>330</v>
      </c>
      <c r="G319" s="2">
        <v>3</v>
      </c>
      <c r="H319" s="3">
        <v>41</v>
      </c>
      <c r="I319" s="14" t="s">
        <v>325</v>
      </c>
      <c r="J319" s="12" t="s">
        <v>655</v>
      </c>
      <c r="K319" s="2">
        <v>0</v>
      </c>
      <c r="L319" s="12" t="s">
        <v>327</v>
      </c>
      <c r="M319">
        <f>YEAR(VentesMagasins!$C319)</f>
        <v>2025</v>
      </c>
      <c r="N319" t="e" cm="1" vm="1">
        <f t="array" aca="1" ref="N319" ca="1">MONTH(DateVente)</f>
        <v>#VALUE!</v>
      </c>
      <c r="O319" t="str">
        <f>PROPER(VentesMagasins!$F319)</f>
        <v>Décoration</v>
      </c>
      <c r="P319">
        <f>VALUE(CLEAN(TRIM(SUBSTITUTE(VentesMagasins!$I319,".",","))))</f>
        <v>0.15</v>
      </c>
      <c r="Q319">
        <f>VALUE(TRIM(SUBSTITUTE(VentesMagasins!$J319,".",",")))</f>
        <v>104.55</v>
      </c>
      <c r="R319">
        <f t="shared" si="12"/>
        <v>88.867499999999993</v>
      </c>
      <c r="S319">
        <f>IF(VentesMagasins!$K319=1,(-1)*R319,R319)</f>
        <v>88.867499999999993</v>
      </c>
      <c r="T319">
        <f>IFERROR(VALUE(TRIM(SUBSTITUTE(VentesMagasins!$L319,".",","))),0)</f>
        <v>5</v>
      </c>
      <c r="U319">
        <f t="shared" si="13"/>
        <v>5</v>
      </c>
      <c r="V319" t="str">
        <f t="shared" si="14"/>
        <v>élévé</v>
      </c>
      <c r="W319" t="str">
        <f>_xlfn.XLOOKUP(VentesMagasins!$B319,Clients!ClientID,Région)</f>
        <v>Ouest</v>
      </c>
      <c r="X319" t="str">
        <f>INDEX(TypeClient,MATCH(VentesMagasins!$B319,Clients!ClientID))</f>
        <v>Occasionnel</v>
      </c>
      <c r="Y319" t="str">
        <v>oct</v>
      </c>
    </row>
    <row r="320" spans="1:25" x14ac:dyDescent="0.25">
      <c r="A320" s="2">
        <v>319</v>
      </c>
      <c r="B320" s="12" t="s">
        <v>138</v>
      </c>
      <c r="C320" s="13">
        <v>45262</v>
      </c>
      <c r="D320" s="12" t="s">
        <v>350</v>
      </c>
      <c r="E320" s="14" t="s">
        <v>362</v>
      </c>
      <c r="F320" s="12" t="s">
        <v>324</v>
      </c>
      <c r="G320" s="2">
        <v>1</v>
      </c>
      <c r="H320" s="3">
        <v>118</v>
      </c>
      <c r="I320" s="14" t="s">
        <v>325</v>
      </c>
      <c r="J320" s="12" t="s">
        <v>656</v>
      </c>
      <c r="K320" s="2">
        <v>1</v>
      </c>
      <c r="L320" s="12" t="s">
        <v>369</v>
      </c>
      <c r="M320">
        <f>YEAR(VentesMagasins!$C320)</f>
        <v>2023</v>
      </c>
      <c r="N320" t="e" cm="1" vm="1">
        <f t="array" aca="1" ref="N320" ca="1">MONTH(DateVente)</f>
        <v>#VALUE!</v>
      </c>
      <c r="O320" t="str">
        <f>PROPER(VentesMagasins!$F320)</f>
        <v>Électronique</v>
      </c>
      <c r="P320">
        <f>VALUE(CLEAN(TRIM(SUBSTITUTE(VentesMagasins!$I320,".",","))))</f>
        <v>0.15</v>
      </c>
      <c r="Q320">
        <f>VALUE(TRIM(SUBSTITUTE(VentesMagasins!$J320,".",",")))</f>
        <v>100.3</v>
      </c>
      <c r="R320">
        <f t="shared" si="12"/>
        <v>85.254999999999995</v>
      </c>
      <c r="S320">
        <f>IF(VentesMagasins!$K320=1,(-1)*R320,R320)</f>
        <v>-85.254999999999995</v>
      </c>
      <c r="T320">
        <f>IFERROR(VALUE(TRIM(SUBSTITUTE(VentesMagasins!$L320,".",","))),0)</f>
        <v>1</v>
      </c>
      <c r="U320">
        <f t="shared" si="13"/>
        <v>1</v>
      </c>
      <c r="V320" t="str">
        <f t="shared" si="14"/>
        <v>faible</v>
      </c>
      <c r="W320" t="str">
        <f>_xlfn.XLOOKUP(VentesMagasins!$B320,Clients!ClientID,Région)</f>
        <v>Ouest</v>
      </c>
      <c r="X320" t="str">
        <f>INDEX(TypeClient,MATCH(VentesMagasins!$B320,Clients!ClientID))</f>
        <v>Nouveau</v>
      </c>
      <c r="Y320" t="str">
        <v>déc</v>
      </c>
    </row>
    <row r="321" spans="1:25" x14ac:dyDescent="0.25">
      <c r="A321" s="2">
        <v>320</v>
      </c>
      <c r="B321" s="12" t="s">
        <v>263</v>
      </c>
      <c r="C321" s="13">
        <v>45823</v>
      </c>
      <c r="D321" s="12" t="s">
        <v>350</v>
      </c>
      <c r="E321" s="14" t="s">
        <v>364</v>
      </c>
      <c r="F321" s="12" t="s">
        <v>341</v>
      </c>
      <c r="G321" s="2">
        <v>5</v>
      </c>
      <c r="H321" s="3">
        <v>38</v>
      </c>
      <c r="I321" s="14" t="s">
        <v>355</v>
      </c>
      <c r="J321" s="12" t="s">
        <v>657</v>
      </c>
      <c r="K321" s="2">
        <v>1</v>
      </c>
      <c r="L321" s="12" t="s">
        <v>352</v>
      </c>
      <c r="M321">
        <f>YEAR(VentesMagasins!$C321)</f>
        <v>2025</v>
      </c>
      <c r="N321" t="e" cm="1" vm="1">
        <f t="array" aca="1" ref="N321" ca="1">MONTH(DateVente)</f>
        <v>#VALUE!</v>
      </c>
      <c r="O321" t="str">
        <f>PROPER(VentesMagasins!$F321)</f>
        <v>Meuble</v>
      </c>
      <c r="P321">
        <f>VALUE(CLEAN(TRIM(SUBSTITUTE(VentesMagasins!$I321,".",","))))</f>
        <v>0.1</v>
      </c>
      <c r="Q321">
        <f>VALUE(TRIM(SUBSTITUTE(VentesMagasins!$J321,".",",")))</f>
        <v>171</v>
      </c>
      <c r="R321">
        <f t="shared" si="12"/>
        <v>153.9</v>
      </c>
      <c r="S321">
        <f>IF(VentesMagasins!$K321=1,(-1)*R321,R321)</f>
        <v>-153.9</v>
      </c>
      <c r="T321">
        <f>IFERROR(VALUE(TRIM(SUBSTITUTE(VentesMagasins!$L321,".",","))),0)</f>
        <v>0</v>
      </c>
      <c r="U321">
        <f t="shared" si="13"/>
        <v>3</v>
      </c>
      <c r="V321" t="str">
        <f t="shared" si="14"/>
        <v>moyenne</v>
      </c>
      <c r="W321" t="str">
        <f>_xlfn.XLOOKUP(VentesMagasins!$B321,Clients!ClientID,Région)</f>
        <v>Est</v>
      </c>
      <c r="X321" t="str">
        <f>INDEX(TypeClient,MATCH(VentesMagasins!$B321,Clients!ClientID))</f>
        <v>Nouveau</v>
      </c>
      <c r="Y321" t="str">
        <v>juin</v>
      </c>
    </row>
    <row r="322" spans="1:25" x14ac:dyDescent="0.25">
      <c r="A322" s="2">
        <v>321</v>
      </c>
      <c r="B322" s="12" t="s">
        <v>138</v>
      </c>
      <c r="C322" s="13">
        <v>45399</v>
      </c>
      <c r="D322" s="12" t="s">
        <v>333</v>
      </c>
      <c r="E322" s="14" t="s">
        <v>323</v>
      </c>
      <c r="F322" s="12" t="s">
        <v>330</v>
      </c>
      <c r="G322" s="2">
        <v>4</v>
      </c>
      <c r="H322" s="3">
        <v>499</v>
      </c>
      <c r="I322" s="14" t="s">
        <v>325</v>
      </c>
      <c r="J322" s="12" t="s">
        <v>658</v>
      </c>
      <c r="K322" s="2">
        <v>0</v>
      </c>
      <c r="L322" s="12" t="s">
        <v>327</v>
      </c>
      <c r="M322">
        <f>YEAR(VentesMagasins!$C322)</f>
        <v>2024</v>
      </c>
      <c r="N322" t="e" cm="1" vm="1">
        <f t="array" aca="1" ref="N322" ca="1">MONTH(DateVente)</f>
        <v>#VALUE!</v>
      </c>
      <c r="O322" t="str">
        <f>PROPER(VentesMagasins!$F322)</f>
        <v>Décoration</v>
      </c>
      <c r="P322">
        <f>VALUE(CLEAN(TRIM(SUBSTITUTE(VentesMagasins!$I322,".",","))))</f>
        <v>0.15</v>
      </c>
      <c r="Q322">
        <f>VALUE(TRIM(SUBSTITUTE(VentesMagasins!$J322,".",",")))</f>
        <v>1696.6</v>
      </c>
      <c r="R322">
        <f t="shared" si="12"/>
        <v>1442.11</v>
      </c>
      <c r="S322">
        <f>IF(VentesMagasins!$K322=1,(-1)*R322,R322)</f>
        <v>1442.11</v>
      </c>
      <c r="T322">
        <f>IFERROR(VALUE(TRIM(SUBSTITUTE(VentesMagasins!$L322,".",","))),0)</f>
        <v>5</v>
      </c>
      <c r="U322">
        <f t="shared" si="13"/>
        <v>5</v>
      </c>
      <c r="V322" t="str">
        <f t="shared" si="14"/>
        <v>élévé</v>
      </c>
      <c r="W322" t="str">
        <f>_xlfn.XLOOKUP(VentesMagasins!$B322,Clients!ClientID,Région)</f>
        <v>Ouest</v>
      </c>
      <c r="X322" t="str">
        <f>INDEX(TypeClient,MATCH(VentesMagasins!$B322,Clients!ClientID))</f>
        <v>Nouveau</v>
      </c>
      <c r="Y322" t="str">
        <v>avr</v>
      </c>
    </row>
    <row r="323" spans="1:25" x14ac:dyDescent="0.25">
      <c r="A323" s="2">
        <v>322</v>
      </c>
      <c r="B323" s="12" t="s">
        <v>304</v>
      </c>
      <c r="C323" s="13">
        <v>45962</v>
      </c>
      <c r="D323" s="12" t="s">
        <v>333</v>
      </c>
      <c r="E323" s="14" t="s">
        <v>323</v>
      </c>
      <c r="F323" s="12" t="s">
        <v>341</v>
      </c>
      <c r="G323" s="2">
        <v>5</v>
      </c>
      <c r="H323" s="3">
        <v>468</v>
      </c>
      <c r="I323" s="14" t="s">
        <v>342</v>
      </c>
      <c r="J323" s="12" t="s">
        <v>659</v>
      </c>
      <c r="K323" s="2">
        <v>0</v>
      </c>
      <c r="L323" s="12" t="s">
        <v>352</v>
      </c>
      <c r="M323">
        <f>YEAR(VentesMagasins!$C323)</f>
        <v>2025</v>
      </c>
      <c r="N323" t="e" cm="1" vm="1">
        <f t="array" aca="1" ref="N323" ca="1">MONTH(DateVente)</f>
        <v>#VALUE!</v>
      </c>
      <c r="O323" t="str">
        <f>PROPER(VentesMagasins!$F323)</f>
        <v>Meuble</v>
      </c>
      <c r="P323">
        <f>VALUE(CLEAN(TRIM(SUBSTITUTE(VentesMagasins!$I323,".",","))))</f>
        <v>0.05</v>
      </c>
      <c r="Q323">
        <f>VALUE(TRIM(SUBSTITUTE(VentesMagasins!$J323,".",",")))</f>
        <v>2223</v>
      </c>
      <c r="R323">
        <f t="shared" ref="R323:R386" si="15">Q323*(1-P323)</f>
        <v>2111.85</v>
      </c>
      <c r="S323">
        <f>IF(VentesMagasins!$K323=1,(-1)*R323,R323)</f>
        <v>2111.85</v>
      </c>
      <c r="T323">
        <f>IFERROR(VALUE(TRIM(SUBSTITUTE(VentesMagasins!$L323,".",","))),0)</f>
        <v>0</v>
      </c>
      <c r="U323">
        <f t="shared" ref="U323:U386" si="16">ROUND(IF(T323=0,AVERAGE(T323:T1322),T323),0)</f>
        <v>3</v>
      </c>
      <c r="V323" t="str">
        <f t="shared" ref="V323:V386" si="17">IF(AND(U323&gt;0,U323&lt;=2),"faible",IF(AND(U323&gt;=3,U323&lt;=4),"moyenne",IF(U323=5,"élévé",0)))</f>
        <v>moyenne</v>
      </c>
      <c r="W323" t="str">
        <f>_xlfn.XLOOKUP(VentesMagasins!$B323,Clients!ClientID,Région)</f>
        <v>Sud</v>
      </c>
      <c r="X323" t="str">
        <f>INDEX(TypeClient,MATCH(VentesMagasins!$B323,Clients!ClientID))</f>
        <v>Occasionnel</v>
      </c>
      <c r="Y323" t="str">
        <v>nov</v>
      </c>
    </row>
    <row r="324" spans="1:25" x14ac:dyDescent="0.25">
      <c r="A324" s="2">
        <v>323</v>
      </c>
      <c r="B324" s="12" t="s">
        <v>157</v>
      </c>
      <c r="C324" s="13">
        <v>45355</v>
      </c>
      <c r="D324" s="12" t="s">
        <v>333</v>
      </c>
      <c r="E324" s="14" t="s">
        <v>329</v>
      </c>
      <c r="F324" s="12" t="s">
        <v>341</v>
      </c>
      <c r="G324" s="2">
        <v>5</v>
      </c>
      <c r="H324" s="3">
        <v>434</v>
      </c>
      <c r="I324" s="14" t="s">
        <v>335</v>
      </c>
      <c r="J324" s="12" t="s">
        <v>660</v>
      </c>
      <c r="K324" s="2">
        <v>1</v>
      </c>
      <c r="L324" s="12" t="s">
        <v>332</v>
      </c>
      <c r="M324">
        <f>YEAR(VentesMagasins!$C324)</f>
        <v>2024</v>
      </c>
      <c r="N324" t="e" cm="1" vm="1">
        <f t="array" aca="1" ref="N324" ca="1">MONTH(DateVente)</f>
        <v>#VALUE!</v>
      </c>
      <c r="O324" t="str">
        <f>PROPER(VentesMagasins!$F324)</f>
        <v>Meuble</v>
      </c>
      <c r="P324">
        <f>VALUE(CLEAN(TRIM(SUBSTITUTE(VentesMagasins!$I324,".",","))))</f>
        <v>0</v>
      </c>
      <c r="Q324">
        <f>VALUE(TRIM(SUBSTITUTE(VentesMagasins!$J324,".",",")))</f>
        <v>2170</v>
      </c>
      <c r="R324">
        <f t="shared" si="15"/>
        <v>2170</v>
      </c>
      <c r="S324">
        <f>IF(VentesMagasins!$K324=1,(-1)*R324,R324)</f>
        <v>-2170</v>
      </c>
      <c r="T324">
        <f>IFERROR(VALUE(TRIM(SUBSTITUTE(VentesMagasins!$L324,".",","))),0)</f>
        <v>4</v>
      </c>
      <c r="U324">
        <f t="shared" si="16"/>
        <v>4</v>
      </c>
      <c r="V324" t="str">
        <f t="shared" si="17"/>
        <v>moyenne</v>
      </c>
      <c r="W324" t="str">
        <f>_xlfn.XLOOKUP(VentesMagasins!$B324,Clients!ClientID,Région)</f>
        <v>Nord</v>
      </c>
      <c r="X324" t="str">
        <f>INDEX(TypeClient,MATCH(VentesMagasins!$B324,Clients!ClientID))</f>
        <v>Occasionnel</v>
      </c>
      <c r="Y324" t="str">
        <v>mars</v>
      </c>
    </row>
    <row r="325" spans="1:25" x14ac:dyDescent="0.25">
      <c r="A325" s="2">
        <v>324</v>
      </c>
      <c r="B325" s="12" t="s">
        <v>26</v>
      </c>
      <c r="C325" s="13">
        <v>45620</v>
      </c>
      <c r="D325" s="12" t="s">
        <v>322</v>
      </c>
      <c r="E325" s="14" t="s">
        <v>348</v>
      </c>
      <c r="F325" s="12" t="s">
        <v>324</v>
      </c>
      <c r="G325" s="2">
        <v>4</v>
      </c>
      <c r="H325" s="3">
        <v>248</v>
      </c>
      <c r="I325" s="14" t="s">
        <v>342</v>
      </c>
      <c r="J325" s="12" t="s">
        <v>499</v>
      </c>
      <c r="K325" s="2">
        <v>1</v>
      </c>
      <c r="L325" s="12" t="s">
        <v>337</v>
      </c>
      <c r="M325">
        <f>YEAR(VentesMagasins!$C325)</f>
        <v>2024</v>
      </c>
      <c r="N325" t="e" cm="1" vm="1">
        <f t="array" aca="1" ref="N325" ca="1">MONTH(DateVente)</f>
        <v>#VALUE!</v>
      </c>
      <c r="O325" t="str">
        <f>PROPER(VentesMagasins!$F325)</f>
        <v>Électronique</v>
      </c>
      <c r="P325">
        <f>VALUE(CLEAN(TRIM(SUBSTITUTE(VentesMagasins!$I325,".",","))))</f>
        <v>0.05</v>
      </c>
      <c r="Q325">
        <f>VALUE(TRIM(SUBSTITUTE(VentesMagasins!$J325,".",",")))</f>
        <v>942.4</v>
      </c>
      <c r="R325">
        <f t="shared" si="15"/>
        <v>895.28</v>
      </c>
      <c r="S325">
        <f>IF(VentesMagasins!$K325=1,(-1)*R325,R325)</f>
        <v>-895.28</v>
      </c>
      <c r="T325">
        <f>IFERROR(VALUE(TRIM(SUBSTITUTE(VentesMagasins!$L325,".",","))),0)</f>
        <v>3</v>
      </c>
      <c r="U325">
        <f t="shared" si="16"/>
        <v>3</v>
      </c>
      <c r="V325" t="str">
        <f t="shared" si="17"/>
        <v>moyenne</v>
      </c>
      <c r="W325" t="str">
        <f>_xlfn.XLOOKUP(VentesMagasins!$B325,Clients!ClientID,Région)</f>
        <v>Ouest</v>
      </c>
      <c r="X325" t="str">
        <f>INDEX(TypeClient,MATCH(VentesMagasins!$B325,Clients!ClientID))</f>
        <v>Nouveau</v>
      </c>
      <c r="Y325" t="str">
        <v>nov</v>
      </c>
    </row>
    <row r="326" spans="1:25" x14ac:dyDescent="0.25">
      <c r="A326" s="2">
        <v>325</v>
      </c>
      <c r="B326" s="12" t="s">
        <v>129</v>
      </c>
      <c r="C326" s="13">
        <v>45952</v>
      </c>
      <c r="D326" s="12" t="s">
        <v>338</v>
      </c>
      <c r="E326" s="14" t="s">
        <v>364</v>
      </c>
      <c r="F326" s="12" t="s">
        <v>324</v>
      </c>
      <c r="G326" s="2">
        <v>5</v>
      </c>
      <c r="H326" s="3">
        <v>90</v>
      </c>
      <c r="I326" s="14" t="s">
        <v>325</v>
      </c>
      <c r="J326" s="12" t="s">
        <v>661</v>
      </c>
      <c r="K326" s="2">
        <v>0</v>
      </c>
      <c r="L326" s="12" t="s">
        <v>327</v>
      </c>
      <c r="M326">
        <f>YEAR(VentesMagasins!$C326)</f>
        <v>2025</v>
      </c>
      <c r="N326" t="e" cm="1" vm="1">
        <f t="array" aca="1" ref="N326" ca="1">MONTH(DateVente)</f>
        <v>#VALUE!</v>
      </c>
      <c r="O326" t="str">
        <f>PROPER(VentesMagasins!$F326)</f>
        <v>Électronique</v>
      </c>
      <c r="P326">
        <f>VALUE(CLEAN(TRIM(SUBSTITUTE(VentesMagasins!$I326,".",","))))</f>
        <v>0.15</v>
      </c>
      <c r="Q326">
        <f>VALUE(TRIM(SUBSTITUTE(VentesMagasins!$J326,".",",")))</f>
        <v>382.5</v>
      </c>
      <c r="R326">
        <f t="shared" si="15"/>
        <v>325.125</v>
      </c>
      <c r="S326">
        <f>IF(VentesMagasins!$K326=1,(-1)*R326,R326)</f>
        <v>325.125</v>
      </c>
      <c r="T326">
        <f>IFERROR(VALUE(TRIM(SUBSTITUTE(VentesMagasins!$L326,".",","))),0)</f>
        <v>5</v>
      </c>
      <c r="U326">
        <f t="shared" si="16"/>
        <v>5</v>
      </c>
      <c r="V326" t="str">
        <f t="shared" si="17"/>
        <v>élévé</v>
      </c>
      <c r="W326" t="str">
        <f>_xlfn.XLOOKUP(VentesMagasins!$B326,Clients!ClientID,Région)</f>
        <v>Est</v>
      </c>
      <c r="X326" t="str">
        <f>INDEX(TypeClient,MATCH(VentesMagasins!$B326,Clients!ClientID))</f>
        <v>Fidèle</v>
      </c>
      <c r="Y326" t="str">
        <v>oct</v>
      </c>
    </row>
    <row r="327" spans="1:25" x14ac:dyDescent="0.25">
      <c r="A327" s="2">
        <v>326</v>
      </c>
      <c r="B327" s="12" t="s">
        <v>18</v>
      </c>
      <c r="C327" s="13">
        <v>45089</v>
      </c>
      <c r="D327" s="12" t="s">
        <v>328</v>
      </c>
      <c r="E327" s="14" t="s">
        <v>329</v>
      </c>
      <c r="F327" s="12" t="s">
        <v>341</v>
      </c>
      <c r="G327" s="2">
        <v>5</v>
      </c>
      <c r="H327" s="3">
        <v>417</v>
      </c>
      <c r="I327" s="14" t="s">
        <v>335</v>
      </c>
      <c r="J327" s="12" t="s">
        <v>662</v>
      </c>
      <c r="K327" s="2">
        <v>0</v>
      </c>
      <c r="L327" s="12" t="s">
        <v>352</v>
      </c>
      <c r="M327">
        <f>YEAR(VentesMagasins!$C327)</f>
        <v>2023</v>
      </c>
      <c r="N327" t="e" cm="1" vm="1">
        <f t="array" aca="1" ref="N327" ca="1">MONTH(DateVente)</f>
        <v>#VALUE!</v>
      </c>
      <c r="O327" t="str">
        <f>PROPER(VentesMagasins!$F327)</f>
        <v>Meuble</v>
      </c>
      <c r="P327">
        <f>VALUE(CLEAN(TRIM(SUBSTITUTE(VentesMagasins!$I327,".",","))))</f>
        <v>0</v>
      </c>
      <c r="Q327">
        <f>VALUE(TRIM(SUBSTITUTE(VentesMagasins!$J327,".",",")))</f>
        <v>2085</v>
      </c>
      <c r="R327">
        <f t="shared" si="15"/>
        <v>2085</v>
      </c>
      <c r="S327">
        <f>IF(VentesMagasins!$K327=1,(-1)*R327,R327)</f>
        <v>2085</v>
      </c>
      <c r="T327">
        <f>IFERROR(VALUE(TRIM(SUBSTITUTE(VentesMagasins!$L327,".",","))),0)</f>
        <v>0</v>
      </c>
      <c r="U327">
        <f t="shared" si="16"/>
        <v>3</v>
      </c>
      <c r="V327" t="str">
        <f t="shared" si="17"/>
        <v>moyenne</v>
      </c>
      <c r="W327" t="str">
        <f>_xlfn.XLOOKUP(VentesMagasins!$B327,Clients!ClientID,Région)</f>
        <v>Nord</v>
      </c>
      <c r="X327" t="str">
        <f>INDEX(TypeClient,MATCH(VentesMagasins!$B327,Clients!ClientID))</f>
        <v>Fidèle</v>
      </c>
      <c r="Y327" t="str">
        <v>juin</v>
      </c>
    </row>
    <row r="328" spans="1:25" x14ac:dyDescent="0.25">
      <c r="A328" s="2">
        <v>327</v>
      </c>
      <c r="B328" s="12" t="s">
        <v>116</v>
      </c>
      <c r="C328" s="13">
        <v>45683</v>
      </c>
      <c r="D328" s="12" t="s">
        <v>350</v>
      </c>
      <c r="E328" s="14" t="s">
        <v>323</v>
      </c>
      <c r="F328" s="12" t="s">
        <v>341</v>
      </c>
      <c r="G328" s="2">
        <v>2</v>
      </c>
      <c r="H328" s="3">
        <v>411</v>
      </c>
      <c r="I328" s="14" t="s">
        <v>335</v>
      </c>
      <c r="J328" s="12" t="s">
        <v>663</v>
      </c>
      <c r="K328" s="2">
        <v>1</v>
      </c>
      <c r="L328" s="12" t="s">
        <v>337</v>
      </c>
      <c r="M328">
        <f>YEAR(VentesMagasins!$C328)</f>
        <v>2025</v>
      </c>
      <c r="N328" t="e" cm="1" vm="1">
        <f t="array" aca="1" ref="N328" ca="1">MONTH(DateVente)</f>
        <v>#VALUE!</v>
      </c>
      <c r="O328" t="str">
        <f>PROPER(VentesMagasins!$F328)</f>
        <v>Meuble</v>
      </c>
      <c r="P328">
        <f>VALUE(CLEAN(TRIM(SUBSTITUTE(VentesMagasins!$I328,".",","))))</f>
        <v>0</v>
      </c>
      <c r="Q328">
        <f>VALUE(TRIM(SUBSTITUTE(VentesMagasins!$J328,".",",")))</f>
        <v>739.8</v>
      </c>
      <c r="R328">
        <f t="shared" si="15"/>
        <v>739.8</v>
      </c>
      <c r="S328">
        <f>IF(VentesMagasins!$K328=1,(-1)*R328,R328)</f>
        <v>-739.8</v>
      </c>
      <c r="T328">
        <f>IFERROR(VALUE(TRIM(SUBSTITUTE(VentesMagasins!$L328,".",","))),0)</f>
        <v>3</v>
      </c>
      <c r="U328">
        <f t="shared" si="16"/>
        <v>3</v>
      </c>
      <c r="V328" t="str">
        <f t="shared" si="17"/>
        <v>moyenne</v>
      </c>
      <c r="W328" t="str">
        <f>_xlfn.XLOOKUP(VentesMagasins!$B328,Clients!ClientID,Région)</f>
        <v>Sud</v>
      </c>
      <c r="X328" t="str">
        <f>INDEX(TypeClient,MATCH(VentesMagasins!$B328,Clients!ClientID))</f>
        <v>Occasionnel</v>
      </c>
      <c r="Y328" t="str">
        <v>janv</v>
      </c>
    </row>
    <row r="329" spans="1:25" x14ac:dyDescent="0.25">
      <c r="A329" s="2">
        <v>328</v>
      </c>
      <c r="B329" s="12" t="s">
        <v>247</v>
      </c>
      <c r="C329" s="13">
        <v>45897</v>
      </c>
      <c r="D329" s="12" t="s">
        <v>322</v>
      </c>
      <c r="E329" s="14" t="s">
        <v>348</v>
      </c>
      <c r="F329" s="12" t="s">
        <v>324</v>
      </c>
      <c r="G329" s="2">
        <v>3</v>
      </c>
      <c r="H329" s="3">
        <v>216</v>
      </c>
      <c r="I329" s="14" t="s">
        <v>355</v>
      </c>
      <c r="J329" s="12" t="s">
        <v>664</v>
      </c>
      <c r="K329" s="2">
        <v>1</v>
      </c>
      <c r="L329" s="12" t="s">
        <v>337</v>
      </c>
      <c r="M329">
        <f>YEAR(VentesMagasins!$C329)</f>
        <v>2025</v>
      </c>
      <c r="N329" t="e" cm="1" vm="1">
        <f t="array" aca="1" ref="N329" ca="1">MONTH(DateVente)</f>
        <v>#VALUE!</v>
      </c>
      <c r="O329" t="str">
        <f>PROPER(VentesMagasins!$F329)</f>
        <v>Électronique</v>
      </c>
      <c r="P329">
        <f>VALUE(CLEAN(TRIM(SUBSTITUTE(VentesMagasins!$I329,".",","))))</f>
        <v>0.1</v>
      </c>
      <c r="Q329">
        <f>VALUE(TRIM(SUBSTITUTE(VentesMagasins!$J329,".",",")))</f>
        <v>583.20000000000005</v>
      </c>
      <c r="R329">
        <f t="shared" si="15"/>
        <v>524.88000000000011</v>
      </c>
      <c r="S329">
        <f>IF(VentesMagasins!$K329=1,(-1)*R329,R329)</f>
        <v>-524.88000000000011</v>
      </c>
      <c r="T329">
        <f>IFERROR(VALUE(TRIM(SUBSTITUTE(VentesMagasins!$L329,".",","))),0)</f>
        <v>3</v>
      </c>
      <c r="U329">
        <f t="shared" si="16"/>
        <v>3</v>
      </c>
      <c r="V329" t="str">
        <f t="shared" si="17"/>
        <v>moyenne</v>
      </c>
      <c r="W329" t="str">
        <f>_xlfn.XLOOKUP(VentesMagasins!$B329,Clients!ClientID,Région)</f>
        <v>Ouest</v>
      </c>
      <c r="X329" t="str">
        <f>INDEX(TypeClient,MATCH(VentesMagasins!$B329,Clients!ClientID))</f>
        <v>Fidèle</v>
      </c>
      <c r="Y329" t="str">
        <v>août</v>
      </c>
    </row>
    <row r="330" spans="1:25" x14ac:dyDescent="0.25">
      <c r="A330" s="2">
        <v>329</v>
      </c>
      <c r="B330" s="12" t="s">
        <v>26</v>
      </c>
      <c r="C330" s="13">
        <v>46006</v>
      </c>
      <c r="D330" s="12" t="s">
        <v>328</v>
      </c>
      <c r="E330" s="14" t="s">
        <v>339</v>
      </c>
      <c r="F330" s="12" t="s">
        <v>330</v>
      </c>
      <c r="G330" s="2">
        <v>3</v>
      </c>
      <c r="H330" s="3">
        <v>234</v>
      </c>
      <c r="I330" s="14" t="s">
        <v>325</v>
      </c>
      <c r="J330" s="12" t="s">
        <v>601</v>
      </c>
      <c r="K330" s="2">
        <v>0</v>
      </c>
      <c r="L330" s="12" t="s">
        <v>332</v>
      </c>
      <c r="M330">
        <f>YEAR(VentesMagasins!$C330)</f>
        <v>2025</v>
      </c>
      <c r="N330" t="e" cm="1" vm="1">
        <f t="array" aca="1" ref="N330" ca="1">MONTH(DateVente)</f>
        <v>#VALUE!</v>
      </c>
      <c r="O330" t="str">
        <f>PROPER(VentesMagasins!$F330)</f>
        <v>Décoration</v>
      </c>
      <c r="P330">
        <f>VALUE(CLEAN(TRIM(SUBSTITUTE(VentesMagasins!$I330,".",","))))</f>
        <v>0.15</v>
      </c>
      <c r="Q330">
        <f>VALUE(TRIM(SUBSTITUTE(VentesMagasins!$J330,".",",")))</f>
        <v>596.69999999999902</v>
      </c>
      <c r="R330">
        <f t="shared" si="15"/>
        <v>507.19499999999914</v>
      </c>
      <c r="S330">
        <f>IF(VentesMagasins!$K330=1,(-1)*R330,R330)</f>
        <v>507.19499999999914</v>
      </c>
      <c r="T330">
        <f>IFERROR(VALUE(TRIM(SUBSTITUTE(VentesMagasins!$L330,".",","))),0)</f>
        <v>4</v>
      </c>
      <c r="U330">
        <f t="shared" si="16"/>
        <v>4</v>
      </c>
      <c r="V330" t="str">
        <f t="shared" si="17"/>
        <v>moyenne</v>
      </c>
      <c r="W330" t="str">
        <f>_xlfn.XLOOKUP(VentesMagasins!$B330,Clients!ClientID,Région)</f>
        <v>Ouest</v>
      </c>
      <c r="X330" t="str">
        <f>INDEX(TypeClient,MATCH(VentesMagasins!$B330,Clients!ClientID))</f>
        <v>Nouveau</v>
      </c>
      <c r="Y330" t="str">
        <v>déc</v>
      </c>
    </row>
    <row r="331" spans="1:25" x14ac:dyDescent="0.25">
      <c r="A331" s="2">
        <v>330</v>
      </c>
      <c r="B331" s="12" t="s">
        <v>281</v>
      </c>
      <c r="C331" s="13">
        <v>45618</v>
      </c>
      <c r="D331" s="12" t="s">
        <v>350</v>
      </c>
      <c r="E331" s="14" t="s">
        <v>364</v>
      </c>
      <c r="F331" s="12" t="s">
        <v>341</v>
      </c>
      <c r="G331" s="2">
        <v>4</v>
      </c>
      <c r="H331" s="3">
        <v>287</v>
      </c>
      <c r="I331" s="14" t="s">
        <v>355</v>
      </c>
      <c r="J331" s="12" t="s">
        <v>665</v>
      </c>
      <c r="K331" s="2">
        <v>0</v>
      </c>
      <c r="L331" s="12" t="s">
        <v>332</v>
      </c>
      <c r="M331">
        <f>YEAR(VentesMagasins!$C331)</f>
        <v>2024</v>
      </c>
      <c r="N331" t="e" cm="1" vm="1">
        <f t="array" aca="1" ref="N331" ca="1">MONTH(DateVente)</f>
        <v>#VALUE!</v>
      </c>
      <c r="O331" t="str">
        <f>PROPER(VentesMagasins!$F331)</f>
        <v>Meuble</v>
      </c>
      <c r="P331">
        <f>VALUE(CLEAN(TRIM(SUBSTITUTE(VentesMagasins!$I331,".",","))))</f>
        <v>0.1</v>
      </c>
      <c r="Q331">
        <f>VALUE(TRIM(SUBSTITUTE(VentesMagasins!$J331,".",",")))</f>
        <v>1033.2</v>
      </c>
      <c r="R331">
        <f t="shared" si="15"/>
        <v>929.88000000000011</v>
      </c>
      <c r="S331">
        <f>IF(VentesMagasins!$K331=1,(-1)*R331,R331)</f>
        <v>929.88000000000011</v>
      </c>
      <c r="T331">
        <f>IFERROR(VALUE(TRIM(SUBSTITUTE(VentesMagasins!$L331,".",","))),0)</f>
        <v>4</v>
      </c>
      <c r="U331">
        <f t="shared" si="16"/>
        <v>4</v>
      </c>
      <c r="V331" t="str">
        <f t="shared" si="17"/>
        <v>moyenne</v>
      </c>
      <c r="W331" t="str">
        <f>_xlfn.XLOOKUP(VentesMagasins!$B331,Clients!ClientID,Région)</f>
        <v>Est</v>
      </c>
      <c r="X331" t="str">
        <f>INDEX(TypeClient,MATCH(VentesMagasins!$B331,Clients!ClientID))</f>
        <v>Occasionnel</v>
      </c>
      <c r="Y331" t="str">
        <v>nov</v>
      </c>
    </row>
    <row r="332" spans="1:25" x14ac:dyDescent="0.25">
      <c r="A332" s="2">
        <v>331</v>
      </c>
      <c r="B332" s="12" t="s">
        <v>244</v>
      </c>
      <c r="C332" s="13">
        <v>45742</v>
      </c>
      <c r="D332" s="12" t="s">
        <v>350</v>
      </c>
      <c r="E332" s="14" t="s">
        <v>334</v>
      </c>
      <c r="F332" s="12" t="s">
        <v>341</v>
      </c>
      <c r="G332" s="2">
        <v>3</v>
      </c>
      <c r="H332" s="3">
        <v>405</v>
      </c>
      <c r="I332" s="14" t="s">
        <v>355</v>
      </c>
      <c r="J332" s="12" t="s">
        <v>666</v>
      </c>
      <c r="K332" s="2">
        <v>0</v>
      </c>
      <c r="L332" s="12" t="s">
        <v>337</v>
      </c>
      <c r="M332">
        <f>YEAR(VentesMagasins!$C332)</f>
        <v>2025</v>
      </c>
      <c r="N332" t="e" cm="1" vm="1">
        <f t="array" aca="1" ref="N332" ca="1">MONTH(DateVente)</f>
        <v>#VALUE!</v>
      </c>
      <c r="O332" t="str">
        <f>PROPER(VentesMagasins!$F332)</f>
        <v>Meuble</v>
      </c>
      <c r="P332">
        <f>VALUE(CLEAN(TRIM(SUBSTITUTE(VentesMagasins!$I332,".",","))))</f>
        <v>0.1</v>
      </c>
      <c r="Q332">
        <f>VALUE(TRIM(SUBSTITUTE(VentesMagasins!$J332,".",",")))</f>
        <v>1093.5</v>
      </c>
      <c r="R332">
        <f t="shared" si="15"/>
        <v>984.15</v>
      </c>
      <c r="S332">
        <f>IF(VentesMagasins!$K332=1,(-1)*R332,R332)</f>
        <v>984.15</v>
      </c>
      <c r="T332">
        <f>IFERROR(VALUE(TRIM(SUBSTITUTE(VentesMagasins!$L332,".",","))),0)</f>
        <v>3</v>
      </c>
      <c r="U332">
        <f t="shared" si="16"/>
        <v>3</v>
      </c>
      <c r="V332" t="str">
        <f t="shared" si="17"/>
        <v>moyenne</v>
      </c>
      <c r="W332" t="str">
        <f>_xlfn.XLOOKUP(VentesMagasins!$B332,Clients!ClientID,Région)</f>
        <v>Sud</v>
      </c>
      <c r="X332" t="str">
        <f>INDEX(TypeClient,MATCH(VentesMagasins!$B332,Clients!ClientID))</f>
        <v>Occasionnel</v>
      </c>
      <c r="Y332" t="str">
        <v>mars</v>
      </c>
    </row>
    <row r="333" spans="1:25" x14ac:dyDescent="0.25">
      <c r="A333" s="2">
        <v>332</v>
      </c>
      <c r="B333" s="12" t="s">
        <v>249</v>
      </c>
      <c r="C333" s="13">
        <v>45190</v>
      </c>
      <c r="D333" s="12" t="s">
        <v>322</v>
      </c>
      <c r="E333" s="14" t="s">
        <v>345</v>
      </c>
      <c r="F333" s="12" t="s">
        <v>324</v>
      </c>
      <c r="G333" s="2">
        <v>2</v>
      </c>
      <c r="H333" s="3">
        <v>274</v>
      </c>
      <c r="I333" s="14" t="s">
        <v>342</v>
      </c>
      <c r="J333" s="12" t="s">
        <v>667</v>
      </c>
      <c r="K333" s="2">
        <v>1</v>
      </c>
      <c r="L333" s="12" t="s">
        <v>369</v>
      </c>
      <c r="M333">
        <f>YEAR(VentesMagasins!$C333)</f>
        <v>2023</v>
      </c>
      <c r="N333" t="e" cm="1" vm="1">
        <f t="array" aca="1" ref="N333" ca="1">MONTH(DateVente)</f>
        <v>#VALUE!</v>
      </c>
      <c r="O333" t="str">
        <f>PROPER(VentesMagasins!$F333)</f>
        <v>Électronique</v>
      </c>
      <c r="P333">
        <f>VALUE(CLEAN(TRIM(SUBSTITUTE(VentesMagasins!$I333,".",","))))</f>
        <v>0.05</v>
      </c>
      <c r="Q333">
        <f>VALUE(TRIM(SUBSTITUTE(VentesMagasins!$J333,".",",")))</f>
        <v>520.6</v>
      </c>
      <c r="R333">
        <f t="shared" si="15"/>
        <v>494.57</v>
      </c>
      <c r="S333">
        <f>IF(VentesMagasins!$K333=1,(-1)*R333,R333)</f>
        <v>-494.57</v>
      </c>
      <c r="T333">
        <f>IFERROR(VALUE(TRIM(SUBSTITUTE(VentesMagasins!$L333,".",","))),0)</f>
        <v>1</v>
      </c>
      <c r="U333">
        <f t="shared" si="16"/>
        <v>1</v>
      </c>
      <c r="V333" t="str">
        <f t="shared" si="17"/>
        <v>faible</v>
      </c>
      <c r="W333" t="str">
        <f>_xlfn.XLOOKUP(VentesMagasins!$B333,Clients!ClientID,Région)</f>
        <v>Ouest</v>
      </c>
      <c r="X333" t="str">
        <f>INDEX(TypeClient,MATCH(VentesMagasins!$B333,Clients!ClientID))</f>
        <v>Fidèle</v>
      </c>
      <c r="Y333" t="str">
        <v>sept</v>
      </c>
    </row>
    <row r="334" spans="1:25" x14ac:dyDescent="0.25">
      <c r="A334" s="2">
        <v>333</v>
      </c>
      <c r="B334" s="12" t="s">
        <v>143</v>
      </c>
      <c r="C334" s="13">
        <v>45579</v>
      </c>
      <c r="D334" s="12" t="s">
        <v>333</v>
      </c>
      <c r="E334" s="14" t="s">
        <v>345</v>
      </c>
      <c r="F334" s="12" t="s">
        <v>341</v>
      </c>
      <c r="G334" s="2">
        <v>5</v>
      </c>
      <c r="H334" s="3">
        <v>116</v>
      </c>
      <c r="I334" s="14" t="s">
        <v>335</v>
      </c>
      <c r="J334" s="12" t="s">
        <v>668</v>
      </c>
      <c r="K334" s="2">
        <v>1</v>
      </c>
      <c r="L334" s="12" t="s">
        <v>352</v>
      </c>
      <c r="M334">
        <f>YEAR(VentesMagasins!$C334)</f>
        <v>2024</v>
      </c>
      <c r="N334" t="e" cm="1" vm="1">
        <f t="array" aca="1" ref="N334" ca="1">MONTH(DateVente)</f>
        <v>#VALUE!</v>
      </c>
      <c r="O334" t="str">
        <f>PROPER(VentesMagasins!$F334)</f>
        <v>Meuble</v>
      </c>
      <c r="P334">
        <f>VALUE(CLEAN(TRIM(SUBSTITUTE(VentesMagasins!$I334,".",","))))</f>
        <v>0</v>
      </c>
      <c r="Q334">
        <f>VALUE(TRIM(SUBSTITUTE(VentesMagasins!$J334,".",",")))</f>
        <v>580</v>
      </c>
      <c r="R334">
        <f t="shared" si="15"/>
        <v>580</v>
      </c>
      <c r="S334">
        <f>IF(VentesMagasins!$K334=1,(-1)*R334,R334)</f>
        <v>-580</v>
      </c>
      <c r="T334">
        <f>IFERROR(VALUE(TRIM(SUBSTITUTE(VentesMagasins!$L334,".",","))),0)</f>
        <v>0</v>
      </c>
      <c r="U334">
        <f t="shared" si="16"/>
        <v>3</v>
      </c>
      <c r="V334" t="str">
        <f t="shared" si="17"/>
        <v>moyenne</v>
      </c>
      <c r="W334" t="str">
        <f>_xlfn.XLOOKUP(VentesMagasins!$B334,Clients!ClientID,Région)</f>
        <v>Nord</v>
      </c>
      <c r="X334" t="str">
        <f>INDEX(TypeClient,MATCH(VentesMagasins!$B334,Clients!ClientID))</f>
        <v>Fidèle</v>
      </c>
      <c r="Y334" t="str">
        <v>oct</v>
      </c>
    </row>
    <row r="335" spans="1:25" x14ac:dyDescent="0.25">
      <c r="A335" s="2">
        <v>334</v>
      </c>
      <c r="B335" s="12" t="s">
        <v>291</v>
      </c>
      <c r="C335" s="13">
        <v>45681</v>
      </c>
      <c r="D335" s="12" t="s">
        <v>338</v>
      </c>
      <c r="E335" s="14" t="s">
        <v>329</v>
      </c>
      <c r="F335" s="12" t="s">
        <v>324</v>
      </c>
      <c r="G335" s="2">
        <v>1</v>
      </c>
      <c r="H335" s="3">
        <v>118</v>
      </c>
      <c r="I335" s="14" t="s">
        <v>335</v>
      </c>
      <c r="J335" s="12" t="s">
        <v>669</v>
      </c>
      <c r="K335" s="2">
        <v>1</v>
      </c>
      <c r="L335" s="12" t="s">
        <v>352</v>
      </c>
      <c r="M335">
        <f>YEAR(VentesMagasins!$C335)</f>
        <v>2025</v>
      </c>
      <c r="N335" t="e" cm="1" vm="1">
        <f t="array" aca="1" ref="N335" ca="1">MONTH(DateVente)</f>
        <v>#VALUE!</v>
      </c>
      <c r="O335" t="str">
        <f>PROPER(VentesMagasins!$F335)</f>
        <v>Électronique</v>
      </c>
      <c r="P335">
        <f>VALUE(CLEAN(TRIM(SUBSTITUTE(VentesMagasins!$I335,".",","))))</f>
        <v>0</v>
      </c>
      <c r="Q335">
        <f>VALUE(TRIM(SUBSTITUTE(VentesMagasins!$J335,".",",")))</f>
        <v>118</v>
      </c>
      <c r="R335">
        <f t="shared" si="15"/>
        <v>118</v>
      </c>
      <c r="S335">
        <f>IF(VentesMagasins!$K335=1,(-1)*R335,R335)</f>
        <v>-118</v>
      </c>
      <c r="T335">
        <f>IFERROR(VALUE(TRIM(SUBSTITUTE(VentesMagasins!$L335,".",","))),0)</f>
        <v>0</v>
      </c>
      <c r="U335">
        <f t="shared" si="16"/>
        <v>3</v>
      </c>
      <c r="V335" t="str">
        <f t="shared" si="17"/>
        <v>moyenne</v>
      </c>
      <c r="W335" t="str">
        <f>_xlfn.XLOOKUP(VentesMagasins!$B335,Clients!ClientID,Région)</f>
        <v>Ouest</v>
      </c>
      <c r="X335" t="str">
        <f>INDEX(TypeClient,MATCH(VentesMagasins!$B335,Clients!ClientID))</f>
        <v>Nouveau</v>
      </c>
      <c r="Y335" t="str">
        <v>janv</v>
      </c>
    </row>
    <row r="336" spans="1:25" x14ac:dyDescent="0.25">
      <c r="A336" s="2">
        <v>335</v>
      </c>
      <c r="B336" s="12" t="s">
        <v>172</v>
      </c>
      <c r="C336" s="13">
        <v>45438</v>
      </c>
      <c r="D336" s="12" t="s">
        <v>360</v>
      </c>
      <c r="E336" s="14" t="s">
        <v>323</v>
      </c>
      <c r="F336" s="12" t="s">
        <v>324</v>
      </c>
      <c r="G336" s="2">
        <v>2</v>
      </c>
      <c r="H336" s="3">
        <v>194</v>
      </c>
      <c r="I336" s="14" t="s">
        <v>335</v>
      </c>
      <c r="J336" s="12" t="s">
        <v>559</v>
      </c>
      <c r="K336" s="2">
        <v>0</v>
      </c>
      <c r="L336" s="12" t="s">
        <v>327</v>
      </c>
      <c r="M336">
        <f>YEAR(VentesMagasins!$C336)</f>
        <v>2024</v>
      </c>
      <c r="N336" t="e" cm="1" vm="1">
        <f t="array" aca="1" ref="N336" ca="1">MONTH(DateVente)</f>
        <v>#VALUE!</v>
      </c>
      <c r="O336" t="str">
        <f>PROPER(VentesMagasins!$F336)</f>
        <v>Électronique</v>
      </c>
      <c r="P336">
        <f>VALUE(CLEAN(TRIM(SUBSTITUTE(VentesMagasins!$I336,".",","))))</f>
        <v>0</v>
      </c>
      <c r="Q336">
        <f>VALUE(TRIM(SUBSTITUTE(VentesMagasins!$J336,".",",")))</f>
        <v>388</v>
      </c>
      <c r="R336">
        <f t="shared" si="15"/>
        <v>388</v>
      </c>
      <c r="S336">
        <f>IF(VentesMagasins!$K336=1,(-1)*R336,R336)</f>
        <v>388</v>
      </c>
      <c r="T336">
        <f>IFERROR(VALUE(TRIM(SUBSTITUTE(VentesMagasins!$L336,".",","))),0)</f>
        <v>5</v>
      </c>
      <c r="U336">
        <f t="shared" si="16"/>
        <v>5</v>
      </c>
      <c r="V336" t="str">
        <f t="shared" si="17"/>
        <v>élévé</v>
      </c>
      <c r="W336" t="str">
        <f>_xlfn.XLOOKUP(VentesMagasins!$B336,Clients!ClientID,Région)</f>
        <v>Centre</v>
      </c>
      <c r="X336" t="str">
        <f>INDEX(TypeClient,MATCH(VentesMagasins!$B336,Clients!ClientID))</f>
        <v>Nouveau</v>
      </c>
      <c r="Y336" t="str">
        <v>mai</v>
      </c>
    </row>
    <row r="337" spans="1:25" x14ac:dyDescent="0.25">
      <c r="A337" s="2">
        <v>336</v>
      </c>
      <c r="B337" s="12" t="s">
        <v>121</v>
      </c>
      <c r="C337" s="13">
        <v>45471</v>
      </c>
      <c r="D337" s="12" t="s">
        <v>328</v>
      </c>
      <c r="E337" s="14" t="s">
        <v>345</v>
      </c>
      <c r="F337" s="12" t="s">
        <v>324</v>
      </c>
      <c r="G337" s="2">
        <v>4</v>
      </c>
      <c r="H337" s="3">
        <v>191</v>
      </c>
      <c r="I337" s="14" t="s">
        <v>335</v>
      </c>
      <c r="J337" s="12" t="s">
        <v>670</v>
      </c>
      <c r="K337" s="2">
        <v>0</v>
      </c>
      <c r="L337" s="12" t="s">
        <v>327</v>
      </c>
      <c r="M337">
        <f>YEAR(VentesMagasins!$C337)</f>
        <v>2024</v>
      </c>
      <c r="N337" t="e" cm="1" vm="1">
        <f t="array" aca="1" ref="N337" ca="1">MONTH(DateVente)</f>
        <v>#VALUE!</v>
      </c>
      <c r="O337" t="str">
        <f>PROPER(VentesMagasins!$F337)</f>
        <v>Électronique</v>
      </c>
      <c r="P337">
        <f>VALUE(CLEAN(TRIM(SUBSTITUTE(VentesMagasins!$I337,".",","))))</f>
        <v>0</v>
      </c>
      <c r="Q337">
        <f>VALUE(TRIM(SUBSTITUTE(VentesMagasins!$J337,".",",")))</f>
        <v>764</v>
      </c>
      <c r="R337">
        <f t="shared" si="15"/>
        <v>764</v>
      </c>
      <c r="S337">
        <f>IF(VentesMagasins!$K337=1,(-1)*R337,R337)</f>
        <v>764</v>
      </c>
      <c r="T337">
        <f>IFERROR(VALUE(TRIM(SUBSTITUTE(VentesMagasins!$L337,".",","))),0)</f>
        <v>5</v>
      </c>
      <c r="U337">
        <f t="shared" si="16"/>
        <v>5</v>
      </c>
      <c r="V337" t="str">
        <f t="shared" si="17"/>
        <v>élévé</v>
      </c>
      <c r="W337" t="str">
        <f>_xlfn.XLOOKUP(VentesMagasins!$B337,Clients!ClientID,Région)</f>
        <v>Centre</v>
      </c>
      <c r="X337" t="str">
        <f>INDEX(TypeClient,MATCH(VentesMagasins!$B337,Clients!ClientID))</f>
        <v>Nouveau</v>
      </c>
      <c r="Y337" t="str">
        <v>juin</v>
      </c>
    </row>
    <row r="338" spans="1:25" x14ac:dyDescent="0.25">
      <c r="A338" s="2">
        <v>337</v>
      </c>
      <c r="B338" s="12" t="s">
        <v>29</v>
      </c>
      <c r="C338" s="13">
        <v>44988</v>
      </c>
      <c r="D338" s="12" t="s">
        <v>350</v>
      </c>
      <c r="E338" s="14" t="s">
        <v>348</v>
      </c>
      <c r="F338" s="12" t="s">
        <v>330</v>
      </c>
      <c r="G338" s="2">
        <v>3</v>
      </c>
      <c r="H338" s="3">
        <v>158</v>
      </c>
      <c r="I338" s="14" t="s">
        <v>355</v>
      </c>
      <c r="J338" s="12" t="s">
        <v>671</v>
      </c>
      <c r="K338" s="2">
        <v>0</v>
      </c>
      <c r="L338" s="12" t="s">
        <v>344</v>
      </c>
      <c r="M338">
        <f>YEAR(VentesMagasins!$C338)</f>
        <v>2023</v>
      </c>
      <c r="N338" t="e" cm="1" vm="1">
        <f t="array" aca="1" ref="N338" ca="1">MONTH(DateVente)</f>
        <v>#VALUE!</v>
      </c>
      <c r="O338" t="str">
        <f>PROPER(VentesMagasins!$F338)</f>
        <v>Décoration</v>
      </c>
      <c r="P338">
        <f>VALUE(CLEAN(TRIM(SUBSTITUTE(VentesMagasins!$I338,".",","))))</f>
        <v>0.1</v>
      </c>
      <c r="Q338">
        <f>VALUE(TRIM(SUBSTITUTE(VentesMagasins!$J338,".",",")))</f>
        <v>426.6</v>
      </c>
      <c r="R338">
        <f t="shared" si="15"/>
        <v>383.94000000000005</v>
      </c>
      <c r="S338">
        <f>IF(VentesMagasins!$K338=1,(-1)*R338,R338)</f>
        <v>383.94000000000005</v>
      </c>
      <c r="T338">
        <f>IFERROR(VALUE(TRIM(SUBSTITUTE(VentesMagasins!$L338,".",","))),0)</f>
        <v>2</v>
      </c>
      <c r="U338">
        <f t="shared" si="16"/>
        <v>2</v>
      </c>
      <c r="V338" t="str">
        <f t="shared" si="17"/>
        <v>faible</v>
      </c>
      <c r="W338" t="str">
        <f>_xlfn.XLOOKUP(VentesMagasins!$B338,Clients!ClientID,Région)</f>
        <v>Centre</v>
      </c>
      <c r="X338" t="str">
        <f>INDEX(TypeClient,MATCH(VentesMagasins!$B338,Clients!ClientID))</f>
        <v>Fidèle</v>
      </c>
      <c r="Y338" t="str">
        <v>mars</v>
      </c>
    </row>
    <row r="339" spans="1:25" x14ac:dyDescent="0.25">
      <c r="A339" s="2">
        <v>338</v>
      </c>
      <c r="B339" s="12" t="s">
        <v>295</v>
      </c>
      <c r="C339" s="13">
        <v>45698</v>
      </c>
      <c r="D339" s="12" t="s">
        <v>322</v>
      </c>
      <c r="E339" s="14" t="s">
        <v>348</v>
      </c>
      <c r="F339" s="12" t="s">
        <v>341</v>
      </c>
      <c r="G339" s="2">
        <v>1</v>
      </c>
      <c r="H339" s="3">
        <v>96</v>
      </c>
      <c r="I339" s="14" t="s">
        <v>342</v>
      </c>
      <c r="J339" s="12" t="s">
        <v>672</v>
      </c>
      <c r="K339" s="2">
        <v>0</v>
      </c>
      <c r="L339" s="12" t="s">
        <v>352</v>
      </c>
      <c r="M339">
        <f>YEAR(VentesMagasins!$C339)</f>
        <v>2025</v>
      </c>
      <c r="N339" t="e" cm="1" vm="1">
        <f t="array" aca="1" ref="N339" ca="1">MONTH(DateVente)</f>
        <v>#VALUE!</v>
      </c>
      <c r="O339" t="str">
        <f>PROPER(VentesMagasins!$F339)</f>
        <v>Meuble</v>
      </c>
      <c r="P339">
        <f>VALUE(CLEAN(TRIM(SUBSTITUTE(VentesMagasins!$I339,".",","))))</f>
        <v>0.05</v>
      </c>
      <c r="Q339">
        <f>VALUE(TRIM(SUBSTITUTE(VentesMagasins!$J339,".",",")))</f>
        <v>91.199999999999903</v>
      </c>
      <c r="R339">
        <f t="shared" si="15"/>
        <v>86.639999999999901</v>
      </c>
      <c r="S339">
        <f>IF(VentesMagasins!$K339=1,(-1)*R339,R339)</f>
        <v>86.639999999999901</v>
      </c>
      <c r="T339">
        <f>IFERROR(VALUE(TRIM(SUBSTITUTE(VentesMagasins!$L339,".",","))),0)</f>
        <v>0</v>
      </c>
      <c r="U339">
        <f t="shared" si="16"/>
        <v>3</v>
      </c>
      <c r="V339" t="str">
        <f t="shared" si="17"/>
        <v>moyenne</v>
      </c>
      <c r="W339" t="str">
        <f>_xlfn.XLOOKUP(VentesMagasins!$B339,Clients!ClientID,Région)</f>
        <v>Est</v>
      </c>
      <c r="X339" t="str">
        <f>INDEX(TypeClient,MATCH(VentesMagasins!$B339,Clients!ClientID))</f>
        <v>Nouveau</v>
      </c>
      <c r="Y339" t="str">
        <v>févr</v>
      </c>
    </row>
    <row r="340" spans="1:25" x14ac:dyDescent="0.25">
      <c r="A340" s="2">
        <v>339</v>
      </c>
      <c r="B340" s="12" t="s">
        <v>196</v>
      </c>
      <c r="C340" s="13">
        <v>45934</v>
      </c>
      <c r="D340" s="12" t="s">
        <v>328</v>
      </c>
      <c r="E340" s="14" t="s">
        <v>348</v>
      </c>
      <c r="F340" s="12" t="s">
        <v>324</v>
      </c>
      <c r="G340" s="2">
        <v>3</v>
      </c>
      <c r="H340" s="3">
        <v>497</v>
      </c>
      <c r="I340" s="14" t="s">
        <v>355</v>
      </c>
      <c r="J340" s="12" t="s">
        <v>673</v>
      </c>
      <c r="K340" s="2">
        <v>0</v>
      </c>
      <c r="L340" s="12" t="s">
        <v>344</v>
      </c>
      <c r="M340">
        <f>YEAR(VentesMagasins!$C340)</f>
        <v>2025</v>
      </c>
      <c r="N340" t="e" cm="1" vm="1">
        <f t="array" aca="1" ref="N340" ca="1">MONTH(DateVente)</f>
        <v>#VALUE!</v>
      </c>
      <c r="O340" t="str">
        <f>PROPER(VentesMagasins!$F340)</f>
        <v>Électronique</v>
      </c>
      <c r="P340">
        <f>VALUE(CLEAN(TRIM(SUBSTITUTE(VentesMagasins!$I340,".",","))))</f>
        <v>0.1</v>
      </c>
      <c r="Q340">
        <f>VALUE(TRIM(SUBSTITUTE(VentesMagasins!$J340,".",",")))</f>
        <v>1341.9</v>
      </c>
      <c r="R340">
        <f t="shared" si="15"/>
        <v>1207.71</v>
      </c>
      <c r="S340">
        <f>IF(VentesMagasins!$K340=1,(-1)*R340,R340)</f>
        <v>1207.71</v>
      </c>
      <c r="T340">
        <f>IFERROR(VALUE(TRIM(SUBSTITUTE(VentesMagasins!$L340,".",","))),0)</f>
        <v>2</v>
      </c>
      <c r="U340">
        <f t="shared" si="16"/>
        <v>2</v>
      </c>
      <c r="V340" t="str">
        <f t="shared" si="17"/>
        <v>faible</v>
      </c>
      <c r="W340" t="str">
        <f>_xlfn.XLOOKUP(VentesMagasins!$B340,Clients!ClientID,Région)</f>
        <v>Centre</v>
      </c>
      <c r="X340" t="str">
        <f>INDEX(TypeClient,MATCH(VentesMagasins!$B340,Clients!ClientID))</f>
        <v>Nouveau</v>
      </c>
      <c r="Y340" t="str">
        <v>oct</v>
      </c>
    </row>
    <row r="341" spans="1:25" x14ac:dyDescent="0.25">
      <c r="A341" s="2">
        <v>340</v>
      </c>
      <c r="B341" s="12" t="s">
        <v>62</v>
      </c>
      <c r="C341" s="13">
        <v>45739</v>
      </c>
      <c r="D341" s="12" t="s">
        <v>338</v>
      </c>
      <c r="E341" s="14" t="s">
        <v>362</v>
      </c>
      <c r="F341" s="12" t="s">
        <v>341</v>
      </c>
      <c r="G341" s="2">
        <v>5</v>
      </c>
      <c r="H341" s="3">
        <v>127</v>
      </c>
      <c r="I341" s="14" t="s">
        <v>355</v>
      </c>
      <c r="J341" s="12" t="s">
        <v>674</v>
      </c>
      <c r="K341" s="2">
        <v>0</v>
      </c>
      <c r="L341" s="12" t="s">
        <v>332</v>
      </c>
      <c r="M341">
        <f>YEAR(VentesMagasins!$C341)</f>
        <v>2025</v>
      </c>
      <c r="N341" t="e" cm="1" vm="1">
        <f t="array" aca="1" ref="N341" ca="1">MONTH(DateVente)</f>
        <v>#VALUE!</v>
      </c>
      <c r="O341" t="str">
        <f>PROPER(VentesMagasins!$F341)</f>
        <v>Meuble</v>
      </c>
      <c r="P341">
        <f>VALUE(CLEAN(TRIM(SUBSTITUTE(VentesMagasins!$I341,".",","))))</f>
        <v>0.1</v>
      </c>
      <c r="Q341">
        <f>VALUE(TRIM(SUBSTITUTE(VentesMagasins!$J341,".",",")))</f>
        <v>571.5</v>
      </c>
      <c r="R341">
        <f t="shared" si="15"/>
        <v>514.35</v>
      </c>
      <c r="S341">
        <f>IF(VentesMagasins!$K341=1,(-1)*R341,R341)</f>
        <v>514.35</v>
      </c>
      <c r="T341">
        <f>IFERROR(VALUE(TRIM(SUBSTITUTE(VentesMagasins!$L341,".",","))),0)</f>
        <v>4</v>
      </c>
      <c r="U341">
        <f t="shared" si="16"/>
        <v>4</v>
      </c>
      <c r="V341" t="str">
        <f t="shared" si="17"/>
        <v>moyenne</v>
      </c>
      <c r="W341" t="str">
        <f>_xlfn.XLOOKUP(VentesMagasins!$B341,Clients!ClientID,Région)</f>
        <v>Sud</v>
      </c>
      <c r="X341" t="str">
        <f>INDEX(TypeClient,MATCH(VentesMagasins!$B341,Clients!ClientID))</f>
        <v>Nouveau</v>
      </c>
      <c r="Y341" t="str">
        <v>mars</v>
      </c>
    </row>
    <row r="342" spans="1:25" x14ac:dyDescent="0.25">
      <c r="A342" s="2">
        <v>341</v>
      </c>
      <c r="B342" s="12" t="s">
        <v>272</v>
      </c>
      <c r="C342" s="13">
        <v>45528</v>
      </c>
      <c r="D342" s="12" t="s">
        <v>328</v>
      </c>
      <c r="E342" s="14" t="s">
        <v>348</v>
      </c>
      <c r="F342" s="12" t="s">
        <v>324</v>
      </c>
      <c r="G342" s="2">
        <v>3</v>
      </c>
      <c r="H342" s="3">
        <v>98</v>
      </c>
      <c r="I342" s="14" t="s">
        <v>335</v>
      </c>
      <c r="J342" s="12" t="s">
        <v>675</v>
      </c>
      <c r="K342" s="2">
        <v>0</v>
      </c>
      <c r="L342" s="12" t="s">
        <v>352</v>
      </c>
      <c r="M342">
        <f>YEAR(VentesMagasins!$C342)</f>
        <v>2024</v>
      </c>
      <c r="N342" t="e" cm="1" vm="1">
        <f t="array" aca="1" ref="N342" ca="1">MONTH(DateVente)</f>
        <v>#VALUE!</v>
      </c>
      <c r="O342" t="str">
        <f>PROPER(VentesMagasins!$F342)</f>
        <v>Électronique</v>
      </c>
      <c r="P342">
        <f>VALUE(CLEAN(TRIM(SUBSTITUTE(VentesMagasins!$I342,".",","))))</f>
        <v>0</v>
      </c>
      <c r="Q342">
        <f>VALUE(TRIM(SUBSTITUTE(VentesMagasins!$J342,".",",")))</f>
        <v>294</v>
      </c>
      <c r="R342">
        <f t="shared" si="15"/>
        <v>294</v>
      </c>
      <c r="S342">
        <f>IF(VentesMagasins!$K342=1,(-1)*R342,R342)</f>
        <v>294</v>
      </c>
      <c r="T342">
        <f>IFERROR(VALUE(TRIM(SUBSTITUTE(VentesMagasins!$L342,".",","))),0)</f>
        <v>0</v>
      </c>
      <c r="U342">
        <f t="shared" si="16"/>
        <v>3</v>
      </c>
      <c r="V342" t="str">
        <f t="shared" si="17"/>
        <v>moyenne</v>
      </c>
      <c r="W342" t="str">
        <f>_xlfn.XLOOKUP(VentesMagasins!$B342,Clients!ClientID,Région)</f>
        <v>Centre</v>
      </c>
      <c r="X342" t="str">
        <f>INDEX(TypeClient,MATCH(VentesMagasins!$B342,Clients!ClientID))</f>
        <v>Fidèle</v>
      </c>
      <c r="Y342" t="str">
        <v>août</v>
      </c>
    </row>
    <row r="343" spans="1:25" x14ac:dyDescent="0.25">
      <c r="A343" s="2">
        <v>342</v>
      </c>
      <c r="B343" s="12" t="s">
        <v>35</v>
      </c>
      <c r="C343" s="13">
        <v>45984</v>
      </c>
      <c r="D343" s="12" t="s">
        <v>338</v>
      </c>
      <c r="E343" s="14" t="s">
        <v>362</v>
      </c>
      <c r="F343" s="12" t="s">
        <v>330</v>
      </c>
      <c r="G343" s="2">
        <v>1</v>
      </c>
      <c r="H343" s="3">
        <v>227</v>
      </c>
      <c r="I343" s="14" t="s">
        <v>342</v>
      </c>
      <c r="J343" s="12" t="s">
        <v>676</v>
      </c>
      <c r="K343" s="2">
        <v>0</v>
      </c>
      <c r="L343" s="12" t="s">
        <v>337</v>
      </c>
      <c r="M343">
        <f>YEAR(VentesMagasins!$C343)</f>
        <v>2025</v>
      </c>
      <c r="N343" t="e" cm="1" vm="1">
        <f t="array" aca="1" ref="N343" ca="1">MONTH(DateVente)</f>
        <v>#VALUE!</v>
      </c>
      <c r="O343" t="str">
        <f>PROPER(VentesMagasins!$F343)</f>
        <v>Décoration</v>
      </c>
      <c r="P343">
        <f>VALUE(CLEAN(TRIM(SUBSTITUTE(VentesMagasins!$I343,".",","))))</f>
        <v>0.05</v>
      </c>
      <c r="Q343">
        <f>VALUE(TRIM(SUBSTITUTE(VentesMagasins!$J343,".",",")))</f>
        <v>215.64999999999901</v>
      </c>
      <c r="R343">
        <f t="shared" si="15"/>
        <v>204.86749999999904</v>
      </c>
      <c r="S343">
        <f>IF(VentesMagasins!$K343=1,(-1)*R343,R343)</f>
        <v>204.86749999999904</v>
      </c>
      <c r="T343">
        <f>IFERROR(VALUE(TRIM(SUBSTITUTE(VentesMagasins!$L343,".",","))),0)</f>
        <v>3</v>
      </c>
      <c r="U343">
        <f t="shared" si="16"/>
        <v>3</v>
      </c>
      <c r="V343" t="str">
        <f t="shared" si="17"/>
        <v>moyenne</v>
      </c>
      <c r="W343" t="str">
        <f>_xlfn.XLOOKUP(VentesMagasins!$B343,Clients!ClientID,Région)</f>
        <v>Ouest</v>
      </c>
      <c r="X343" t="str">
        <f>INDEX(TypeClient,MATCH(VentesMagasins!$B343,Clients!ClientID))</f>
        <v>Occasionnel</v>
      </c>
      <c r="Y343" t="str">
        <v>nov</v>
      </c>
    </row>
    <row r="344" spans="1:25" x14ac:dyDescent="0.25">
      <c r="A344" s="2">
        <v>343</v>
      </c>
      <c r="B344" s="12" t="s">
        <v>246</v>
      </c>
      <c r="C344" s="13">
        <v>45547</v>
      </c>
      <c r="D344" s="12" t="s">
        <v>328</v>
      </c>
      <c r="E344" s="14" t="s">
        <v>362</v>
      </c>
      <c r="F344" s="12" t="s">
        <v>324</v>
      </c>
      <c r="G344" s="2">
        <v>1</v>
      </c>
      <c r="H344" s="3">
        <v>353</v>
      </c>
      <c r="I344" s="14" t="s">
        <v>355</v>
      </c>
      <c r="J344" s="12" t="s">
        <v>677</v>
      </c>
      <c r="K344" s="2">
        <v>0</v>
      </c>
      <c r="L344" s="12" t="s">
        <v>369</v>
      </c>
      <c r="M344">
        <f>YEAR(VentesMagasins!$C344)</f>
        <v>2024</v>
      </c>
      <c r="N344" t="e" cm="1" vm="1">
        <f t="array" aca="1" ref="N344" ca="1">MONTH(DateVente)</f>
        <v>#VALUE!</v>
      </c>
      <c r="O344" t="str">
        <f>PROPER(VentesMagasins!$F344)</f>
        <v>Électronique</v>
      </c>
      <c r="P344">
        <f>VALUE(CLEAN(TRIM(SUBSTITUTE(VentesMagasins!$I344,".",","))))</f>
        <v>0.1</v>
      </c>
      <c r="Q344">
        <f>VALUE(TRIM(SUBSTITUTE(VentesMagasins!$J344,".",",")))</f>
        <v>317.7</v>
      </c>
      <c r="R344">
        <f t="shared" si="15"/>
        <v>285.93</v>
      </c>
      <c r="S344">
        <f>IF(VentesMagasins!$K344=1,(-1)*R344,R344)</f>
        <v>285.93</v>
      </c>
      <c r="T344">
        <f>IFERROR(VALUE(TRIM(SUBSTITUTE(VentesMagasins!$L344,".",","))),0)</f>
        <v>1</v>
      </c>
      <c r="U344">
        <f t="shared" si="16"/>
        <v>1</v>
      </c>
      <c r="V344" t="str">
        <f t="shared" si="17"/>
        <v>faible</v>
      </c>
      <c r="W344" t="str">
        <f>_xlfn.XLOOKUP(VentesMagasins!$B344,Clients!ClientID,Région)</f>
        <v>Centre</v>
      </c>
      <c r="X344" t="str">
        <f>INDEX(TypeClient,MATCH(VentesMagasins!$B344,Clients!ClientID))</f>
        <v>Nouveau</v>
      </c>
      <c r="Y344" t="str">
        <v>sept</v>
      </c>
    </row>
    <row r="345" spans="1:25" x14ac:dyDescent="0.25">
      <c r="A345" s="2">
        <v>344</v>
      </c>
      <c r="B345" s="12" t="s">
        <v>88</v>
      </c>
      <c r="C345" s="13">
        <v>45946</v>
      </c>
      <c r="D345" s="12" t="s">
        <v>338</v>
      </c>
      <c r="E345" s="14" t="s">
        <v>329</v>
      </c>
      <c r="F345" s="12" t="s">
        <v>341</v>
      </c>
      <c r="G345" s="2">
        <v>2</v>
      </c>
      <c r="H345" s="3">
        <v>438</v>
      </c>
      <c r="I345" s="14" t="s">
        <v>355</v>
      </c>
      <c r="J345" s="12" t="s">
        <v>678</v>
      </c>
      <c r="K345" s="2">
        <v>0</v>
      </c>
      <c r="L345" s="12" t="s">
        <v>344</v>
      </c>
      <c r="M345">
        <f>YEAR(VentesMagasins!$C345)</f>
        <v>2025</v>
      </c>
      <c r="N345" t="e" cm="1" vm="1">
        <f t="array" aca="1" ref="N345" ca="1">MONTH(DateVente)</f>
        <v>#VALUE!</v>
      </c>
      <c r="O345" t="str">
        <f>PROPER(VentesMagasins!$F345)</f>
        <v>Meuble</v>
      </c>
      <c r="P345">
        <f>VALUE(CLEAN(TRIM(SUBSTITUTE(VentesMagasins!$I345,".",","))))</f>
        <v>0.1</v>
      </c>
      <c r="Q345">
        <f>VALUE(TRIM(SUBSTITUTE(VentesMagasins!$J345,".",",")))</f>
        <v>788.4</v>
      </c>
      <c r="R345">
        <f t="shared" si="15"/>
        <v>709.56</v>
      </c>
      <c r="S345">
        <f>IF(VentesMagasins!$K345=1,(-1)*R345,R345)</f>
        <v>709.56</v>
      </c>
      <c r="T345">
        <f>IFERROR(VALUE(TRIM(SUBSTITUTE(VentesMagasins!$L345,".",","))),0)</f>
        <v>2</v>
      </c>
      <c r="U345">
        <f t="shared" si="16"/>
        <v>2</v>
      </c>
      <c r="V345" t="str">
        <f t="shared" si="17"/>
        <v>faible</v>
      </c>
      <c r="W345" t="str">
        <f>_xlfn.XLOOKUP(VentesMagasins!$B345,Clients!ClientID,Région)</f>
        <v>Centre</v>
      </c>
      <c r="X345" t="str">
        <f>INDEX(TypeClient,MATCH(VentesMagasins!$B345,Clients!ClientID))</f>
        <v>Nouveau</v>
      </c>
      <c r="Y345" t="str">
        <v>oct</v>
      </c>
    </row>
    <row r="346" spans="1:25" x14ac:dyDescent="0.25">
      <c r="A346" s="2">
        <v>345</v>
      </c>
      <c r="B346" s="12" t="s">
        <v>43</v>
      </c>
      <c r="C346" s="13">
        <v>45624</v>
      </c>
      <c r="D346" s="12" t="s">
        <v>333</v>
      </c>
      <c r="E346" s="14" t="s">
        <v>364</v>
      </c>
      <c r="F346" s="12" t="s">
        <v>341</v>
      </c>
      <c r="G346" s="2">
        <v>1</v>
      </c>
      <c r="H346" s="3">
        <v>163</v>
      </c>
      <c r="I346" s="14" t="s">
        <v>355</v>
      </c>
      <c r="J346" s="12" t="s">
        <v>679</v>
      </c>
      <c r="K346" s="2">
        <v>0</v>
      </c>
      <c r="L346" s="12" t="s">
        <v>369</v>
      </c>
      <c r="M346">
        <f>YEAR(VentesMagasins!$C346)</f>
        <v>2024</v>
      </c>
      <c r="N346" t="e" cm="1" vm="1">
        <f t="array" aca="1" ref="N346" ca="1">MONTH(DateVente)</f>
        <v>#VALUE!</v>
      </c>
      <c r="O346" t="str">
        <f>PROPER(VentesMagasins!$F346)</f>
        <v>Meuble</v>
      </c>
      <c r="P346">
        <f>VALUE(CLEAN(TRIM(SUBSTITUTE(VentesMagasins!$I346,".",","))))</f>
        <v>0.1</v>
      </c>
      <c r="Q346">
        <f>VALUE(TRIM(SUBSTITUTE(VentesMagasins!$J346,".",",")))</f>
        <v>146.69999999999999</v>
      </c>
      <c r="R346">
        <f t="shared" si="15"/>
        <v>132.03</v>
      </c>
      <c r="S346">
        <f>IF(VentesMagasins!$K346=1,(-1)*R346,R346)</f>
        <v>132.03</v>
      </c>
      <c r="T346">
        <f>IFERROR(VALUE(TRIM(SUBSTITUTE(VentesMagasins!$L346,".",","))),0)</f>
        <v>1</v>
      </c>
      <c r="U346">
        <f t="shared" si="16"/>
        <v>1</v>
      </c>
      <c r="V346" t="str">
        <f t="shared" si="17"/>
        <v>faible</v>
      </c>
      <c r="W346" t="str">
        <f>_xlfn.XLOOKUP(VentesMagasins!$B346,Clients!ClientID,Région)</f>
        <v>Est</v>
      </c>
      <c r="X346" t="str">
        <f>INDEX(TypeClient,MATCH(VentesMagasins!$B346,Clients!ClientID))</f>
        <v>Nouveau</v>
      </c>
      <c r="Y346" t="str">
        <v>nov</v>
      </c>
    </row>
    <row r="347" spans="1:25" x14ac:dyDescent="0.25">
      <c r="A347" s="2">
        <v>346</v>
      </c>
      <c r="B347" s="12" t="s">
        <v>212</v>
      </c>
      <c r="C347" s="13">
        <v>45272</v>
      </c>
      <c r="D347" s="12" t="s">
        <v>350</v>
      </c>
      <c r="E347" s="14" t="s">
        <v>362</v>
      </c>
      <c r="F347" s="12" t="s">
        <v>324</v>
      </c>
      <c r="G347" s="2">
        <v>5</v>
      </c>
      <c r="H347" s="3">
        <v>259</v>
      </c>
      <c r="I347" s="14" t="s">
        <v>342</v>
      </c>
      <c r="J347" s="12" t="s">
        <v>680</v>
      </c>
      <c r="K347" s="2">
        <v>0</v>
      </c>
      <c r="L347" s="12" t="s">
        <v>327</v>
      </c>
      <c r="M347">
        <f>YEAR(VentesMagasins!$C347)</f>
        <v>2023</v>
      </c>
      <c r="N347" t="e" cm="1" vm="1">
        <f t="array" aca="1" ref="N347" ca="1">MONTH(DateVente)</f>
        <v>#VALUE!</v>
      </c>
      <c r="O347" t="str">
        <f>PROPER(VentesMagasins!$F347)</f>
        <v>Électronique</v>
      </c>
      <c r="P347">
        <f>VALUE(CLEAN(TRIM(SUBSTITUTE(VentesMagasins!$I347,".",","))))</f>
        <v>0.05</v>
      </c>
      <c r="Q347">
        <f>VALUE(TRIM(SUBSTITUTE(VentesMagasins!$J347,".",",")))</f>
        <v>1230.25</v>
      </c>
      <c r="R347">
        <f t="shared" si="15"/>
        <v>1168.7375</v>
      </c>
      <c r="S347">
        <f>IF(VentesMagasins!$K347=1,(-1)*R347,R347)</f>
        <v>1168.7375</v>
      </c>
      <c r="T347">
        <f>IFERROR(VALUE(TRIM(SUBSTITUTE(VentesMagasins!$L347,".",","))),0)</f>
        <v>5</v>
      </c>
      <c r="U347">
        <f t="shared" si="16"/>
        <v>5</v>
      </c>
      <c r="V347" t="str">
        <f t="shared" si="17"/>
        <v>élévé</v>
      </c>
      <c r="W347" t="str">
        <f>_xlfn.XLOOKUP(VentesMagasins!$B347,Clients!ClientID,Région)</f>
        <v>Sud</v>
      </c>
      <c r="X347" t="str">
        <f>INDEX(TypeClient,MATCH(VentesMagasins!$B347,Clients!ClientID))</f>
        <v>Fidèle</v>
      </c>
      <c r="Y347" t="str">
        <v>déc</v>
      </c>
    </row>
    <row r="348" spans="1:25" x14ac:dyDescent="0.25">
      <c r="A348" s="2">
        <v>347</v>
      </c>
      <c r="B348" s="12" t="s">
        <v>149</v>
      </c>
      <c r="C348" s="13">
        <v>45964</v>
      </c>
      <c r="D348" s="12" t="s">
        <v>333</v>
      </c>
      <c r="E348" s="14" t="s">
        <v>323</v>
      </c>
      <c r="F348" s="12" t="s">
        <v>330</v>
      </c>
      <c r="G348" s="2">
        <v>1</v>
      </c>
      <c r="H348" s="3">
        <v>193</v>
      </c>
      <c r="I348" s="14" t="s">
        <v>355</v>
      </c>
      <c r="J348" s="12" t="s">
        <v>455</v>
      </c>
      <c r="K348" s="2">
        <v>0</v>
      </c>
      <c r="L348" s="12" t="s">
        <v>327</v>
      </c>
      <c r="M348">
        <f>YEAR(VentesMagasins!$C348)</f>
        <v>2025</v>
      </c>
      <c r="N348" t="e" cm="1" vm="1">
        <f t="array" aca="1" ref="N348" ca="1">MONTH(DateVente)</f>
        <v>#VALUE!</v>
      </c>
      <c r="O348" t="str">
        <f>PROPER(VentesMagasins!$F348)</f>
        <v>Décoration</v>
      </c>
      <c r="P348">
        <f>VALUE(CLEAN(TRIM(SUBSTITUTE(VentesMagasins!$I348,".",","))))</f>
        <v>0.1</v>
      </c>
      <c r="Q348">
        <f>VALUE(TRIM(SUBSTITUTE(VentesMagasins!$J348,".",",")))</f>
        <v>173.7</v>
      </c>
      <c r="R348">
        <f t="shared" si="15"/>
        <v>156.32999999999998</v>
      </c>
      <c r="S348">
        <f>IF(VentesMagasins!$K348=1,(-1)*R348,R348)</f>
        <v>156.32999999999998</v>
      </c>
      <c r="T348">
        <f>IFERROR(VALUE(TRIM(SUBSTITUTE(VentesMagasins!$L348,".",","))),0)</f>
        <v>5</v>
      </c>
      <c r="U348">
        <f t="shared" si="16"/>
        <v>5</v>
      </c>
      <c r="V348" t="str">
        <f t="shared" si="17"/>
        <v>élévé</v>
      </c>
      <c r="W348" t="str">
        <f>_xlfn.XLOOKUP(VentesMagasins!$B348,Clients!ClientID,Région)</f>
        <v>Centre</v>
      </c>
      <c r="X348" t="str">
        <f>INDEX(TypeClient,MATCH(VentesMagasins!$B348,Clients!ClientID))</f>
        <v>Nouveau</v>
      </c>
      <c r="Y348" t="str">
        <v>nov</v>
      </c>
    </row>
    <row r="349" spans="1:25" x14ac:dyDescent="0.25">
      <c r="A349" s="2">
        <v>348</v>
      </c>
      <c r="B349" s="12" t="s">
        <v>28</v>
      </c>
      <c r="C349" s="13">
        <v>45188</v>
      </c>
      <c r="D349" s="12" t="s">
        <v>350</v>
      </c>
      <c r="E349" s="14" t="s">
        <v>345</v>
      </c>
      <c r="F349" s="12" t="s">
        <v>416</v>
      </c>
      <c r="G349" s="2">
        <v>5</v>
      </c>
      <c r="H349" s="3">
        <v>158</v>
      </c>
      <c r="I349" s="14" t="s">
        <v>325</v>
      </c>
      <c r="J349" s="12" t="s">
        <v>681</v>
      </c>
      <c r="K349" s="2">
        <v>0</v>
      </c>
      <c r="L349" s="12" t="s">
        <v>332</v>
      </c>
      <c r="M349">
        <f>YEAR(VentesMagasins!$C349)</f>
        <v>2023</v>
      </c>
      <c r="N349" t="e" cm="1" vm="1">
        <f t="array" aca="1" ref="N349" ca="1">MONTH(DateVente)</f>
        <v>#VALUE!</v>
      </c>
      <c r="O349" t="str">
        <f>PROPER(VentesMagasins!$F349)</f>
        <v>Meuble</v>
      </c>
      <c r="P349">
        <f>VALUE(CLEAN(TRIM(SUBSTITUTE(VentesMagasins!$I349,".",","))))</f>
        <v>0.15</v>
      </c>
      <c r="Q349">
        <f>VALUE(TRIM(SUBSTITUTE(VentesMagasins!$J349,".",",")))</f>
        <v>671.5</v>
      </c>
      <c r="R349">
        <f t="shared" si="15"/>
        <v>570.77499999999998</v>
      </c>
      <c r="S349">
        <f>IF(VentesMagasins!$K349=1,(-1)*R349,R349)</f>
        <v>570.77499999999998</v>
      </c>
      <c r="T349">
        <f>IFERROR(VALUE(TRIM(SUBSTITUTE(VentesMagasins!$L349,".",","))),0)</f>
        <v>4</v>
      </c>
      <c r="U349">
        <f t="shared" si="16"/>
        <v>4</v>
      </c>
      <c r="V349" t="str">
        <f t="shared" si="17"/>
        <v>moyenne</v>
      </c>
      <c r="W349" t="str">
        <f>_xlfn.XLOOKUP(VentesMagasins!$B349,Clients!ClientID,Région)</f>
        <v>Ouest</v>
      </c>
      <c r="X349" t="str">
        <f>INDEX(TypeClient,MATCH(VentesMagasins!$B349,Clients!ClientID))</f>
        <v>Occasionnel</v>
      </c>
      <c r="Y349" t="str">
        <v>sept</v>
      </c>
    </row>
    <row r="350" spans="1:25" x14ac:dyDescent="0.25">
      <c r="A350" s="2">
        <v>349</v>
      </c>
      <c r="B350" s="12" t="s">
        <v>172</v>
      </c>
      <c r="C350" s="13">
        <v>45061</v>
      </c>
      <c r="D350" s="12" t="s">
        <v>338</v>
      </c>
      <c r="E350" s="14" t="s">
        <v>334</v>
      </c>
      <c r="F350" s="12" t="s">
        <v>341</v>
      </c>
      <c r="G350" s="2">
        <v>1</v>
      </c>
      <c r="H350" s="3">
        <v>326</v>
      </c>
      <c r="I350" s="14" t="s">
        <v>355</v>
      </c>
      <c r="J350" s="12" t="s">
        <v>682</v>
      </c>
      <c r="K350" s="2">
        <v>0</v>
      </c>
      <c r="L350" s="12" t="s">
        <v>332</v>
      </c>
      <c r="M350">
        <f>YEAR(VentesMagasins!$C350)</f>
        <v>2023</v>
      </c>
      <c r="N350" t="e" cm="1" vm="1">
        <f t="array" aca="1" ref="N350" ca="1">MONTH(DateVente)</f>
        <v>#VALUE!</v>
      </c>
      <c r="O350" t="str">
        <f>PROPER(VentesMagasins!$F350)</f>
        <v>Meuble</v>
      </c>
      <c r="P350">
        <f>VALUE(CLEAN(TRIM(SUBSTITUTE(VentesMagasins!$I350,".",","))))</f>
        <v>0.1</v>
      </c>
      <c r="Q350">
        <f>VALUE(TRIM(SUBSTITUTE(VentesMagasins!$J350,".",",")))</f>
        <v>293.39999999999998</v>
      </c>
      <c r="R350">
        <f t="shared" si="15"/>
        <v>264.06</v>
      </c>
      <c r="S350">
        <f>IF(VentesMagasins!$K350=1,(-1)*R350,R350)</f>
        <v>264.06</v>
      </c>
      <c r="T350">
        <f>IFERROR(VALUE(TRIM(SUBSTITUTE(VentesMagasins!$L350,".",","))),0)</f>
        <v>4</v>
      </c>
      <c r="U350">
        <f t="shared" si="16"/>
        <v>4</v>
      </c>
      <c r="V350" t="str">
        <f t="shared" si="17"/>
        <v>moyenne</v>
      </c>
      <c r="W350" t="str">
        <f>_xlfn.XLOOKUP(VentesMagasins!$B350,Clients!ClientID,Région)</f>
        <v>Centre</v>
      </c>
      <c r="X350" t="str">
        <f>INDEX(TypeClient,MATCH(VentesMagasins!$B350,Clients!ClientID))</f>
        <v>Nouveau</v>
      </c>
      <c r="Y350" t="str">
        <v>mai</v>
      </c>
    </row>
    <row r="351" spans="1:25" x14ac:dyDescent="0.25">
      <c r="A351" s="2">
        <v>350</v>
      </c>
      <c r="B351" s="12" t="s">
        <v>171</v>
      </c>
      <c r="C351" s="13">
        <v>45380</v>
      </c>
      <c r="D351" s="12" t="s">
        <v>333</v>
      </c>
      <c r="E351" s="14" t="s">
        <v>339</v>
      </c>
      <c r="F351" s="12" t="s">
        <v>341</v>
      </c>
      <c r="G351" s="2">
        <v>4</v>
      </c>
      <c r="H351" s="3">
        <v>423</v>
      </c>
      <c r="I351" s="14" t="s">
        <v>355</v>
      </c>
      <c r="J351" s="12" t="s">
        <v>683</v>
      </c>
      <c r="K351" s="2">
        <v>1</v>
      </c>
      <c r="L351" s="12" t="s">
        <v>327</v>
      </c>
      <c r="M351">
        <f>YEAR(VentesMagasins!$C351)</f>
        <v>2024</v>
      </c>
      <c r="N351" t="e" cm="1" vm="1">
        <f t="array" aca="1" ref="N351" ca="1">MONTH(DateVente)</f>
        <v>#VALUE!</v>
      </c>
      <c r="O351" t="str">
        <f>PROPER(VentesMagasins!$F351)</f>
        <v>Meuble</v>
      </c>
      <c r="P351">
        <f>VALUE(CLEAN(TRIM(SUBSTITUTE(VentesMagasins!$I351,".",","))))</f>
        <v>0.1</v>
      </c>
      <c r="Q351">
        <f>VALUE(TRIM(SUBSTITUTE(VentesMagasins!$J351,".",",")))</f>
        <v>1522.8</v>
      </c>
      <c r="R351">
        <f t="shared" si="15"/>
        <v>1370.52</v>
      </c>
      <c r="S351">
        <f>IF(VentesMagasins!$K351=1,(-1)*R351,R351)</f>
        <v>-1370.52</v>
      </c>
      <c r="T351">
        <f>IFERROR(VALUE(TRIM(SUBSTITUTE(VentesMagasins!$L351,".",","))),0)</f>
        <v>5</v>
      </c>
      <c r="U351">
        <f t="shared" si="16"/>
        <v>5</v>
      </c>
      <c r="V351" t="str">
        <f t="shared" si="17"/>
        <v>élévé</v>
      </c>
      <c r="W351" t="str">
        <f>_xlfn.XLOOKUP(VentesMagasins!$B351,Clients!ClientID,Région)</f>
        <v>Nord</v>
      </c>
      <c r="X351" t="str">
        <f>INDEX(TypeClient,MATCH(VentesMagasins!$B351,Clients!ClientID))</f>
        <v>Fidèle</v>
      </c>
      <c r="Y351" t="str">
        <v>mars</v>
      </c>
    </row>
    <row r="352" spans="1:25" x14ac:dyDescent="0.25">
      <c r="A352" s="2">
        <v>351</v>
      </c>
      <c r="B352" s="12" t="s">
        <v>111</v>
      </c>
      <c r="C352" s="13">
        <v>45348</v>
      </c>
      <c r="D352" s="12" t="s">
        <v>328</v>
      </c>
      <c r="E352" s="14" t="s">
        <v>362</v>
      </c>
      <c r="F352" s="12" t="s">
        <v>330</v>
      </c>
      <c r="G352" s="2">
        <v>5</v>
      </c>
      <c r="H352" s="3">
        <v>93</v>
      </c>
      <c r="I352" s="14" t="s">
        <v>335</v>
      </c>
      <c r="J352" s="12" t="s">
        <v>684</v>
      </c>
      <c r="K352" s="2">
        <v>0</v>
      </c>
      <c r="L352" s="12" t="s">
        <v>369</v>
      </c>
      <c r="M352">
        <f>YEAR(VentesMagasins!$C352)</f>
        <v>2024</v>
      </c>
      <c r="N352" t="e" cm="1" vm="1">
        <f t="array" aca="1" ref="N352" ca="1">MONTH(DateVente)</f>
        <v>#VALUE!</v>
      </c>
      <c r="O352" t="str">
        <f>PROPER(VentesMagasins!$F352)</f>
        <v>Décoration</v>
      </c>
      <c r="P352">
        <f>VALUE(CLEAN(TRIM(SUBSTITUTE(VentesMagasins!$I352,".",","))))</f>
        <v>0</v>
      </c>
      <c r="Q352">
        <f>VALUE(TRIM(SUBSTITUTE(VentesMagasins!$J352,".",",")))</f>
        <v>465</v>
      </c>
      <c r="R352">
        <f t="shared" si="15"/>
        <v>465</v>
      </c>
      <c r="S352">
        <f>IF(VentesMagasins!$K352=1,(-1)*R352,R352)</f>
        <v>465</v>
      </c>
      <c r="T352">
        <f>IFERROR(VALUE(TRIM(SUBSTITUTE(VentesMagasins!$L352,".",","))),0)</f>
        <v>1</v>
      </c>
      <c r="U352">
        <f t="shared" si="16"/>
        <v>1</v>
      </c>
      <c r="V352" t="str">
        <f t="shared" si="17"/>
        <v>faible</v>
      </c>
      <c r="W352" t="str">
        <f>_xlfn.XLOOKUP(VentesMagasins!$B352,Clients!ClientID,Région)</f>
        <v>Nord</v>
      </c>
      <c r="X352" t="str">
        <f>INDEX(TypeClient,MATCH(VentesMagasins!$B352,Clients!ClientID))</f>
        <v>Nouveau</v>
      </c>
      <c r="Y352" t="str">
        <v>févr</v>
      </c>
    </row>
    <row r="353" spans="1:25" x14ac:dyDescent="0.25">
      <c r="A353" s="2">
        <v>352</v>
      </c>
      <c r="B353" s="12" t="s">
        <v>148</v>
      </c>
      <c r="C353" s="13">
        <v>45480</v>
      </c>
      <c r="D353" s="12" t="s">
        <v>338</v>
      </c>
      <c r="E353" s="14" t="s">
        <v>345</v>
      </c>
      <c r="F353" s="12" t="s">
        <v>324</v>
      </c>
      <c r="G353" s="2">
        <v>1</v>
      </c>
      <c r="H353" s="3">
        <v>107</v>
      </c>
      <c r="I353" s="14" t="s">
        <v>355</v>
      </c>
      <c r="J353" s="12" t="s">
        <v>685</v>
      </c>
      <c r="K353" s="2">
        <v>0</v>
      </c>
      <c r="L353" s="12" t="s">
        <v>369</v>
      </c>
      <c r="M353">
        <f>YEAR(VentesMagasins!$C353)</f>
        <v>2024</v>
      </c>
      <c r="N353" t="e" cm="1" vm="1">
        <f t="array" aca="1" ref="N353" ca="1">MONTH(DateVente)</f>
        <v>#VALUE!</v>
      </c>
      <c r="O353" t="str">
        <f>PROPER(VentesMagasins!$F353)</f>
        <v>Électronique</v>
      </c>
      <c r="P353">
        <f>VALUE(CLEAN(TRIM(SUBSTITUTE(VentesMagasins!$I353,".",","))))</f>
        <v>0.1</v>
      </c>
      <c r="Q353">
        <f>VALUE(TRIM(SUBSTITUTE(VentesMagasins!$J353,".",",")))</f>
        <v>96.3</v>
      </c>
      <c r="R353">
        <f t="shared" si="15"/>
        <v>86.67</v>
      </c>
      <c r="S353">
        <f>IF(VentesMagasins!$K353=1,(-1)*R353,R353)</f>
        <v>86.67</v>
      </c>
      <c r="T353">
        <f>IFERROR(VALUE(TRIM(SUBSTITUTE(VentesMagasins!$L353,".",","))),0)</f>
        <v>1</v>
      </c>
      <c r="U353">
        <f t="shared" si="16"/>
        <v>1</v>
      </c>
      <c r="V353" t="str">
        <f t="shared" si="17"/>
        <v>faible</v>
      </c>
      <c r="W353" t="str">
        <f>_xlfn.XLOOKUP(VentesMagasins!$B353,Clients!ClientID,Région)</f>
        <v>Sud</v>
      </c>
      <c r="X353" t="str">
        <f>INDEX(TypeClient,MATCH(VentesMagasins!$B353,Clients!ClientID))</f>
        <v>Nouveau</v>
      </c>
      <c r="Y353" t="str">
        <v>juil</v>
      </c>
    </row>
    <row r="354" spans="1:25" x14ac:dyDescent="0.25">
      <c r="A354" s="2">
        <v>353</v>
      </c>
      <c r="B354" s="12" t="s">
        <v>138</v>
      </c>
      <c r="C354" s="13">
        <v>45856</v>
      </c>
      <c r="D354" s="12" t="s">
        <v>322</v>
      </c>
      <c r="E354" s="14" t="s">
        <v>362</v>
      </c>
      <c r="F354" s="12" t="s">
        <v>324</v>
      </c>
      <c r="G354" s="2">
        <v>3</v>
      </c>
      <c r="H354" s="3">
        <v>377</v>
      </c>
      <c r="I354" s="14" t="s">
        <v>355</v>
      </c>
      <c r="J354" s="12" t="s">
        <v>686</v>
      </c>
      <c r="K354" s="2">
        <v>0</v>
      </c>
      <c r="L354" s="12" t="s">
        <v>332</v>
      </c>
      <c r="M354">
        <f>YEAR(VentesMagasins!$C354)</f>
        <v>2025</v>
      </c>
      <c r="N354" t="e" cm="1" vm="1">
        <f t="array" aca="1" ref="N354" ca="1">MONTH(DateVente)</f>
        <v>#VALUE!</v>
      </c>
      <c r="O354" t="str">
        <f>PROPER(VentesMagasins!$F354)</f>
        <v>Électronique</v>
      </c>
      <c r="P354">
        <f>VALUE(CLEAN(TRIM(SUBSTITUTE(VentesMagasins!$I354,".",","))))</f>
        <v>0.1</v>
      </c>
      <c r="Q354">
        <f>VALUE(TRIM(SUBSTITUTE(VentesMagasins!$J354,".",",")))</f>
        <v>1017.9</v>
      </c>
      <c r="R354">
        <f t="shared" si="15"/>
        <v>916.11</v>
      </c>
      <c r="S354">
        <f>IF(VentesMagasins!$K354=1,(-1)*R354,R354)</f>
        <v>916.11</v>
      </c>
      <c r="T354">
        <f>IFERROR(VALUE(TRIM(SUBSTITUTE(VentesMagasins!$L354,".",","))),0)</f>
        <v>4</v>
      </c>
      <c r="U354">
        <f t="shared" si="16"/>
        <v>4</v>
      </c>
      <c r="V354" t="str">
        <f t="shared" si="17"/>
        <v>moyenne</v>
      </c>
      <c r="W354" t="str">
        <f>_xlfn.XLOOKUP(VentesMagasins!$B354,Clients!ClientID,Région)</f>
        <v>Ouest</v>
      </c>
      <c r="X354" t="str">
        <f>INDEX(TypeClient,MATCH(VentesMagasins!$B354,Clients!ClientID))</f>
        <v>Nouveau</v>
      </c>
      <c r="Y354" t="str">
        <v>juil</v>
      </c>
    </row>
    <row r="355" spans="1:25" x14ac:dyDescent="0.25">
      <c r="A355" s="2">
        <v>354</v>
      </c>
      <c r="B355" s="12" t="s">
        <v>19</v>
      </c>
      <c r="C355" s="13">
        <v>45487</v>
      </c>
      <c r="D355" s="12" t="s">
        <v>333</v>
      </c>
      <c r="E355" s="14" t="s">
        <v>362</v>
      </c>
      <c r="F355" s="12" t="s">
        <v>324</v>
      </c>
      <c r="G355" s="2">
        <v>3</v>
      </c>
      <c r="H355" s="3">
        <v>235</v>
      </c>
      <c r="I355" s="14" t="s">
        <v>335</v>
      </c>
      <c r="J355" s="12" t="s">
        <v>451</v>
      </c>
      <c r="K355" s="2">
        <v>1</v>
      </c>
      <c r="L355" s="12" t="s">
        <v>337</v>
      </c>
      <c r="M355">
        <f>YEAR(VentesMagasins!$C355)</f>
        <v>2024</v>
      </c>
      <c r="N355" t="e" cm="1" vm="1">
        <f t="array" aca="1" ref="N355" ca="1">MONTH(DateVente)</f>
        <v>#VALUE!</v>
      </c>
      <c r="O355" t="str">
        <f>PROPER(VentesMagasins!$F355)</f>
        <v>Électronique</v>
      </c>
      <c r="P355">
        <f>VALUE(CLEAN(TRIM(SUBSTITUTE(VentesMagasins!$I355,".",","))))</f>
        <v>0</v>
      </c>
      <c r="Q355">
        <f>VALUE(TRIM(SUBSTITUTE(VentesMagasins!$J355,".",",")))</f>
        <v>705</v>
      </c>
      <c r="R355">
        <f t="shared" si="15"/>
        <v>705</v>
      </c>
      <c r="S355">
        <f>IF(VentesMagasins!$K355=1,(-1)*R355,R355)</f>
        <v>-705</v>
      </c>
      <c r="T355">
        <f>IFERROR(VALUE(TRIM(SUBSTITUTE(VentesMagasins!$L355,".",","))),0)</f>
        <v>3</v>
      </c>
      <c r="U355">
        <f t="shared" si="16"/>
        <v>3</v>
      </c>
      <c r="V355" t="str">
        <f t="shared" si="17"/>
        <v>moyenne</v>
      </c>
      <c r="W355" t="str">
        <f>_xlfn.XLOOKUP(VentesMagasins!$B355,Clients!ClientID,Région)</f>
        <v>Ouest</v>
      </c>
      <c r="X355" t="str">
        <f>INDEX(TypeClient,MATCH(VentesMagasins!$B355,Clients!ClientID))</f>
        <v>Occasionnel</v>
      </c>
      <c r="Y355" t="str">
        <v>juil</v>
      </c>
    </row>
    <row r="356" spans="1:25" x14ac:dyDescent="0.25">
      <c r="A356" s="2">
        <v>355</v>
      </c>
      <c r="B356" s="12" t="s">
        <v>118</v>
      </c>
      <c r="C356" s="13">
        <v>45313</v>
      </c>
      <c r="D356" s="12" t="s">
        <v>333</v>
      </c>
      <c r="E356" s="14" t="s">
        <v>339</v>
      </c>
      <c r="F356" s="12" t="s">
        <v>324</v>
      </c>
      <c r="G356" s="2">
        <v>1</v>
      </c>
      <c r="H356" s="3">
        <v>464</v>
      </c>
      <c r="I356" s="14" t="s">
        <v>355</v>
      </c>
      <c r="J356" s="12" t="s">
        <v>687</v>
      </c>
      <c r="K356" s="2">
        <v>0</v>
      </c>
      <c r="L356" s="12" t="s">
        <v>352</v>
      </c>
      <c r="M356">
        <f>YEAR(VentesMagasins!$C356)</f>
        <v>2024</v>
      </c>
      <c r="N356" t="e" cm="1" vm="1">
        <f t="array" aca="1" ref="N356" ca="1">MONTH(DateVente)</f>
        <v>#VALUE!</v>
      </c>
      <c r="O356" t="str">
        <f>PROPER(VentesMagasins!$F356)</f>
        <v>Électronique</v>
      </c>
      <c r="P356">
        <f>VALUE(CLEAN(TRIM(SUBSTITUTE(VentesMagasins!$I356,".",","))))</f>
        <v>0.1</v>
      </c>
      <c r="Q356">
        <f>VALUE(TRIM(SUBSTITUTE(VentesMagasins!$J356,".",",")))</f>
        <v>459.36</v>
      </c>
      <c r="R356">
        <f t="shared" si="15"/>
        <v>413.42400000000004</v>
      </c>
      <c r="S356">
        <f>IF(VentesMagasins!$K356=1,(-1)*R356,R356)</f>
        <v>413.42400000000004</v>
      </c>
      <c r="T356">
        <f>IFERROR(VALUE(TRIM(SUBSTITUTE(VentesMagasins!$L356,".",","))),0)</f>
        <v>0</v>
      </c>
      <c r="U356">
        <f t="shared" si="16"/>
        <v>3</v>
      </c>
      <c r="V356" t="str">
        <f t="shared" si="17"/>
        <v>moyenne</v>
      </c>
      <c r="W356" t="str">
        <f>_xlfn.XLOOKUP(VentesMagasins!$B356,Clients!ClientID,Région)</f>
        <v>Ouest</v>
      </c>
      <c r="X356" t="str">
        <f>INDEX(TypeClient,MATCH(VentesMagasins!$B356,Clients!ClientID))</f>
        <v>Nouveau</v>
      </c>
      <c r="Y356" t="str">
        <v>janv</v>
      </c>
    </row>
    <row r="357" spans="1:25" x14ac:dyDescent="0.25">
      <c r="A357" s="2">
        <v>356</v>
      </c>
      <c r="B357" s="12" t="s">
        <v>293</v>
      </c>
      <c r="C357" s="13">
        <v>45747</v>
      </c>
      <c r="D357" s="12" t="s">
        <v>322</v>
      </c>
      <c r="E357" s="14" t="s">
        <v>364</v>
      </c>
      <c r="F357" s="12" t="s">
        <v>688</v>
      </c>
      <c r="G357" s="2">
        <v>2</v>
      </c>
      <c r="H357" s="3">
        <v>423</v>
      </c>
      <c r="I357" s="14" t="s">
        <v>335</v>
      </c>
      <c r="J357" s="12" t="s">
        <v>689</v>
      </c>
      <c r="K357" s="2">
        <v>0</v>
      </c>
      <c r="L357" s="12" t="s">
        <v>369</v>
      </c>
      <c r="M357">
        <f>YEAR(VentesMagasins!$C357)</f>
        <v>2025</v>
      </c>
      <c r="N357" t="e" cm="1" vm="1">
        <f t="array" aca="1" ref="N357" ca="1">MONTH(DateVente)</f>
        <v>#VALUE!</v>
      </c>
      <c r="O357" t="str">
        <f>PROPER(VentesMagasins!$F357)</f>
        <v>Décoration</v>
      </c>
      <c r="P357">
        <f>VALUE(CLEAN(TRIM(SUBSTITUTE(VentesMagasins!$I357,".",","))))</f>
        <v>0</v>
      </c>
      <c r="Q357">
        <f>VALUE(TRIM(SUBSTITUTE(VentesMagasins!$J357,".",",")))</f>
        <v>846</v>
      </c>
      <c r="R357">
        <f t="shared" si="15"/>
        <v>846</v>
      </c>
      <c r="S357">
        <f>IF(VentesMagasins!$K357=1,(-1)*R357,R357)</f>
        <v>846</v>
      </c>
      <c r="T357">
        <f>IFERROR(VALUE(TRIM(SUBSTITUTE(VentesMagasins!$L357,".",","))),0)</f>
        <v>1</v>
      </c>
      <c r="U357">
        <f t="shared" si="16"/>
        <v>1</v>
      </c>
      <c r="V357" t="str">
        <f t="shared" si="17"/>
        <v>faible</v>
      </c>
      <c r="W357" t="str">
        <f>_xlfn.XLOOKUP(VentesMagasins!$B357,Clients!ClientID,Région)</f>
        <v>Sud</v>
      </c>
      <c r="X357" t="str">
        <f>INDEX(TypeClient,MATCH(VentesMagasins!$B357,Clients!ClientID))</f>
        <v>Fidèle</v>
      </c>
      <c r="Y357" t="str">
        <v>mars</v>
      </c>
    </row>
    <row r="358" spans="1:25" x14ac:dyDescent="0.25">
      <c r="A358" s="2">
        <v>357</v>
      </c>
      <c r="B358" s="12" t="s">
        <v>105</v>
      </c>
      <c r="C358" s="13">
        <v>45946</v>
      </c>
      <c r="D358" s="12" t="s">
        <v>328</v>
      </c>
      <c r="E358" s="14" t="s">
        <v>345</v>
      </c>
      <c r="F358" s="12" t="s">
        <v>341</v>
      </c>
      <c r="G358" s="2">
        <v>1</v>
      </c>
      <c r="H358" s="3">
        <v>434</v>
      </c>
      <c r="I358" s="14" t="s">
        <v>355</v>
      </c>
      <c r="J358" s="12" t="s">
        <v>690</v>
      </c>
      <c r="K358" s="2">
        <v>1</v>
      </c>
      <c r="L358" s="12" t="s">
        <v>352</v>
      </c>
      <c r="M358">
        <f>YEAR(VentesMagasins!$C358)</f>
        <v>2025</v>
      </c>
      <c r="N358" t="e" cm="1" vm="1">
        <f t="array" aca="1" ref="N358" ca="1">MONTH(DateVente)</f>
        <v>#VALUE!</v>
      </c>
      <c r="O358" t="str">
        <f>PROPER(VentesMagasins!$F358)</f>
        <v>Meuble</v>
      </c>
      <c r="P358">
        <f>VALUE(CLEAN(TRIM(SUBSTITUTE(VentesMagasins!$I358,".",","))))</f>
        <v>0.1</v>
      </c>
      <c r="Q358">
        <f>VALUE(TRIM(SUBSTITUTE(VentesMagasins!$J358,".",",")))</f>
        <v>390.6</v>
      </c>
      <c r="R358">
        <f t="shared" si="15"/>
        <v>351.54</v>
      </c>
      <c r="S358">
        <f>IF(VentesMagasins!$K358=1,(-1)*R358,R358)</f>
        <v>-351.54</v>
      </c>
      <c r="T358">
        <f>IFERROR(VALUE(TRIM(SUBSTITUTE(VentesMagasins!$L358,".",","))),0)</f>
        <v>0</v>
      </c>
      <c r="U358">
        <f t="shared" si="16"/>
        <v>3</v>
      </c>
      <c r="V358" t="str">
        <f t="shared" si="17"/>
        <v>moyenne</v>
      </c>
      <c r="W358" t="str">
        <f>_xlfn.XLOOKUP(VentesMagasins!$B358,Clients!ClientID,Région)</f>
        <v>Centre</v>
      </c>
      <c r="X358" t="str">
        <f>INDEX(TypeClient,MATCH(VentesMagasins!$B358,Clients!ClientID))</f>
        <v>Nouveau</v>
      </c>
      <c r="Y358" t="str">
        <v>oct</v>
      </c>
    </row>
    <row r="359" spans="1:25" x14ac:dyDescent="0.25">
      <c r="A359" s="2">
        <v>358</v>
      </c>
      <c r="B359" s="12" t="s">
        <v>292</v>
      </c>
      <c r="C359" s="13">
        <v>45575</v>
      </c>
      <c r="D359" s="12" t="s">
        <v>322</v>
      </c>
      <c r="E359" s="14" t="s">
        <v>323</v>
      </c>
      <c r="F359" s="12" t="s">
        <v>324</v>
      </c>
      <c r="G359" s="2">
        <v>5</v>
      </c>
      <c r="H359" s="3">
        <v>381</v>
      </c>
      <c r="I359" s="14" t="s">
        <v>335</v>
      </c>
      <c r="J359" s="12" t="s">
        <v>691</v>
      </c>
      <c r="K359" s="2">
        <v>1</v>
      </c>
      <c r="L359" s="12" t="s">
        <v>344</v>
      </c>
      <c r="M359">
        <f>YEAR(VentesMagasins!$C359)</f>
        <v>2024</v>
      </c>
      <c r="N359" t="e" cm="1" vm="1">
        <f t="array" aca="1" ref="N359" ca="1">MONTH(DateVente)</f>
        <v>#VALUE!</v>
      </c>
      <c r="O359" t="str">
        <f>PROPER(VentesMagasins!$F359)</f>
        <v>Électronique</v>
      </c>
      <c r="P359">
        <f>VALUE(CLEAN(TRIM(SUBSTITUTE(VentesMagasins!$I359,".",","))))</f>
        <v>0</v>
      </c>
      <c r="Q359">
        <f>VALUE(TRIM(SUBSTITUTE(VentesMagasins!$J359,".",",")))</f>
        <v>1714.5</v>
      </c>
      <c r="R359">
        <f t="shared" si="15"/>
        <v>1714.5</v>
      </c>
      <c r="S359">
        <f>IF(VentesMagasins!$K359=1,(-1)*R359,R359)</f>
        <v>-1714.5</v>
      </c>
      <c r="T359">
        <f>IFERROR(VALUE(TRIM(SUBSTITUTE(VentesMagasins!$L359,".",","))),0)</f>
        <v>2</v>
      </c>
      <c r="U359">
        <f t="shared" si="16"/>
        <v>2</v>
      </c>
      <c r="V359" t="str">
        <f t="shared" si="17"/>
        <v>faible</v>
      </c>
      <c r="W359" t="str">
        <f>_xlfn.XLOOKUP(VentesMagasins!$B359,Clients!ClientID,Région)</f>
        <v>Ouest</v>
      </c>
      <c r="X359" t="str">
        <f>INDEX(TypeClient,MATCH(VentesMagasins!$B359,Clients!ClientID))</f>
        <v>Nouveau</v>
      </c>
      <c r="Y359" t="str">
        <v>oct</v>
      </c>
    </row>
    <row r="360" spans="1:25" x14ac:dyDescent="0.25">
      <c r="A360" s="2">
        <v>359</v>
      </c>
      <c r="B360" s="12" t="s">
        <v>68</v>
      </c>
      <c r="C360" s="13">
        <v>45521</v>
      </c>
      <c r="D360" s="12" t="s">
        <v>338</v>
      </c>
      <c r="E360" s="14" t="s">
        <v>362</v>
      </c>
      <c r="F360" s="12" t="s">
        <v>324</v>
      </c>
      <c r="G360" s="2">
        <v>4</v>
      </c>
      <c r="H360" s="3">
        <v>337</v>
      </c>
      <c r="I360" s="14" t="s">
        <v>325</v>
      </c>
      <c r="J360" s="12" t="s">
        <v>692</v>
      </c>
      <c r="K360" s="2">
        <v>0</v>
      </c>
      <c r="L360" s="12" t="s">
        <v>337</v>
      </c>
      <c r="M360">
        <f>YEAR(VentesMagasins!$C360)</f>
        <v>2024</v>
      </c>
      <c r="N360" t="e" cm="1" vm="1">
        <f t="array" aca="1" ref="N360" ca="1">MONTH(DateVente)</f>
        <v>#VALUE!</v>
      </c>
      <c r="O360" t="str">
        <f>PROPER(VentesMagasins!$F360)</f>
        <v>Électronique</v>
      </c>
      <c r="P360">
        <f>VALUE(CLEAN(TRIM(SUBSTITUTE(VentesMagasins!$I360,".",","))))</f>
        <v>0.15</v>
      </c>
      <c r="Q360">
        <f>VALUE(TRIM(SUBSTITUTE(VentesMagasins!$J360,".",",")))</f>
        <v>1145.8</v>
      </c>
      <c r="R360">
        <f t="shared" si="15"/>
        <v>973.93</v>
      </c>
      <c r="S360">
        <f>IF(VentesMagasins!$K360=1,(-1)*R360,R360)</f>
        <v>973.93</v>
      </c>
      <c r="T360">
        <f>IFERROR(VALUE(TRIM(SUBSTITUTE(VentesMagasins!$L360,".",","))),0)</f>
        <v>3</v>
      </c>
      <c r="U360">
        <f t="shared" si="16"/>
        <v>3</v>
      </c>
      <c r="V360" t="str">
        <f t="shared" si="17"/>
        <v>moyenne</v>
      </c>
      <c r="W360" t="str">
        <f>_xlfn.XLOOKUP(VentesMagasins!$B360,Clients!ClientID,Région)</f>
        <v>Nord</v>
      </c>
      <c r="X360" t="str">
        <f>INDEX(TypeClient,MATCH(VentesMagasins!$B360,Clients!ClientID))</f>
        <v>Occasionnel</v>
      </c>
      <c r="Y360" t="str">
        <v>août</v>
      </c>
    </row>
    <row r="361" spans="1:25" x14ac:dyDescent="0.25">
      <c r="A361" s="2">
        <v>360</v>
      </c>
      <c r="B361" s="12" t="s">
        <v>263</v>
      </c>
      <c r="C361" s="13">
        <v>45034</v>
      </c>
      <c r="D361" s="12" t="s">
        <v>328</v>
      </c>
      <c r="E361" s="14" t="s">
        <v>364</v>
      </c>
      <c r="F361" s="12" t="s">
        <v>324</v>
      </c>
      <c r="G361" s="2">
        <v>2</v>
      </c>
      <c r="H361" s="3">
        <v>59</v>
      </c>
      <c r="I361" s="14" t="s">
        <v>355</v>
      </c>
      <c r="J361" s="12" t="s">
        <v>441</v>
      </c>
      <c r="K361" s="2">
        <v>1</v>
      </c>
      <c r="L361" s="12" t="s">
        <v>337</v>
      </c>
      <c r="M361">
        <f>YEAR(VentesMagasins!$C361)</f>
        <v>2023</v>
      </c>
      <c r="N361" t="e" cm="1" vm="1">
        <f t="array" aca="1" ref="N361" ca="1">MONTH(DateVente)</f>
        <v>#VALUE!</v>
      </c>
      <c r="O361" t="str">
        <f>PROPER(VentesMagasins!$F361)</f>
        <v>Électronique</v>
      </c>
      <c r="P361">
        <f>VALUE(CLEAN(TRIM(SUBSTITUTE(VentesMagasins!$I361,".",","))))</f>
        <v>0.1</v>
      </c>
      <c r="Q361">
        <f>VALUE(TRIM(SUBSTITUTE(VentesMagasins!$J361,".",",")))</f>
        <v>106.2</v>
      </c>
      <c r="R361">
        <f t="shared" si="15"/>
        <v>95.58</v>
      </c>
      <c r="S361">
        <f>IF(VentesMagasins!$K361=1,(-1)*R361,R361)</f>
        <v>-95.58</v>
      </c>
      <c r="T361">
        <f>IFERROR(VALUE(TRIM(SUBSTITUTE(VentesMagasins!$L361,".",","))),0)</f>
        <v>3</v>
      </c>
      <c r="U361">
        <f t="shared" si="16"/>
        <v>3</v>
      </c>
      <c r="V361" t="str">
        <f t="shared" si="17"/>
        <v>moyenne</v>
      </c>
      <c r="W361" t="str">
        <f>_xlfn.XLOOKUP(VentesMagasins!$B361,Clients!ClientID,Région)</f>
        <v>Est</v>
      </c>
      <c r="X361" t="str">
        <f>INDEX(TypeClient,MATCH(VentesMagasins!$B361,Clients!ClientID))</f>
        <v>Nouveau</v>
      </c>
      <c r="Y361" t="str">
        <v>avr</v>
      </c>
    </row>
    <row r="362" spans="1:25" x14ac:dyDescent="0.25">
      <c r="A362" s="2">
        <v>361</v>
      </c>
      <c r="B362" s="12" t="s">
        <v>271</v>
      </c>
      <c r="C362" s="13">
        <v>45453</v>
      </c>
      <c r="D362" s="12" t="s">
        <v>350</v>
      </c>
      <c r="E362" s="14" t="s">
        <v>348</v>
      </c>
      <c r="F362" s="12" t="s">
        <v>341</v>
      </c>
      <c r="G362" s="2">
        <v>4</v>
      </c>
      <c r="H362" s="3">
        <v>359</v>
      </c>
      <c r="I362" s="14" t="s">
        <v>335</v>
      </c>
      <c r="J362" s="12" t="s">
        <v>693</v>
      </c>
      <c r="K362" s="2">
        <v>0</v>
      </c>
      <c r="L362" s="12" t="s">
        <v>327</v>
      </c>
      <c r="M362">
        <f>YEAR(VentesMagasins!$C362)</f>
        <v>2024</v>
      </c>
      <c r="N362" t="e" cm="1" vm="1">
        <f t="array" aca="1" ref="N362" ca="1">MONTH(DateVente)</f>
        <v>#VALUE!</v>
      </c>
      <c r="O362" t="str">
        <f>PROPER(VentesMagasins!$F362)</f>
        <v>Meuble</v>
      </c>
      <c r="P362">
        <f>VALUE(CLEAN(TRIM(SUBSTITUTE(VentesMagasins!$I362,".",","))))</f>
        <v>0</v>
      </c>
      <c r="Q362">
        <f>VALUE(TRIM(SUBSTITUTE(VentesMagasins!$J362,".",",")))</f>
        <v>1436</v>
      </c>
      <c r="R362">
        <f t="shared" si="15"/>
        <v>1436</v>
      </c>
      <c r="S362">
        <f>IF(VentesMagasins!$K362=1,(-1)*R362,R362)</f>
        <v>1436</v>
      </c>
      <c r="T362">
        <f>IFERROR(VALUE(TRIM(SUBSTITUTE(VentesMagasins!$L362,".",","))),0)</f>
        <v>5</v>
      </c>
      <c r="U362">
        <f t="shared" si="16"/>
        <v>5</v>
      </c>
      <c r="V362" t="str">
        <f t="shared" si="17"/>
        <v>élévé</v>
      </c>
      <c r="W362" t="str">
        <f>_xlfn.XLOOKUP(VentesMagasins!$B362,Clients!ClientID,Région)</f>
        <v>Centre</v>
      </c>
      <c r="X362" t="str">
        <f>INDEX(TypeClient,MATCH(VentesMagasins!$B362,Clients!ClientID))</f>
        <v>Occasionnel</v>
      </c>
      <c r="Y362" t="str">
        <v>juin</v>
      </c>
    </row>
    <row r="363" spans="1:25" x14ac:dyDescent="0.25">
      <c r="A363" s="2">
        <v>362</v>
      </c>
      <c r="B363" s="12" t="s">
        <v>97</v>
      </c>
      <c r="C363" s="13">
        <v>45777</v>
      </c>
      <c r="D363" s="12" t="s">
        <v>322</v>
      </c>
      <c r="E363" s="14" t="s">
        <v>334</v>
      </c>
      <c r="F363" s="12" t="s">
        <v>324</v>
      </c>
      <c r="G363" s="2">
        <v>1</v>
      </c>
      <c r="H363" s="3">
        <v>164</v>
      </c>
      <c r="I363" s="14" t="s">
        <v>335</v>
      </c>
      <c r="J363" s="12" t="s">
        <v>694</v>
      </c>
      <c r="K363" s="2">
        <v>1</v>
      </c>
      <c r="L363" s="12" t="s">
        <v>337</v>
      </c>
      <c r="M363">
        <f>YEAR(VentesMagasins!$C363)</f>
        <v>2025</v>
      </c>
      <c r="N363" t="e" cm="1" vm="1">
        <f t="array" aca="1" ref="N363" ca="1">MONTH(DateVente)</f>
        <v>#VALUE!</v>
      </c>
      <c r="O363" t="str">
        <f>PROPER(VentesMagasins!$F363)</f>
        <v>Électronique</v>
      </c>
      <c r="P363">
        <f>VALUE(CLEAN(TRIM(SUBSTITUTE(VentesMagasins!$I363,".",","))))</f>
        <v>0</v>
      </c>
      <c r="Q363">
        <f>VALUE(TRIM(SUBSTITUTE(VentesMagasins!$J363,".",",")))</f>
        <v>164</v>
      </c>
      <c r="R363">
        <f t="shared" si="15"/>
        <v>164</v>
      </c>
      <c r="S363">
        <f>IF(VentesMagasins!$K363=1,(-1)*R363,R363)</f>
        <v>-164</v>
      </c>
      <c r="T363">
        <f>IFERROR(VALUE(TRIM(SUBSTITUTE(VentesMagasins!$L363,".",","))),0)</f>
        <v>3</v>
      </c>
      <c r="U363">
        <f t="shared" si="16"/>
        <v>3</v>
      </c>
      <c r="V363" t="str">
        <f t="shared" si="17"/>
        <v>moyenne</v>
      </c>
      <c r="W363" t="str">
        <f>_xlfn.XLOOKUP(VentesMagasins!$B363,Clients!ClientID,Région)</f>
        <v>Est</v>
      </c>
      <c r="X363" t="str">
        <f>INDEX(TypeClient,MATCH(VentesMagasins!$B363,Clients!ClientID))</f>
        <v>Occasionnel</v>
      </c>
      <c r="Y363" t="str">
        <v>avr</v>
      </c>
    </row>
    <row r="364" spans="1:25" x14ac:dyDescent="0.25">
      <c r="A364" s="2">
        <v>363</v>
      </c>
      <c r="B364" s="12" t="s">
        <v>74</v>
      </c>
      <c r="C364" s="13">
        <v>45526</v>
      </c>
      <c r="D364" s="12" t="s">
        <v>338</v>
      </c>
      <c r="E364" s="14" t="s">
        <v>334</v>
      </c>
      <c r="F364" s="12" t="s">
        <v>330</v>
      </c>
      <c r="G364" s="2">
        <v>5</v>
      </c>
      <c r="H364" s="3">
        <v>239</v>
      </c>
      <c r="I364" s="14" t="s">
        <v>325</v>
      </c>
      <c r="J364" s="12" t="s">
        <v>695</v>
      </c>
      <c r="K364" s="2">
        <v>0</v>
      </c>
      <c r="L364" s="12" t="s">
        <v>344</v>
      </c>
      <c r="M364">
        <f>YEAR(VentesMagasins!$C364)</f>
        <v>2024</v>
      </c>
      <c r="N364" t="e" cm="1" vm="1">
        <f t="array" aca="1" ref="N364" ca="1">MONTH(DateVente)</f>
        <v>#VALUE!</v>
      </c>
      <c r="O364" t="str">
        <f>PROPER(VentesMagasins!$F364)</f>
        <v>Décoration</v>
      </c>
      <c r="P364">
        <f>VALUE(CLEAN(TRIM(SUBSTITUTE(VentesMagasins!$I364,".",","))))</f>
        <v>0.15</v>
      </c>
      <c r="Q364">
        <f>VALUE(TRIM(SUBSTITUTE(VentesMagasins!$J364,".",",")))</f>
        <v>1015.75</v>
      </c>
      <c r="R364">
        <f t="shared" si="15"/>
        <v>863.38749999999993</v>
      </c>
      <c r="S364">
        <f>IF(VentesMagasins!$K364=1,(-1)*R364,R364)</f>
        <v>863.38749999999993</v>
      </c>
      <c r="T364">
        <f>IFERROR(VALUE(TRIM(SUBSTITUTE(VentesMagasins!$L364,".",","))),0)</f>
        <v>2</v>
      </c>
      <c r="U364">
        <f t="shared" si="16"/>
        <v>2</v>
      </c>
      <c r="V364" t="str">
        <f t="shared" si="17"/>
        <v>faible</v>
      </c>
      <c r="W364" t="str">
        <f>_xlfn.XLOOKUP(VentesMagasins!$B364,Clients!ClientID,Région)</f>
        <v>Centre</v>
      </c>
      <c r="X364" t="str">
        <f>INDEX(TypeClient,MATCH(VentesMagasins!$B364,Clients!ClientID))</f>
        <v>Fidèle</v>
      </c>
      <c r="Y364" t="str">
        <v>août</v>
      </c>
    </row>
    <row r="365" spans="1:25" x14ac:dyDescent="0.25">
      <c r="A365" s="2">
        <v>364</v>
      </c>
      <c r="B365" s="12" t="s">
        <v>290</v>
      </c>
      <c r="C365" s="13">
        <v>45945</v>
      </c>
      <c r="D365" s="12" t="s">
        <v>350</v>
      </c>
      <c r="E365" s="14" t="s">
        <v>345</v>
      </c>
      <c r="F365" s="12" t="s">
        <v>341</v>
      </c>
      <c r="G365" s="2">
        <v>2</v>
      </c>
      <c r="H365" s="3">
        <v>295</v>
      </c>
      <c r="I365" s="14" t="s">
        <v>335</v>
      </c>
      <c r="J365" s="12" t="s">
        <v>696</v>
      </c>
      <c r="K365" s="2">
        <v>0</v>
      </c>
      <c r="L365" s="12" t="s">
        <v>337</v>
      </c>
      <c r="M365">
        <f>YEAR(VentesMagasins!$C365)</f>
        <v>2025</v>
      </c>
      <c r="N365" t="e" cm="1" vm="1">
        <f t="array" aca="1" ref="N365" ca="1">MONTH(DateVente)</f>
        <v>#VALUE!</v>
      </c>
      <c r="O365" t="str">
        <f>PROPER(VentesMagasins!$F365)</f>
        <v>Meuble</v>
      </c>
      <c r="P365">
        <f>VALUE(CLEAN(TRIM(SUBSTITUTE(VentesMagasins!$I365,".",","))))</f>
        <v>0</v>
      </c>
      <c r="Q365">
        <f>VALUE(TRIM(SUBSTITUTE(VentesMagasins!$J365,".",",")))</f>
        <v>590</v>
      </c>
      <c r="R365">
        <f t="shared" si="15"/>
        <v>590</v>
      </c>
      <c r="S365">
        <f>IF(VentesMagasins!$K365=1,(-1)*R365,R365)</f>
        <v>590</v>
      </c>
      <c r="T365">
        <f>IFERROR(VALUE(TRIM(SUBSTITUTE(VentesMagasins!$L365,".",","))),0)</f>
        <v>3</v>
      </c>
      <c r="U365">
        <f t="shared" si="16"/>
        <v>3</v>
      </c>
      <c r="V365" t="str">
        <f t="shared" si="17"/>
        <v>moyenne</v>
      </c>
      <c r="W365" t="str">
        <f>_xlfn.XLOOKUP(VentesMagasins!$B365,Clients!ClientID,Région)</f>
        <v>Est</v>
      </c>
      <c r="X365" t="str">
        <f>INDEX(TypeClient,MATCH(VentesMagasins!$B365,Clients!ClientID))</f>
        <v>Nouveau</v>
      </c>
      <c r="Y365" t="str">
        <v>oct</v>
      </c>
    </row>
    <row r="366" spans="1:25" x14ac:dyDescent="0.25">
      <c r="A366" s="2">
        <v>365</v>
      </c>
      <c r="B366" s="12" t="s">
        <v>258</v>
      </c>
      <c r="C366" s="13">
        <v>45319</v>
      </c>
      <c r="D366" s="12" t="s">
        <v>333</v>
      </c>
      <c r="E366" s="14" t="s">
        <v>323</v>
      </c>
      <c r="F366" s="12" t="s">
        <v>330</v>
      </c>
      <c r="G366" s="2">
        <v>2</v>
      </c>
      <c r="H366" s="3">
        <v>233</v>
      </c>
      <c r="I366" s="14" t="s">
        <v>325</v>
      </c>
      <c r="J366" s="12" t="s">
        <v>697</v>
      </c>
      <c r="K366" s="2">
        <v>0</v>
      </c>
      <c r="L366" s="12" t="s">
        <v>352</v>
      </c>
      <c r="M366">
        <f>YEAR(VentesMagasins!$C366)</f>
        <v>2024</v>
      </c>
      <c r="N366" t="e" cm="1" vm="1">
        <f t="array" aca="1" ref="N366" ca="1">MONTH(DateVente)</f>
        <v>#VALUE!</v>
      </c>
      <c r="O366" t="str">
        <f>PROPER(VentesMagasins!$F366)</f>
        <v>Décoration</v>
      </c>
      <c r="P366">
        <f>VALUE(CLEAN(TRIM(SUBSTITUTE(VentesMagasins!$I366,".",","))))</f>
        <v>0.15</v>
      </c>
      <c r="Q366">
        <f>VALUE(TRIM(SUBSTITUTE(VentesMagasins!$J366,".",",")))</f>
        <v>396.099999999999</v>
      </c>
      <c r="R366">
        <f t="shared" si="15"/>
        <v>336.68499999999915</v>
      </c>
      <c r="S366">
        <f>IF(VentesMagasins!$K366=1,(-1)*R366,R366)</f>
        <v>336.68499999999915</v>
      </c>
      <c r="T366">
        <f>IFERROR(VALUE(TRIM(SUBSTITUTE(VentesMagasins!$L366,".",","))),0)</f>
        <v>0</v>
      </c>
      <c r="U366">
        <f t="shared" si="16"/>
        <v>3</v>
      </c>
      <c r="V366" t="str">
        <f t="shared" si="17"/>
        <v>moyenne</v>
      </c>
      <c r="W366" t="str">
        <f>_xlfn.XLOOKUP(VentesMagasins!$B366,Clients!ClientID,Région)</f>
        <v>Ouest</v>
      </c>
      <c r="X366" t="str">
        <f>INDEX(TypeClient,MATCH(VentesMagasins!$B366,Clients!ClientID))</f>
        <v>Occasionnel</v>
      </c>
      <c r="Y366" t="str">
        <v>janv</v>
      </c>
    </row>
    <row r="367" spans="1:25" x14ac:dyDescent="0.25">
      <c r="A367" s="2">
        <v>366</v>
      </c>
      <c r="B367" s="12" t="s">
        <v>94</v>
      </c>
      <c r="C367" s="13">
        <v>45592</v>
      </c>
      <c r="D367" s="12" t="s">
        <v>350</v>
      </c>
      <c r="E367" s="14" t="s">
        <v>348</v>
      </c>
      <c r="F367" s="12" t="s">
        <v>324</v>
      </c>
      <c r="G367" s="2">
        <v>5</v>
      </c>
      <c r="H367" s="3">
        <v>263</v>
      </c>
      <c r="I367" s="14" t="s">
        <v>335</v>
      </c>
      <c r="J367" s="12" t="s">
        <v>698</v>
      </c>
      <c r="K367" s="2">
        <v>0</v>
      </c>
      <c r="L367" s="12" t="s">
        <v>332</v>
      </c>
      <c r="M367">
        <f>YEAR(VentesMagasins!$C367)</f>
        <v>2024</v>
      </c>
      <c r="N367" t="e" cm="1" vm="1">
        <f t="array" aca="1" ref="N367" ca="1">MONTH(DateVente)</f>
        <v>#VALUE!</v>
      </c>
      <c r="O367" t="str">
        <f>PROPER(VentesMagasins!$F367)</f>
        <v>Électronique</v>
      </c>
      <c r="P367">
        <f>VALUE(CLEAN(TRIM(SUBSTITUTE(VentesMagasins!$I367,".",","))))</f>
        <v>0</v>
      </c>
      <c r="Q367">
        <f>VALUE(TRIM(SUBSTITUTE(VentesMagasins!$J367,".",",")))</f>
        <v>1315</v>
      </c>
      <c r="R367">
        <f t="shared" si="15"/>
        <v>1315</v>
      </c>
      <c r="S367">
        <f>IF(VentesMagasins!$K367=1,(-1)*R367,R367)</f>
        <v>1315</v>
      </c>
      <c r="T367">
        <f>IFERROR(VALUE(TRIM(SUBSTITUTE(VentesMagasins!$L367,".",","))),0)</f>
        <v>4</v>
      </c>
      <c r="U367">
        <f t="shared" si="16"/>
        <v>4</v>
      </c>
      <c r="V367" t="str">
        <f t="shared" si="17"/>
        <v>moyenne</v>
      </c>
      <c r="W367" t="str">
        <f>_xlfn.XLOOKUP(VentesMagasins!$B367,Clients!ClientID,Région)</f>
        <v>Centre</v>
      </c>
      <c r="X367" t="str">
        <f>INDEX(TypeClient,MATCH(VentesMagasins!$B367,Clients!ClientID))</f>
        <v>Fidèle</v>
      </c>
      <c r="Y367" t="str">
        <v>oct</v>
      </c>
    </row>
    <row r="368" spans="1:25" x14ac:dyDescent="0.25">
      <c r="A368" s="2">
        <v>367</v>
      </c>
      <c r="B368" s="12" t="s">
        <v>119</v>
      </c>
      <c r="C368" s="13">
        <v>45520</v>
      </c>
      <c r="D368" s="12" t="s">
        <v>350</v>
      </c>
      <c r="E368" s="14" t="s">
        <v>339</v>
      </c>
      <c r="F368" s="12" t="s">
        <v>341</v>
      </c>
      <c r="G368" s="2">
        <v>5</v>
      </c>
      <c r="H368" s="3">
        <v>69</v>
      </c>
      <c r="I368" s="14" t="s">
        <v>342</v>
      </c>
      <c r="J368" s="12" t="s">
        <v>699</v>
      </c>
      <c r="K368" s="2">
        <v>1</v>
      </c>
      <c r="L368" s="12" t="s">
        <v>337</v>
      </c>
      <c r="M368">
        <f>YEAR(VentesMagasins!$C368)</f>
        <v>2024</v>
      </c>
      <c r="N368" t="e" cm="1" vm="1">
        <f t="array" aca="1" ref="N368" ca="1">MONTH(DateVente)</f>
        <v>#VALUE!</v>
      </c>
      <c r="O368" t="str">
        <f>PROPER(VentesMagasins!$F368)</f>
        <v>Meuble</v>
      </c>
      <c r="P368">
        <f>VALUE(CLEAN(TRIM(SUBSTITUTE(VentesMagasins!$I368,".",","))))</f>
        <v>0.05</v>
      </c>
      <c r="Q368">
        <f>VALUE(TRIM(SUBSTITUTE(VentesMagasins!$J368,".",",")))</f>
        <v>327.75</v>
      </c>
      <c r="R368">
        <f t="shared" si="15"/>
        <v>311.36250000000001</v>
      </c>
      <c r="S368">
        <f>IF(VentesMagasins!$K368=1,(-1)*R368,R368)</f>
        <v>-311.36250000000001</v>
      </c>
      <c r="T368">
        <f>IFERROR(VALUE(TRIM(SUBSTITUTE(VentesMagasins!$L368,".",","))),0)</f>
        <v>3</v>
      </c>
      <c r="U368">
        <f t="shared" si="16"/>
        <v>3</v>
      </c>
      <c r="V368" t="str">
        <f t="shared" si="17"/>
        <v>moyenne</v>
      </c>
      <c r="W368" t="str">
        <f>_xlfn.XLOOKUP(VentesMagasins!$B368,Clients!ClientID,Région)</f>
        <v>Centre</v>
      </c>
      <c r="X368" t="str">
        <f>INDEX(TypeClient,MATCH(VentesMagasins!$B368,Clients!ClientID))</f>
        <v>Nouveau</v>
      </c>
      <c r="Y368" t="str">
        <v>août</v>
      </c>
    </row>
    <row r="369" spans="1:25" x14ac:dyDescent="0.25">
      <c r="A369" s="2">
        <v>368</v>
      </c>
      <c r="B369" s="12" t="s">
        <v>53</v>
      </c>
      <c r="C369" s="13">
        <v>45349</v>
      </c>
      <c r="D369" s="12" t="s">
        <v>322</v>
      </c>
      <c r="E369" s="14" t="s">
        <v>364</v>
      </c>
      <c r="F369" s="12" t="s">
        <v>324</v>
      </c>
      <c r="G369" s="2">
        <v>4</v>
      </c>
      <c r="H369" s="3">
        <v>473</v>
      </c>
      <c r="I369" s="14" t="s">
        <v>335</v>
      </c>
      <c r="J369" s="12" t="s">
        <v>700</v>
      </c>
      <c r="K369" s="2">
        <v>0</v>
      </c>
      <c r="L369" s="12" t="s">
        <v>344</v>
      </c>
      <c r="M369">
        <f>YEAR(VentesMagasins!$C369)</f>
        <v>2024</v>
      </c>
      <c r="N369" t="e" cm="1" vm="1">
        <f t="array" aca="1" ref="N369" ca="1">MONTH(DateVente)</f>
        <v>#VALUE!</v>
      </c>
      <c r="O369" t="str">
        <f>PROPER(VentesMagasins!$F369)</f>
        <v>Électronique</v>
      </c>
      <c r="P369">
        <f>VALUE(CLEAN(TRIM(SUBSTITUTE(VentesMagasins!$I369,".",","))))</f>
        <v>0</v>
      </c>
      <c r="Q369">
        <f>VALUE(TRIM(SUBSTITUTE(VentesMagasins!$J369,".",",")))</f>
        <v>1702.8</v>
      </c>
      <c r="R369">
        <f t="shared" si="15"/>
        <v>1702.8</v>
      </c>
      <c r="S369">
        <f>IF(VentesMagasins!$K369=1,(-1)*R369,R369)</f>
        <v>1702.8</v>
      </c>
      <c r="T369">
        <f>IFERROR(VALUE(TRIM(SUBSTITUTE(VentesMagasins!$L369,".",","))),0)</f>
        <v>2</v>
      </c>
      <c r="U369">
        <f t="shared" si="16"/>
        <v>2</v>
      </c>
      <c r="V369" t="str">
        <f t="shared" si="17"/>
        <v>faible</v>
      </c>
      <c r="W369" t="str">
        <f>_xlfn.XLOOKUP(VentesMagasins!$B369,Clients!ClientID,Région)</f>
        <v>Ouest</v>
      </c>
      <c r="X369" t="str">
        <f>INDEX(TypeClient,MATCH(VentesMagasins!$B369,Clients!ClientID))</f>
        <v>Occasionnel</v>
      </c>
      <c r="Y369" t="str">
        <v>févr</v>
      </c>
    </row>
    <row r="370" spans="1:25" x14ac:dyDescent="0.25">
      <c r="A370" s="2">
        <v>369</v>
      </c>
      <c r="B370" s="12" t="s">
        <v>263</v>
      </c>
      <c r="C370" s="13">
        <v>45448</v>
      </c>
      <c r="D370" s="12" t="s">
        <v>333</v>
      </c>
      <c r="E370" s="14" t="s">
        <v>345</v>
      </c>
      <c r="F370" s="12" t="s">
        <v>341</v>
      </c>
      <c r="G370" s="2">
        <v>1</v>
      </c>
      <c r="H370" s="3">
        <v>274</v>
      </c>
      <c r="I370" s="14" t="s">
        <v>325</v>
      </c>
      <c r="J370" s="12" t="s">
        <v>701</v>
      </c>
      <c r="K370" s="2">
        <v>0</v>
      </c>
      <c r="L370" s="12" t="s">
        <v>344</v>
      </c>
      <c r="M370">
        <f>YEAR(VentesMagasins!$C370)</f>
        <v>2024</v>
      </c>
      <c r="N370" t="e" cm="1" vm="1">
        <f t="array" aca="1" ref="N370" ca="1">MONTH(DateVente)</f>
        <v>#VALUE!</v>
      </c>
      <c r="O370" t="str">
        <f>PROPER(VentesMagasins!$F370)</f>
        <v>Meuble</v>
      </c>
      <c r="P370">
        <f>VALUE(CLEAN(TRIM(SUBSTITUTE(VentesMagasins!$I370,".",","))))</f>
        <v>0.15</v>
      </c>
      <c r="Q370">
        <f>VALUE(TRIM(SUBSTITUTE(VentesMagasins!$J370,".",",")))</f>
        <v>232.9</v>
      </c>
      <c r="R370">
        <f t="shared" si="15"/>
        <v>197.965</v>
      </c>
      <c r="S370">
        <f>IF(VentesMagasins!$K370=1,(-1)*R370,R370)</f>
        <v>197.965</v>
      </c>
      <c r="T370">
        <f>IFERROR(VALUE(TRIM(SUBSTITUTE(VentesMagasins!$L370,".",","))),0)</f>
        <v>2</v>
      </c>
      <c r="U370">
        <f t="shared" si="16"/>
        <v>2</v>
      </c>
      <c r="V370" t="str">
        <f t="shared" si="17"/>
        <v>faible</v>
      </c>
      <c r="W370" t="str">
        <f>_xlfn.XLOOKUP(VentesMagasins!$B370,Clients!ClientID,Région)</f>
        <v>Est</v>
      </c>
      <c r="X370" t="str">
        <f>INDEX(TypeClient,MATCH(VentesMagasins!$B370,Clients!ClientID))</f>
        <v>Nouveau</v>
      </c>
      <c r="Y370" t="str">
        <v>juin</v>
      </c>
    </row>
    <row r="371" spans="1:25" x14ac:dyDescent="0.25">
      <c r="A371" s="2">
        <v>370</v>
      </c>
      <c r="B371" s="12" t="s">
        <v>46</v>
      </c>
      <c r="C371" s="13">
        <v>45226</v>
      </c>
      <c r="D371" s="12" t="s">
        <v>328</v>
      </c>
      <c r="E371" s="14" t="s">
        <v>334</v>
      </c>
      <c r="F371" s="12" t="s">
        <v>330</v>
      </c>
      <c r="G371" s="2">
        <v>1</v>
      </c>
      <c r="H371" s="3">
        <v>445</v>
      </c>
      <c r="I371" s="14" t="s">
        <v>335</v>
      </c>
      <c r="J371" s="12" t="s">
        <v>702</v>
      </c>
      <c r="K371" s="2">
        <v>1</v>
      </c>
      <c r="L371" s="12" t="s">
        <v>337</v>
      </c>
      <c r="M371">
        <f>YEAR(VentesMagasins!$C371)</f>
        <v>2023</v>
      </c>
      <c r="N371" t="e" cm="1" vm="1">
        <f t="array" aca="1" ref="N371" ca="1">MONTH(DateVente)</f>
        <v>#VALUE!</v>
      </c>
      <c r="O371" t="str">
        <f>PROPER(VentesMagasins!$F371)</f>
        <v>Décoration</v>
      </c>
      <c r="P371">
        <f>VALUE(CLEAN(TRIM(SUBSTITUTE(VentesMagasins!$I371,".",","))))</f>
        <v>0</v>
      </c>
      <c r="Q371">
        <f>VALUE(TRIM(SUBSTITUTE(VentesMagasins!$J371,".",",")))</f>
        <v>400.5</v>
      </c>
      <c r="R371">
        <f t="shared" si="15"/>
        <v>400.5</v>
      </c>
      <c r="S371">
        <f>IF(VentesMagasins!$K371=1,(-1)*R371,R371)</f>
        <v>-400.5</v>
      </c>
      <c r="T371">
        <f>IFERROR(VALUE(TRIM(SUBSTITUTE(VentesMagasins!$L371,".",","))),0)</f>
        <v>3</v>
      </c>
      <c r="U371">
        <f t="shared" si="16"/>
        <v>3</v>
      </c>
      <c r="V371" t="str">
        <f t="shared" si="17"/>
        <v>moyenne</v>
      </c>
      <c r="W371" t="str">
        <f>_xlfn.XLOOKUP(VentesMagasins!$B371,Clients!ClientID,Région)</f>
        <v>Ouest</v>
      </c>
      <c r="X371" t="str">
        <f>INDEX(TypeClient,MATCH(VentesMagasins!$B371,Clients!ClientID))</f>
        <v>Occasionnel</v>
      </c>
      <c r="Y371" t="str">
        <v>oct</v>
      </c>
    </row>
    <row r="372" spans="1:25" x14ac:dyDescent="0.25">
      <c r="A372" s="2">
        <v>371</v>
      </c>
      <c r="B372" s="12" t="s">
        <v>267</v>
      </c>
      <c r="C372" s="13">
        <v>45879</v>
      </c>
      <c r="D372" s="12" t="s">
        <v>322</v>
      </c>
      <c r="E372" s="14" t="s">
        <v>334</v>
      </c>
      <c r="F372" s="12" t="s">
        <v>330</v>
      </c>
      <c r="G372" s="2">
        <v>2</v>
      </c>
      <c r="H372" s="3">
        <v>350</v>
      </c>
      <c r="I372" s="14" t="s">
        <v>355</v>
      </c>
      <c r="J372" s="12" t="s">
        <v>703</v>
      </c>
      <c r="K372" s="2">
        <v>0</v>
      </c>
      <c r="L372" s="12" t="s">
        <v>327</v>
      </c>
      <c r="M372">
        <f>YEAR(VentesMagasins!$C372)</f>
        <v>2025</v>
      </c>
      <c r="N372" t="e" cm="1" vm="1">
        <f t="array" aca="1" ref="N372" ca="1">MONTH(DateVente)</f>
        <v>#VALUE!</v>
      </c>
      <c r="O372" t="str">
        <f>PROPER(VentesMagasins!$F372)</f>
        <v>Décoration</v>
      </c>
      <c r="P372">
        <f>VALUE(CLEAN(TRIM(SUBSTITUTE(VentesMagasins!$I372,".",","))))</f>
        <v>0.1</v>
      </c>
      <c r="Q372">
        <f>VALUE(TRIM(SUBSTITUTE(VentesMagasins!$J372,".",",")))</f>
        <v>630</v>
      </c>
      <c r="R372">
        <f t="shared" si="15"/>
        <v>567</v>
      </c>
      <c r="S372">
        <f>IF(VentesMagasins!$K372=1,(-1)*R372,R372)</f>
        <v>567</v>
      </c>
      <c r="T372">
        <f>IFERROR(VALUE(TRIM(SUBSTITUTE(VentesMagasins!$L372,".",","))),0)</f>
        <v>5</v>
      </c>
      <c r="U372">
        <f t="shared" si="16"/>
        <v>5</v>
      </c>
      <c r="V372" t="str">
        <f t="shared" si="17"/>
        <v>élévé</v>
      </c>
      <c r="W372" t="str">
        <f>_xlfn.XLOOKUP(VentesMagasins!$B372,Clients!ClientID,Région)</f>
        <v>Est</v>
      </c>
      <c r="X372" t="str">
        <f>INDEX(TypeClient,MATCH(VentesMagasins!$B372,Clients!ClientID))</f>
        <v>Nouveau</v>
      </c>
      <c r="Y372" t="str">
        <v>août</v>
      </c>
    </row>
    <row r="373" spans="1:25" x14ac:dyDescent="0.25">
      <c r="A373" s="2">
        <v>372</v>
      </c>
      <c r="B373" s="12" t="s">
        <v>234</v>
      </c>
      <c r="C373" s="13">
        <v>45116</v>
      </c>
      <c r="D373" s="12" t="s">
        <v>333</v>
      </c>
      <c r="E373" s="14" t="s">
        <v>339</v>
      </c>
      <c r="F373" s="12" t="s">
        <v>341</v>
      </c>
      <c r="G373" s="2">
        <v>4</v>
      </c>
      <c r="H373" s="3">
        <v>91</v>
      </c>
      <c r="I373" s="14" t="s">
        <v>355</v>
      </c>
      <c r="J373" s="12" t="s">
        <v>704</v>
      </c>
      <c r="K373" s="2">
        <v>0</v>
      </c>
      <c r="L373" s="12" t="s">
        <v>332</v>
      </c>
      <c r="M373">
        <f>YEAR(VentesMagasins!$C373)</f>
        <v>2023</v>
      </c>
      <c r="N373" t="e" cm="1" vm="1">
        <f t="array" aca="1" ref="N373" ca="1">MONTH(DateVente)</f>
        <v>#VALUE!</v>
      </c>
      <c r="O373" t="str">
        <f>PROPER(VentesMagasins!$F373)</f>
        <v>Meuble</v>
      </c>
      <c r="P373">
        <f>VALUE(CLEAN(TRIM(SUBSTITUTE(VentesMagasins!$I373,".",","))))</f>
        <v>0.1</v>
      </c>
      <c r="Q373">
        <f>VALUE(TRIM(SUBSTITUTE(VentesMagasins!$J373,".",",")))</f>
        <v>327.60000000000002</v>
      </c>
      <c r="R373">
        <f t="shared" si="15"/>
        <v>294.84000000000003</v>
      </c>
      <c r="S373">
        <f>IF(VentesMagasins!$K373=1,(-1)*R373,R373)</f>
        <v>294.84000000000003</v>
      </c>
      <c r="T373">
        <f>IFERROR(VALUE(TRIM(SUBSTITUTE(VentesMagasins!$L373,".",","))),0)</f>
        <v>4</v>
      </c>
      <c r="U373">
        <f t="shared" si="16"/>
        <v>4</v>
      </c>
      <c r="V373" t="str">
        <f t="shared" si="17"/>
        <v>moyenne</v>
      </c>
      <c r="W373" t="str">
        <f>_xlfn.XLOOKUP(VentesMagasins!$B373,Clients!ClientID,Région)</f>
        <v>Est</v>
      </c>
      <c r="X373" t="str">
        <f>INDEX(TypeClient,MATCH(VentesMagasins!$B373,Clients!ClientID))</f>
        <v>Nouveau</v>
      </c>
      <c r="Y373" t="str">
        <v>juil</v>
      </c>
    </row>
    <row r="374" spans="1:25" x14ac:dyDescent="0.25">
      <c r="A374" s="2">
        <v>373</v>
      </c>
      <c r="B374" s="12" t="s">
        <v>153</v>
      </c>
      <c r="C374" s="13">
        <v>45583</v>
      </c>
      <c r="D374" s="12" t="s">
        <v>449</v>
      </c>
      <c r="E374" s="14" t="s">
        <v>364</v>
      </c>
      <c r="F374" s="12" t="s">
        <v>341</v>
      </c>
      <c r="G374" s="2">
        <v>1</v>
      </c>
      <c r="H374" s="3">
        <v>427</v>
      </c>
      <c r="I374" s="14" t="s">
        <v>325</v>
      </c>
      <c r="J374" s="12" t="s">
        <v>705</v>
      </c>
      <c r="K374" s="2">
        <v>1</v>
      </c>
      <c r="L374" s="12" t="s">
        <v>332</v>
      </c>
      <c r="M374">
        <f>YEAR(VentesMagasins!$C374)</f>
        <v>2024</v>
      </c>
      <c r="N374" t="e" cm="1" vm="1">
        <f t="array" aca="1" ref="N374" ca="1">MONTH(DateVente)</f>
        <v>#VALUE!</v>
      </c>
      <c r="O374" t="str">
        <f>PROPER(VentesMagasins!$F374)</f>
        <v>Meuble</v>
      </c>
      <c r="P374">
        <f>VALUE(CLEAN(TRIM(SUBSTITUTE(VentesMagasins!$I374,".",","))))</f>
        <v>0.15</v>
      </c>
      <c r="Q374">
        <f>VALUE(TRIM(SUBSTITUTE(VentesMagasins!$J374,".",",")))</f>
        <v>362.95</v>
      </c>
      <c r="R374">
        <f t="shared" si="15"/>
        <v>308.50749999999999</v>
      </c>
      <c r="S374">
        <f>IF(VentesMagasins!$K374=1,(-1)*R374,R374)</f>
        <v>-308.50749999999999</v>
      </c>
      <c r="T374">
        <f>IFERROR(VALUE(TRIM(SUBSTITUTE(VentesMagasins!$L374,".",","))),0)</f>
        <v>4</v>
      </c>
      <c r="U374">
        <f t="shared" si="16"/>
        <v>4</v>
      </c>
      <c r="V374" t="str">
        <f t="shared" si="17"/>
        <v>moyenne</v>
      </c>
      <c r="W374" t="str">
        <f>_xlfn.XLOOKUP(VentesMagasins!$B374,Clients!ClientID,Région)</f>
        <v>Sud</v>
      </c>
      <c r="X374" t="str">
        <f>INDEX(TypeClient,MATCH(VentesMagasins!$B374,Clients!ClientID))</f>
        <v>Fidèle</v>
      </c>
      <c r="Y374" t="str">
        <v>oct</v>
      </c>
    </row>
    <row r="375" spans="1:25" x14ac:dyDescent="0.25">
      <c r="A375" s="2">
        <v>374</v>
      </c>
      <c r="B375" s="12" t="s">
        <v>221</v>
      </c>
      <c r="C375" s="13">
        <v>45319</v>
      </c>
      <c r="D375" s="12" t="s">
        <v>350</v>
      </c>
      <c r="E375" s="14" t="s">
        <v>364</v>
      </c>
      <c r="F375" s="12" t="s">
        <v>330</v>
      </c>
      <c r="G375" s="2">
        <v>3</v>
      </c>
      <c r="H375" s="3">
        <v>452</v>
      </c>
      <c r="I375" s="14" t="s">
        <v>355</v>
      </c>
      <c r="J375" s="12" t="s">
        <v>595</v>
      </c>
      <c r="K375" s="2">
        <v>0</v>
      </c>
      <c r="L375" s="12" t="s">
        <v>332</v>
      </c>
      <c r="M375">
        <f>YEAR(VentesMagasins!$C375)</f>
        <v>2024</v>
      </c>
      <c r="N375" t="e" cm="1" vm="1">
        <f t="array" aca="1" ref="N375" ca="1">MONTH(DateVente)</f>
        <v>#VALUE!</v>
      </c>
      <c r="O375" t="str">
        <f>PROPER(VentesMagasins!$F375)</f>
        <v>Décoration</v>
      </c>
      <c r="P375">
        <f>VALUE(CLEAN(TRIM(SUBSTITUTE(VentesMagasins!$I375,".",","))))</f>
        <v>0.1</v>
      </c>
      <c r="Q375">
        <f>VALUE(TRIM(SUBSTITUTE(VentesMagasins!$J375,".",",")))</f>
        <v>1220.4000000000001</v>
      </c>
      <c r="R375">
        <f t="shared" si="15"/>
        <v>1098.3600000000001</v>
      </c>
      <c r="S375">
        <f>IF(VentesMagasins!$K375=1,(-1)*R375,R375)</f>
        <v>1098.3600000000001</v>
      </c>
      <c r="T375">
        <f>IFERROR(VALUE(TRIM(SUBSTITUTE(VentesMagasins!$L375,".",","))),0)</f>
        <v>4</v>
      </c>
      <c r="U375">
        <f t="shared" si="16"/>
        <v>4</v>
      </c>
      <c r="V375" t="str">
        <f t="shared" si="17"/>
        <v>moyenne</v>
      </c>
      <c r="W375" t="str">
        <f>_xlfn.XLOOKUP(VentesMagasins!$B375,Clients!ClientID,Région)</f>
        <v>Sud</v>
      </c>
      <c r="X375" t="str">
        <f>INDEX(TypeClient,MATCH(VentesMagasins!$B375,Clients!ClientID))</f>
        <v>Occasionnel</v>
      </c>
      <c r="Y375" t="str">
        <v>janv</v>
      </c>
    </row>
    <row r="376" spans="1:25" x14ac:dyDescent="0.25">
      <c r="A376" s="2">
        <v>375</v>
      </c>
      <c r="B376" s="12" t="s">
        <v>275</v>
      </c>
      <c r="C376" s="13">
        <v>45675</v>
      </c>
      <c r="D376" s="12" t="s">
        <v>350</v>
      </c>
      <c r="E376" s="14" t="s">
        <v>348</v>
      </c>
      <c r="F376" s="12" t="s">
        <v>324</v>
      </c>
      <c r="G376" s="2">
        <v>2</v>
      </c>
      <c r="H376" s="3">
        <v>189</v>
      </c>
      <c r="I376" s="14" t="s">
        <v>342</v>
      </c>
      <c r="J376" s="12" t="s">
        <v>706</v>
      </c>
      <c r="K376" s="2">
        <v>0</v>
      </c>
      <c r="L376" s="12" t="s">
        <v>337</v>
      </c>
      <c r="M376">
        <f>YEAR(VentesMagasins!$C376)</f>
        <v>2025</v>
      </c>
      <c r="N376" t="e" cm="1" vm="1">
        <f t="array" aca="1" ref="N376" ca="1">MONTH(DateVente)</f>
        <v>#VALUE!</v>
      </c>
      <c r="O376" t="str">
        <f>PROPER(VentesMagasins!$F376)</f>
        <v>Électronique</v>
      </c>
      <c r="P376">
        <f>VALUE(CLEAN(TRIM(SUBSTITUTE(VentesMagasins!$I376,".",","))))</f>
        <v>0.05</v>
      </c>
      <c r="Q376">
        <f>VALUE(TRIM(SUBSTITUTE(VentesMagasins!$J376,".",",")))</f>
        <v>359.099999999999</v>
      </c>
      <c r="R376">
        <f t="shared" si="15"/>
        <v>341.14499999999902</v>
      </c>
      <c r="S376">
        <f>IF(VentesMagasins!$K376=1,(-1)*R376,R376)</f>
        <v>341.14499999999902</v>
      </c>
      <c r="T376">
        <f>IFERROR(VALUE(TRIM(SUBSTITUTE(VentesMagasins!$L376,".",","))),0)</f>
        <v>3</v>
      </c>
      <c r="U376">
        <f t="shared" si="16"/>
        <v>3</v>
      </c>
      <c r="V376" t="str">
        <f t="shared" si="17"/>
        <v>moyenne</v>
      </c>
      <c r="W376" t="str">
        <f>_xlfn.XLOOKUP(VentesMagasins!$B376,Clients!ClientID,Région)</f>
        <v>Nord</v>
      </c>
      <c r="X376" t="str">
        <f>INDEX(TypeClient,MATCH(VentesMagasins!$B376,Clients!ClientID))</f>
        <v>Fidèle</v>
      </c>
      <c r="Y376" t="str">
        <v>janv</v>
      </c>
    </row>
    <row r="377" spans="1:25" x14ac:dyDescent="0.25">
      <c r="A377" s="2">
        <v>376</v>
      </c>
      <c r="B377" s="12" t="s">
        <v>50</v>
      </c>
      <c r="C377" s="13">
        <v>45062</v>
      </c>
      <c r="D377" s="12" t="s">
        <v>338</v>
      </c>
      <c r="E377" s="14" t="s">
        <v>364</v>
      </c>
      <c r="F377" s="12" t="s">
        <v>330</v>
      </c>
      <c r="G377" s="2">
        <v>5</v>
      </c>
      <c r="H377" s="3">
        <v>185</v>
      </c>
      <c r="I377" s="14" t="s">
        <v>355</v>
      </c>
      <c r="J377" s="12" t="s">
        <v>707</v>
      </c>
      <c r="K377" s="2">
        <v>1</v>
      </c>
      <c r="L377" s="12" t="s">
        <v>327</v>
      </c>
      <c r="M377">
        <f>YEAR(VentesMagasins!$C377)</f>
        <v>2023</v>
      </c>
      <c r="N377" t="e" cm="1" vm="1">
        <f t="array" aca="1" ref="N377" ca="1">MONTH(DateVente)</f>
        <v>#VALUE!</v>
      </c>
      <c r="O377" t="str">
        <f>PROPER(VentesMagasins!$F377)</f>
        <v>Décoration</v>
      </c>
      <c r="P377">
        <f>VALUE(CLEAN(TRIM(SUBSTITUTE(VentesMagasins!$I377,".",","))))</f>
        <v>0.1</v>
      </c>
      <c r="Q377">
        <f>VALUE(TRIM(SUBSTITUTE(VentesMagasins!$J377,".",",")))</f>
        <v>832.5</v>
      </c>
      <c r="R377">
        <f t="shared" si="15"/>
        <v>749.25</v>
      </c>
      <c r="S377">
        <f>IF(VentesMagasins!$K377=1,(-1)*R377,R377)</f>
        <v>-749.25</v>
      </c>
      <c r="T377">
        <f>IFERROR(VALUE(TRIM(SUBSTITUTE(VentesMagasins!$L377,".",","))),0)</f>
        <v>5</v>
      </c>
      <c r="U377">
        <f t="shared" si="16"/>
        <v>5</v>
      </c>
      <c r="V377" t="str">
        <f t="shared" si="17"/>
        <v>élévé</v>
      </c>
      <c r="W377" t="str">
        <f>_xlfn.XLOOKUP(VentesMagasins!$B377,Clients!ClientID,Région)</f>
        <v>Centre</v>
      </c>
      <c r="X377" t="str">
        <f>INDEX(TypeClient,MATCH(VentesMagasins!$B377,Clients!ClientID))</f>
        <v>Nouveau</v>
      </c>
      <c r="Y377" t="str">
        <v>mai</v>
      </c>
    </row>
    <row r="378" spans="1:25" x14ac:dyDescent="0.25">
      <c r="A378" s="2">
        <v>377</v>
      </c>
      <c r="B378" s="12" t="s">
        <v>179</v>
      </c>
      <c r="C378" s="13">
        <v>45374</v>
      </c>
      <c r="D378" s="12" t="s">
        <v>338</v>
      </c>
      <c r="E378" s="14" t="s">
        <v>345</v>
      </c>
      <c r="F378" s="12" t="s">
        <v>330</v>
      </c>
      <c r="G378" s="2">
        <v>3</v>
      </c>
      <c r="H378" s="3">
        <v>249</v>
      </c>
      <c r="I378" s="14" t="s">
        <v>355</v>
      </c>
      <c r="J378" s="12" t="s">
        <v>708</v>
      </c>
      <c r="K378" s="2">
        <v>0</v>
      </c>
      <c r="L378" s="12" t="s">
        <v>337</v>
      </c>
      <c r="M378">
        <f>YEAR(VentesMagasins!$C378)</f>
        <v>2024</v>
      </c>
      <c r="N378" t="e" cm="1" vm="1">
        <f t="array" aca="1" ref="N378" ca="1">MONTH(DateVente)</f>
        <v>#VALUE!</v>
      </c>
      <c r="O378" t="str">
        <f>PROPER(VentesMagasins!$F378)</f>
        <v>Décoration</v>
      </c>
      <c r="P378">
        <f>VALUE(CLEAN(TRIM(SUBSTITUTE(VentesMagasins!$I378,".",","))))</f>
        <v>0.1</v>
      </c>
      <c r="Q378">
        <f>VALUE(TRIM(SUBSTITUTE(VentesMagasins!$J378,".",",")))</f>
        <v>672.3</v>
      </c>
      <c r="R378">
        <f t="shared" si="15"/>
        <v>605.06999999999994</v>
      </c>
      <c r="S378">
        <f>IF(VentesMagasins!$K378=1,(-1)*R378,R378)</f>
        <v>605.06999999999994</v>
      </c>
      <c r="T378">
        <f>IFERROR(VALUE(TRIM(SUBSTITUTE(VentesMagasins!$L378,".",","))),0)</f>
        <v>3</v>
      </c>
      <c r="U378">
        <f t="shared" si="16"/>
        <v>3</v>
      </c>
      <c r="V378" t="str">
        <f t="shared" si="17"/>
        <v>moyenne</v>
      </c>
      <c r="W378" t="str">
        <f>_xlfn.XLOOKUP(VentesMagasins!$B378,Clients!ClientID,Région)</f>
        <v>Sud</v>
      </c>
      <c r="X378" t="str">
        <f>INDEX(TypeClient,MATCH(VentesMagasins!$B378,Clients!ClientID))</f>
        <v>Nouveau</v>
      </c>
      <c r="Y378" t="str">
        <v>mars</v>
      </c>
    </row>
    <row r="379" spans="1:25" x14ac:dyDescent="0.25">
      <c r="A379" s="2">
        <v>378</v>
      </c>
      <c r="B379" s="12" t="s">
        <v>122</v>
      </c>
      <c r="C379" s="13">
        <v>45779</v>
      </c>
      <c r="D379" s="12" t="s">
        <v>338</v>
      </c>
      <c r="E379" s="14" t="s">
        <v>329</v>
      </c>
      <c r="F379" s="12" t="s">
        <v>330</v>
      </c>
      <c r="G379" s="2">
        <v>5</v>
      </c>
      <c r="H379" s="3">
        <v>332</v>
      </c>
      <c r="I379" s="14" t="s">
        <v>335</v>
      </c>
      <c r="J379" s="12" t="s">
        <v>709</v>
      </c>
      <c r="K379" s="2">
        <v>0</v>
      </c>
      <c r="L379" s="12" t="s">
        <v>369</v>
      </c>
      <c r="M379">
        <f>YEAR(VentesMagasins!$C379)</f>
        <v>2025</v>
      </c>
      <c r="N379" t="e" cm="1" vm="1">
        <f t="array" aca="1" ref="N379" ca="1">MONTH(DateVente)</f>
        <v>#VALUE!</v>
      </c>
      <c r="O379" t="str">
        <f>PROPER(VentesMagasins!$F379)</f>
        <v>Décoration</v>
      </c>
      <c r="P379">
        <f>VALUE(CLEAN(TRIM(SUBSTITUTE(VentesMagasins!$I379,".",","))))</f>
        <v>0</v>
      </c>
      <c r="Q379">
        <f>VALUE(TRIM(SUBSTITUTE(VentesMagasins!$J379,".",",")))</f>
        <v>1660</v>
      </c>
      <c r="R379">
        <f t="shared" si="15"/>
        <v>1660</v>
      </c>
      <c r="S379">
        <f>IF(VentesMagasins!$K379=1,(-1)*R379,R379)</f>
        <v>1660</v>
      </c>
      <c r="T379">
        <f>IFERROR(VALUE(TRIM(SUBSTITUTE(VentesMagasins!$L379,".",","))),0)</f>
        <v>1</v>
      </c>
      <c r="U379">
        <f t="shared" si="16"/>
        <v>1</v>
      </c>
      <c r="V379" t="str">
        <f t="shared" si="17"/>
        <v>faible</v>
      </c>
      <c r="W379" t="str">
        <f>_xlfn.XLOOKUP(VentesMagasins!$B379,Clients!ClientID,Région)</f>
        <v>Sud</v>
      </c>
      <c r="X379" t="str">
        <f>INDEX(TypeClient,MATCH(VentesMagasins!$B379,Clients!ClientID))</f>
        <v>Nouveau</v>
      </c>
      <c r="Y379" t="str">
        <v>mai</v>
      </c>
    </row>
    <row r="380" spans="1:25" x14ac:dyDescent="0.25">
      <c r="A380" s="2">
        <v>379</v>
      </c>
      <c r="B380" s="12" t="s">
        <v>125</v>
      </c>
      <c r="C380" s="13">
        <v>45031</v>
      </c>
      <c r="D380" s="12" t="s">
        <v>328</v>
      </c>
      <c r="E380" s="14" t="s">
        <v>323</v>
      </c>
      <c r="F380" s="12" t="s">
        <v>330</v>
      </c>
      <c r="G380" s="2">
        <v>2</v>
      </c>
      <c r="H380" s="3">
        <v>235</v>
      </c>
      <c r="I380" s="14" t="s">
        <v>342</v>
      </c>
      <c r="J380" s="12" t="s">
        <v>710</v>
      </c>
      <c r="K380" s="2">
        <v>0</v>
      </c>
      <c r="L380" s="12" t="s">
        <v>327</v>
      </c>
      <c r="M380">
        <f>YEAR(VentesMagasins!$C380)</f>
        <v>2023</v>
      </c>
      <c r="N380" t="e" cm="1" vm="1">
        <f t="array" aca="1" ref="N380" ca="1">MONTH(DateVente)</f>
        <v>#VALUE!</v>
      </c>
      <c r="O380" t="str">
        <f>PROPER(VentesMagasins!$F380)</f>
        <v>Décoration</v>
      </c>
      <c r="P380">
        <f>VALUE(CLEAN(TRIM(SUBSTITUTE(VentesMagasins!$I380,".",","))))</f>
        <v>0.05</v>
      </c>
      <c r="Q380">
        <f>VALUE(TRIM(SUBSTITUTE(VentesMagasins!$J380,".",",")))</f>
        <v>446.5</v>
      </c>
      <c r="R380">
        <f t="shared" si="15"/>
        <v>424.17499999999995</v>
      </c>
      <c r="S380">
        <f>IF(VentesMagasins!$K380=1,(-1)*R380,R380)</f>
        <v>424.17499999999995</v>
      </c>
      <c r="T380">
        <f>IFERROR(VALUE(TRIM(SUBSTITUTE(VentesMagasins!$L380,".",","))),0)</f>
        <v>5</v>
      </c>
      <c r="U380">
        <f t="shared" si="16"/>
        <v>5</v>
      </c>
      <c r="V380" t="str">
        <f t="shared" si="17"/>
        <v>élévé</v>
      </c>
      <c r="W380" t="str">
        <f>_xlfn.XLOOKUP(VentesMagasins!$B380,Clients!ClientID,Région)</f>
        <v>Ouest</v>
      </c>
      <c r="X380" t="str">
        <f>INDEX(TypeClient,MATCH(VentesMagasins!$B380,Clients!ClientID))</f>
        <v>Occasionnel</v>
      </c>
      <c r="Y380" t="str">
        <v>avr</v>
      </c>
    </row>
    <row r="381" spans="1:25" x14ac:dyDescent="0.25">
      <c r="A381" s="2">
        <v>380</v>
      </c>
      <c r="B381" s="12" t="s">
        <v>157</v>
      </c>
      <c r="C381" s="13">
        <v>45517</v>
      </c>
      <c r="D381" s="12" t="s">
        <v>328</v>
      </c>
      <c r="E381" s="14" t="s">
        <v>329</v>
      </c>
      <c r="F381" s="12" t="s">
        <v>324</v>
      </c>
      <c r="G381" s="2">
        <v>3</v>
      </c>
      <c r="H381" s="3">
        <v>256</v>
      </c>
      <c r="I381" s="14" t="s">
        <v>325</v>
      </c>
      <c r="J381" s="12" t="s">
        <v>711</v>
      </c>
      <c r="K381" s="2">
        <v>1</v>
      </c>
      <c r="L381" s="12" t="s">
        <v>352</v>
      </c>
      <c r="M381">
        <f>YEAR(VentesMagasins!$C381)</f>
        <v>2024</v>
      </c>
      <c r="N381" t="e" cm="1" vm="1">
        <f t="array" aca="1" ref="N381" ca="1">MONTH(DateVente)</f>
        <v>#VALUE!</v>
      </c>
      <c r="O381" t="str">
        <f>PROPER(VentesMagasins!$F381)</f>
        <v>Électronique</v>
      </c>
      <c r="P381">
        <f>VALUE(CLEAN(TRIM(SUBSTITUTE(VentesMagasins!$I381,".",","))))</f>
        <v>0.15</v>
      </c>
      <c r="Q381">
        <f>VALUE(TRIM(SUBSTITUTE(VentesMagasins!$J381,".",",")))</f>
        <v>652.79999999999995</v>
      </c>
      <c r="R381">
        <f t="shared" si="15"/>
        <v>554.88</v>
      </c>
      <c r="S381">
        <f>IF(VentesMagasins!$K381=1,(-1)*R381,R381)</f>
        <v>-554.88</v>
      </c>
      <c r="T381">
        <f>IFERROR(VALUE(TRIM(SUBSTITUTE(VentesMagasins!$L381,".",","))),0)</f>
        <v>0</v>
      </c>
      <c r="U381">
        <f t="shared" si="16"/>
        <v>3</v>
      </c>
      <c r="V381" t="str">
        <f t="shared" si="17"/>
        <v>moyenne</v>
      </c>
      <c r="W381" t="str">
        <f>_xlfn.XLOOKUP(VentesMagasins!$B381,Clients!ClientID,Région)</f>
        <v>Nord</v>
      </c>
      <c r="X381" t="str">
        <f>INDEX(TypeClient,MATCH(VentesMagasins!$B381,Clients!ClientID))</f>
        <v>Occasionnel</v>
      </c>
      <c r="Y381" t="str">
        <v>août</v>
      </c>
    </row>
    <row r="382" spans="1:25" x14ac:dyDescent="0.25">
      <c r="A382" s="2">
        <v>381</v>
      </c>
      <c r="B382" s="12" t="s">
        <v>66</v>
      </c>
      <c r="C382" s="13">
        <v>45232</v>
      </c>
      <c r="D382" s="12" t="s">
        <v>322</v>
      </c>
      <c r="E382" s="14" t="s">
        <v>348</v>
      </c>
      <c r="F382" s="12" t="s">
        <v>341</v>
      </c>
      <c r="G382" s="2">
        <v>2</v>
      </c>
      <c r="H382" s="3">
        <v>63</v>
      </c>
      <c r="I382" s="14" t="s">
        <v>342</v>
      </c>
      <c r="J382" s="12" t="s">
        <v>712</v>
      </c>
      <c r="K382" s="2">
        <v>0</v>
      </c>
      <c r="L382" s="12" t="s">
        <v>337</v>
      </c>
      <c r="M382">
        <f>YEAR(VentesMagasins!$C382)</f>
        <v>2023</v>
      </c>
      <c r="N382" t="e" cm="1" vm="1">
        <f t="array" aca="1" ref="N382" ca="1">MONTH(DateVente)</f>
        <v>#VALUE!</v>
      </c>
      <c r="O382" t="str">
        <f>PROPER(VentesMagasins!$F382)</f>
        <v>Meuble</v>
      </c>
      <c r="P382">
        <f>VALUE(CLEAN(TRIM(SUBSTITUTE(VentesMagasins!$I382,".",","))))</f>
        <v>0.05</v>
      </c>
      <c r="Q382">
        <f>VALUE(TRIM(SUBSTITUTE(VentesMagasins!$J382,".",",")))</f>
        <v>119.69999999999899</v>
      </c>
      <c r="R382">
        <f t="shared" si="15"/>
        <v>113.71499999999904</v>
      </c>
      <c r="S382">
        <f>IF(VentesMagasins!$K382=1,(-1)*R382,R382)</f>
        <v>113.71499999999904</v>
      </c>
      <c r="T382">
        <f>IFERROR(VALUE(TRIM(SUBSTITUTE(VentesMagasins!$L382,".",","))),0)</f>
        <v>3</v>
      </c>
      <c r="U382">
        <f t="shared" si="16"/>
        <v>3</v>
      </c>
      <c r="V382" t="str">
        <f t="shared" si="17"/>
        <v>moyenne</v>
      </c>
      <c r="W382" t="str">
        <f>_xlfn.XLOOKUP(VentesMagasins!$B382,Clients!ClientID,Région)</f>
        <v>Centre</v>
      </c>
      <c r="X382" t="str">
        <f>INDEX(TypeClient,MATCH(VentesMagasins!$B382,Clients!ClientID))</f>
        <v>Fidèle</v>
      </c>
      <c r="Y382" t="str">
        <v>nov</v>
      </c>
    </row>
    <row r="383" spans="1:25" x14ac:dyDescent="0.25">
      <c r="A383" s="2">
        <v>382</v>
      </c>
      <c r="B383" s="12" t="s">
        <v>172</v>
      </c>
      <c r="C383" s="13">
        <v>45782</v>
      </c>
      <c r="D383" s="12" t="s">
        <v>328</v>
      </c>
      <c r="E383" s="14" t="s">
        <v>323</v>
      </c>
      <c r="F383" s="12" t="s">
        <v>341</v>
      </c>
      <c r="G383" s="2">
        <v>4</v>
      </c>
      <c r="H383" s="3">
        <v>78</v>
      </c>
      <c r="I383" s="14" t="s">
        <v>335</v>
      </c>
      <c r="J383" s="12" t="s">
        <v>349</v>
      </c>
      <c r="K383" s="2">
        <v>0</v>
      </c>
      <c r="L383" s="12" t="s">
        <v>337</v>
      </c>
      <c r="M383">
        <f>YEAR(VentesMagasins!$C383)</f>
        <v>2025</v>
      </c>
      <c r="N383" t="e" cm="1" vm="1">
        <f t="array" aca="1" ref="N383" ca="1">MONTH(DateVente)</f>
        <v>#VALUE!</v>
      </c>
      <c r="O383" t="str">
        <f>PROPER(VentesMagasins!$F383)</f>
        <v>Meuble</v>
      </c>
      <c r="P383">
        <f>VALUE(CLEAN(TRIM(SUBSTITUTE(VentesMagasins!$I383,".",","))))</f>
        <v>0</v>
      </c>
      <c r="Q383">
        <f>VALUE(TRIM(SUBSTITUTE(VentesMagasins!$J383,".",",")))</f>
        <v>312</v>
      </c>
      <c r="R383">
        <f t="shared" si="15"/>
        <v>312</v>
      </c>
      <c r="S383">
        <f>IF(VentesMagasins!$K383=1,(-1)*R383,R383)</f>
        <v>312</v>
      </c>
      <c r="T383">
        <f>IFERROR(VALUE(TRIM(SUBSTITUTE(VentesMagasins!$L383,".",","))),0)</f>
        <v>3</v>
      </c>
      <c r="U383">
        <f t="shared" si="16"/>
        <v>3</v>
      </c>
      <c r="V383" t="str">
        <f t="shared" si="17"/>
        <v>moyenne</v>
      </c>
      <c r="W383" t="str">
        <f>_xlfn.XLOOKUP(VentesMagasins!$B383,Clients!ClientID,Région)</f>
        <v>Centre</v>
      </c>
      <c r="X383" t="str">
        <f>INDEX(TypeClient,MATCH(VentesMagasins!$B383,Clients!ClientID))</f>
        <v>Nouveau</v>
      </c>
      <c r="Y383" t="str">
        <v>mai</v>
      </c>
    </row>
    <row r="384" spans="1:25" x14ac:dyDescent="0.25">
      <c r="A384" s="2">
        <v>383</v>
      </c>
      <c r="B384" s="12" t="s">
        <v>9</v>
      </c>
      <c r="C384" s="13">
        <v>45508</v>
      </c>
      <c r="D384" s="12" t="s">
        <v>338</v>
      </c>
      <c r="E384" s="14" t="s">
        <v>345</v>
      </c>
      <c r="F384" s="12" t="s">
        <v>341</v>
      </c>
      <c r="G384" s="2">
        <v>4</v>
      </c>
      <c r="H384" s="3">
        <v>287</v>
      </c>
      <c r="I384" s="14" t="s">
        <v>335</v>
      </c>
      <c r="J384" s="12" t="s">
        <v>713</v>
      </c>
      <c r="K384" s="2">
        <v>0</v>
      </c>
      <c r="L384" s="12" t="s">
        <v>352</v>
      </c>
      <c r="M384">
        <f>YEAR(VentesMagasins!$C384)</f>
        <v>2024</v>
      </c>
      <c r="N384" t="e" cm="1" vm="1">
        <f t="array" aca="1" ref="N384" ca="1">MONTH(DateVente)</f>
        <v>#VALUE!</v>
      </c>
      <c r="O384" t="str">
        <f>PROPER(VentesMagasins!$F384)</f>
        <v>Meuble</v>
      </c>
      <c r="P384">
        <f>VALUE(CLEAN(TRIM(SUBSTITUTE(VentesMagasins!$I384,".",","))))</f>
        <v>0</v>
      </c>
      <c r="Q384">
        <f>VALUE(TRIM(SUBSTITUTE(VentesMagasins!$J384,".",",")))</f>
        <v>1148</v>
      </c>
      <c r="R384">
        <f t="shared" si="15"/>
        <v>1148</v>
      </c>
      <c r="S384">
        <f>IF(VentesMagasins!$K384=1,(-1)*R384,R384)</f>
        <v>1148</v>
      </c>
      <c r="T384">
        <f>IFERROR(VALUE(TRIM(SUBSTITUTE(VentesMagasins!$L384,".",","))),0)</f>
        <v>0</v>
      </c>
      <c r="U384">
        <f t="shared" si="16"/>
        <v>3</v>
      </c>
      <c r="V384" t="str">
        <f t="shared" si="17"/>
        <v>moyenne</v>
      </c>
      <c r="W384" t="str">
        <f>_xlfn.XLOOKUP(VentesMagasins!$B384,Clients!ClientID,Région)</f>
        <v>Nord</v>
      </c>
      <c r="X384" t="str">
        <f>INDEX(TypeClient,MATCH(VentesMagasins!$B384,Clients!ClientID))</f>
        <v>Occasionnel</v>
      </c>
      <c r="Y384" t="str">
        <v>août</v>
      </c>
    </row>
    <row r="385" spans="1:25" x14ac:dyDescent="0.25">
      <c r="A385" s="2">
        <v>384</v>
      </c>
      <c r="B385" s="12" t="s">
        <v>90</v>
      </c>
      <c r="C385" s="13">
        <v>45673</v>
      </c>
      <c r="D385" s="12" t="s">
        <v>350</v>
      </c>
      <c r="E385" s="14" t="s">
        <v>334</v>
      </c>
      <c r="F385" s="12" t="s">
        <v>341</v>
      </c>
      <c r="G385" s="2">
        <v>2</v>
      </c>
      <c r="H385" s="3">
        <v>22</v>
      </c>
      <c r="I385" s="14" t="s">
        <v>342</v>
      </c>
      <c r="J385" s="12" t="s">
        <v>714</v>
      </c>
      <c r="K385" s="2">
        <v>0</v>
      </c>
      <c r="L385" s="12" t="s">
        <v>344</v>
      </c>
      <c r="M385">
        <f>YEAR(VentesMagasins!$C385)</f>
        <v>2025</v>
      </c>
      <c r="N385" t="e" cm="1" vm="1">
        <f t="array" aca="1" ref="N385" ca="1">MONTH(DateVente)</f>
        <v>#VALUE!</v>
      </c>
      <c r="O385" t="str">
        <f>PROPER(VentesMagasins!$F385)</f>
        <v>Meuble</v>
      </c>
      <c r="P385">
        <f>VALUE(CLEAN(TRIM(SUBSTITUTE(VentesMagasins!$I385,".",","))))</f>
        <v>0.05</v>
      </c>
      <c r="Q385">
        <f>VALUE(TRIM(SUBSTITUTE(VentesMagasins!$J385,".",",")))</f>
        <v>41.8</v>
      </c>
      <c r="R385">
        <f t="shared" si="15"/>
        <v>39.709999999999994</v>
      </c>
      <c r="S385">
        <f>IF(VentesMagasins!$K385=1,(-1)*R385,R385)</f>
        <v>39.709999999999994</v>
      </c>
      <c r="T385">
        <f>IFERROR(VALUE(TRIM(SUBSTITUTE(VentesMagasins!$L385,".",","))),0)</f>
        <v>2</v>
      </c>
      <c r="U385">
        <f t="shared" si="16"/>
        <v>2</v>
      </c>
      <c r="V385" t="str">
        <f t="shared" si="17"/>
        <v>faible</v>
      </c>
      <c r="W385" t="str">
        <f>_xlfn.XLOOKUP(VentesMagasins!$B385,Clients!ClientID,Région)</f>
        <v>Est</v>
      </c>
      <c r="X385" t="str">
        <f>INDEX(TypeClient,MATCH(VentesMagasins!$B385,Clients!ClientID))</f>
        <v>Fidèle</v>
      </c>
      <c r="Y385" t="str">
        <v>janv</v>
      </c>
    </row>
    <row r="386" spans="1:25" x14ac:dyDescent="0.25">
      <c r="A386" s="2">
        <v>385</v>
      </c>
      <c r="B386" s="12" t="s">
        <v>68</v>
      </c>
      <c r="C386" s="13">
        <v>45280</v>
      </c>
      <c r="D386" s="12" t="s">
        <v>328</v>
      </c>
      <c r="E386" s="14" t="s">
        <v>364</v>
      </c>
      <c r="F386" s="12" t="s">
        <v>330</v>
      </c>
      <c r="G386" s="2">
        <v>5</v>
      </c>
      <c r="H386" s="3">
        <v>145</v>
      </c>
      <c r="I386" s="14" t="s">
        <v>335</v>
      </c>
      <c r="J386" s="12" t="s">
        <v>715</v>
      </c>
      <c r="K386" s="2">
        <v>0</v>
      </c>
      <c r="L386" s="12" t="s">
        <v>352</v>
      </c>
      <c r="M386">
        <f>YEAR(VentesMagasins!$C386)</f>
        <v>2023</v>
      </c>
      <c r="N386" t="e" cm="1" vm="1">
        <f t="array" aca="1" ref="N386" ca="1">MONTH(DateVente)</f>
        <v>#VALUE!</v>
      </c>
      <c r="O386" t="str">
        <f>PROPER(VentesMagasins!$F386)</f>
        <v>Décoration</v>
      </c>
      <c r="P386">
        <f>VALUE(CLEAN(TRIM(SUBSTITUTE(VentesMagasins!$I386,".",","))))</f>
        <v>0</v>
      </c>
      <c r="Q386">
        <f>VALUE(TRIM(SUBSTITUTE(VentesMagasins!$J386,".",",")))</f>
        <v>725</v>
      </c>
      <c r="R386">
        <f t="shared" si="15"/>
        <v>725</v>
      </c>
      <c r="S386">
        <f>IF(VentesMagasins!$K386=1,(-1)*R386,R386)</f>
        <v>725</v>
      </c>
      <c r="T386">
        <f>IFERROR(VALUE(TRIM(SUBSTITUTE(VentesMagasins!$L386,".",","))),0)</f>
        <v>0</v>
      </c>
      <c r="U386">
        <f t="shared" si="16"/>
        <v>3</v>
      </c>
      <c r="V386" t="str">
        <f t="shared" si="17"/>
        <v>moyenne</v>
      </c>
      <c r="W386" t="str">
        <f>_xlfn.XLOOKUP(VentesMagasins!$B386,Clients!ClientID,Région)</f>
        <v>Nord</v>
      </c>
      <c r="X386" t="str">
        <f>INDEX(TypeClient,MATCH(VentesMagasins!$B386,Clients!ClientID))</f>
        <v>Occasionnel</v>
      </c>
      <c r="Y386" t="str">
        <v>déc</v>
      </c>
    </row>
    <row r="387" spans="1:25" x14ac:dyDescent="0.25">
      <c r="A387" s="2">
        <v>386</v>
      </c>
      <c r="B387" s="12" t="s">
        <v>100</v>
      </c>
      <c r="C387" s="13">
        <v>45496</v>
      </c>
      <c r="D387" s="12" t="s">
        <v>350</v>
      </c>
      <c r="E387" s="14" t="s">
        <v>323</v>
      </c>
      <c r="F387" s="12" t="s">
        <v>324</v>
      </c>
      <c r="G387" s="2">
        <v>4</v>
      </c>
      <c r="H387" s="3">
        <v>386</v>
      </c>
      <c r="I387" s="14" t="s">
        <v>342</v>
      </c>
      <c r="J387" s="12" t="s">
        <v>716</v>
      </c>
      <c r="K387" s="2">
        <v>0</v>
      </c>
      <c r="L387" s="12" t="s">
        <v>332</v>
      </c>
      <c r="M387">
        <f>YEAR(VentesMagasins!$C387)</f>
        <v>2024</v>
      </c>
      <c r="N387" t="e" cm="1" vm="1">
        <f t="array" aca="1" ref="N387" ca="1">MONTH(DateVente)</f>
        <v>#VALUE!</v>
      </c>
      <c r="O387" t="str">
        <f>PROPER(VentesMagasins!$F387)</f>
        <v>Électronique</v>
      </c>
      <c r="P387">
        <f>VALUE(CLEAN(TRIM(SUBSTITUTE(VentesMagasins!$I387,".",","))))</f>
        <v>0.05</v>
      </c>
      <c r="Q387">
        <f>VALUE(TRIM(SUBSTITUTE(VentesMagasins!$J387,".",",")))</f>
        <v>1466.8</v>
      </c>
      <c r="R387">
        <f t="shared" ref="R387:R450" si="18">Q387*(1-P387)</f>
        <v>1393.4599999999998</v>
      </c>
      <c r="S387">
        <f>IF(VentesMagasins!$K387=1,(-1)*R387,R387)</f>
        <v>1393.4599999999998</v>
      </c>
      <c r="T387">
        <f>IFERROR(VALUE(TRIM(SUBSTITUTE(VentesMagasins!$L387,".",","))),0)</f>
        <v>4</v>
      </c>
      <c r="U387">
        <f t="shared" ref="U387:U450" si="19">ROUND(IF(T387=0,AVERAGE(T387:T1386),T387),0)</f>
        <v>4</v>
      </c>
      <c r="V387" t="str">
        <f t="shared" ref="V387:V450" si="20">IF(AND(U387&gt;0,U387&lt;=2),"faible",IF(AND(U387&gt;=3,U387&lt;=4),"moyenne",IF(U387=5,"élévé",0)))</f>
        <v>moyenne</v>
      </c>
      <c r="W387" t="str">
        <f>_xlfn.XLOOKUP(VentesMagasins!$B387,Clients!ClientID,Région)</f>
        <v>Centre</v>
      </c>
      <c r="X387" t="str">
        <f>INDEX(TypeClient,MATCH(VentesMagasins!$B387,Clients!ClientID))</f>
        <v>Occasionnel</v>
      </c>
      <c r="Y387" t="str">
        <v>juil</v>
      </c>
    </row>
    <row r="388" spans="1:25" x14ac:dyDescent="0.25">
      <c r="A388" s="2">
        <v>387</v>
      </c>
      <c r="B388" s="12" t="s">
        <v>293</v>
      </c>
      <c r="C388" s="13">
        <v>45606</v>
      </c>
      <c r="D388" s="12" t="s">
        <v>322</v>
      </c>
      <c r="E388" s="14" t="s">
        <v>364</v>
      </c>
      <c r="F388" s="12" t="s">
        <v>330</v>
      </c>
      <c r="G388" s="2">
        <v>5</v>
      </c>
      <c r="H388" s="3">
        <v>374</v>
      </c>
      <c r="I388" s="14" t="s">
        <v>355</v>
      </c>
      <c r="J388" s="12" t="s">
        <v>717</v>
      </c>
      <c r="K388" s="2">
        <v>0</v>
      </c>
      <c r="L388" s="12" t="s">
        <v>352</v>
      </c>
      <c r="M388">
        <f>YEAR(VentesMagasins!$C388)</f>
        <v>2024</v>
      </c>
      <c r="N388" t="e" cm="1" vm="1">
        <f t="array" aca="1" ref="N388" ca="1">MONTH(DateVente)</f>
        <v>#VALUE!</v>
      </c>
      <c r="O388" t="str">
        <f>PROPER(VentesMagasins!$F388)</f>
        <v>Décoration</v>
      </c>
      <c r="P388">
        <f>VALUE(CLEAN(TRIM(SUBSTITUTE(VentesMagasins!$I388,".",","))))</f>
        <v>0.1</v>
      </c>
      <c r="Q388">
        <f>VALUE(TRIM(SUBSTITUTE(VentesMagasins!$J388,".",",")))</f>
        <v>1683</v>
      </c>
      <c r="R388">
        <f t="shared" si="18"/>
        <v>1514.7</v>
      </c>
      <c r="S388">
        <f>IF(VentesMagasins!$K388=1,(-1)*R388,R388)</f>
        <v>1514.7</v>
      </c>
      <c r="T388">
        <f>IFERROR(VALUE(TRIM(SUBSTITUTE(VentesMagasins!$L388,".",","))),0)</f>
        <v>0</v>
      </c>
      <c r="U388">
        <f t="shared" si="19"/>
        <v>3</v>
      </c>
      <c r="V388" t="str">
        <f t="shared" si="20"/>
        <v>moyenne</v>
      </c>
      <c r="W388" t="str">
        <f>_xlfn.XLOOKUP(VentesMagasins!$B388,Clients!ClientID,Région)</f>
        <v>Sud</v>
      </c>
      <c r="X388" t="str">
        <f>INDEX(TypeClient,MATCH(VentesMagasins!$B388,Clients!ClientID))</f>
        <v>Fidèle</v>
      </c>
      <c r="Y388" t="str">
        <v>nov</v>
      </c>
    </row>
    <row r="389" spans="1:25" x14ac:dyDescent="0.25">
      <c r="A389" s="2">
        <v>388</v>
      </c>
      <c r="B389" s="12" t="s">
        <v>202</v>
      </c>
      <c r="C389" s="13">
        <v>45093</v>
      </c>
      <c r="D389" s="12" t="s">
        <v>333</v>
      </c>
      <c r="E389" s="14" t="s">
        <v>348</v>
      </c>
      <c r="F389" s="12" t="s">
        <v>330</v>
      </c>
      <c r="G389" s="2">
        <v>4</v>
      </c>
      <c r="H389" s="3">
        <v>283</v>
      </c>
      <c r="I389" s="14" t="s">
        <v>342</v>
      </c>
      <c r="J389" s="12" t="s">
        <v>718</v>
      </c>
      <c r="K389" s="2">
        <v>0</v>
      </c>
      <c r="L389" s="12" t="s">
        <v>344</v>
      </c>
      <c r="M389">
        <f>YEAR(VentesMagasins!$C389)</f>
        <v>2023</v>
      </c>
      <c r="N389" t="e" cm="1" vm="1">
        <f t="array" aca="1" ref="N389" ca="1">MONTH(DateVente)</f>
        <v>#VALUE!</v>
      </c>
      <c r="O389" t="str">
        <f>PROPER(VentesMagasins!$F389)</f>
        <v>Décoration</v>
      </c>
      <c r="P389">
        <f>VALUE(CLEAN(TRIM(SUBSTITUTE(VentesMagasins!$I389,".",","))))</f>
        <v>0.05</v>
      </c>
      <c r="Q389">
        <f>VALUE(TRIM(SUBSTITUTE(VentesMagasins!$J389,".",",")))</f>
        <v>1075.3999999999901</v>
      </c>
      <c r="R389">
        <f t="shared" si="18"/>
        <v>1021.6299999999906</v>
      </c>
      <c r="S389">
        <f>IF(VentesMagasins!$K389=1,(-1)*R389,R389)</f>
        <v>1021.6299999999906</v>
      </c>
      <c r="T389">
        <f>IFERROR(VALUE(TRIM(SUBSTITUTE(VentesMagasins!$L389,".",","))),0)</f>
        <v>2</v>
      </c>
      <c r="U389">
        <f t="shared" si="19"/>
        <v>2</v>
      </c>
      <c r="V389" t="str">
        <f t="shared" si="20"/>
        <v>faible</v>
      </c>
      <c r="W389" t="str">
        <f>_xlfn.XLOOKUP(VentesMagasins!$B389,Clients!ClientID,Région)</f>
        <v>Nord</v>
      </c>
      <c r="X389" t="str">
        <f>INDEX(TypeClient,MATCH(VentesMagasins!$B389,Clients!ClientID))</f>
        <v>Fidèle</v>
      </c>
      <c r="Y389" t="str">
        <v>juin</v>
      </c>
    </row>
    <row r="390" spans="1:25" x14ac:dyDescent="0.25">
      <c r="A390" s="2">
        <v>389</v>
      </c>
      <c r="B390" s="12" t="s">
        <v>146</v>
      </c>
      <c r="C390" s="13">
        <v>45783</v>
      </c>
      <c r="D390" s="12" t="s">
        <v>328</v>
      </c>
      <c r="E390" s="14" t="s">
        <v>364</v>
      </c>
      <c r="F390" s="12" t="s">
        <v>341</v>
      </c>
      <c r="G390" s="2">
        <v>2</v>
      </c>
      <c r="H390" s="3">
        <v>231</v>
      </c>
      <c r="I390" s="14" t="s">
        <v>355</v>
      </c>
      <c r="J390" s="12" t="s">
        <v>719</v>
      </c>
      <c r="K390" s="2">
        <v>1</v>
      </c>
      <c r="L390" s="12" t="s">
        <v>332</v>
      </c>
      <c r="M390">
        <f>YEAR(VentesMagasins!$C390)</f>
        <v>2025</v>
      </c>
      <c r="N390" t="e" cm="1" vm="1">
        <f t="array" aca="1" ref="N390" ca="1">MONTH(DateVente)</f>
        <v>#VALUE!</v>
      </c>
      <c r="O390" t="str">
        <f>PROPER(VentesMagasins!$F390)</f>
        <v>Meuble</v>
      </c>
      <c r="P390">
        <f>VALUE(CLEAN(TRIM(SUBSTITUTE(VentesMagasins!$I390,".",","))))</f>
        <v>0.1</v>
      </c>
      <c r="Q390">
        <f>VALUE(TRIM(SUBSTITUTE(VentesMagasins!$J390,".",",")))</f>
        <v>415.8</v>
      </c>
      <c r="R390">
        <f t="shared" si="18"/>
        <v>374.22</v>
      </c>
      <c r="S390">
        <f>IF(VentesMagasins!$K390=1,(-1)*R390,R390)</f>
        <v>-374.22</v>
      </c>
      <c r="T390">
        <f>IFERROR(VALUE(TRIM(SUBSTITUTE(VentesMagasins!$L390,".",","))),0)</f>
        <v>4</v>
      </c>
      <c r="U390">
        <f t="shared" si="19"/>
        <v>4</v>
      </c>
      <c r="V390" t="str">
        <f t="shared" si="20"/>
        <v>moyenne</v>
      </c>
      <c r="W390" t="str">
        <f>_xlfn.XLOOKUP(VentesMagasins!$B390,Clients!ClientID,Région)</f>
        <v>Est</v>
      </c>
      <c r="X390" t="str">
        <f>INDEX(TypeClient,MATCH(VentesMagasins!$B390,Clients!ClientID))</f>
        <v>Occasionnel</v>
      </c>
      <c r="Y390" t="str">
        <v>mai</v>
      </c>
    </row>
    <row r="391" spans="1:25" x14ac:dyDescent="0.25">
      <c r="A391" s="2">
        <v>390</v>
      </c>
      <c r="B391" s="12" t="s">
        <v>140</v>
      </c>
      <c r="C391" s="13">
        <v>45562</v>
      </c>
      <c r="D391" s="12" t="s">
        <v>338</v>
      </c>
      <c r="E391" s="14" t="s">
        <v>323</v>
      </c>
      <c r="F391" s="12" t="s">
        <v>341</v>
      </c>
      <c r="G391" s="2">
        <v>1</v>
      </c>
      <c r="H391" s="3">
        <v>302</v>
      </c>
      <c r="I391" s="14" t="s">
        <v>342</v>
      </c>
      <c r="J391" s="12" t="s">
        <v>498</v>
      </c>
      <c r="K391" s="2">
        <v>0</v>
      </c>
      <c r="L391" s="12" t="s">
        <v>337</v>
      </c>
      <c r="M391">
        <f>YEAR(VentesMagasins!$C391)</f>
        <v>2024</v>
      </c>
      <c r="N391" t="e" cm="1" vm="1">
        <f t="array" aca="1" ref="N391" ca="1">MONTH(DateVente)</f>
        <v>#VALUE!</v>
      </c>
      <c r="O391" t="str">
        <f>PROPER(VentesMagasins!$F391)</f>
        <v>Meuble</v>
      </c>
      <c r="P391">
        <f>VALUE(CLEAN(TRIM(SUBSTITUTE(VentesMagasins!$I391,".",","))))</f>
        <v>0.05</v>
      </c>
      <c r="Q391">
        <f>VALUE(TRIM(SUBSTITUTE(VentesMagasins!$J391,".",",")))</f>
        <v>286.89999999999998</v>
      </c>
      <c r="R391">
        <f t="shared" si="18"/>
        <v>272.55499999999995</v>
      </c>
      <c r="S391">
        <f>IF(VentesMagasins!$K391=1,(-1)*R391,R391)</f>
        <v>272.55499999999995</v>
      </c>
      <c r="T391">
        <f>IFERROR(VALUE(TRIM(SUBSTITUTE(VentesMagasins!$L391,".",","))),0)</f>
        <v>3</v>
      </c>
      <c r="U391">
        <f t="shared" si="19"/>
        <v>3</v>
      </c>
      <c r="V391" t="str">
        <f t="shared" si="20"/>
        <v>moyenne</v>
      </c>
      <c r="W391" t="str">
        <f>_xlfn.XLOOKUP(VentesMagasins!$B391,Clients!ClientID,Région)</f>
        <v>Est</v>
      </c>
      <c r="X391" t="str">
        <f>INDEX(TypeClient,MATCH(VentesMagasins!$B391,Clients!ClientID))</f>
        <v>Nouveau</v>
      </c>
      <c r="Y391" t="str">
        <v>sept</v>
      </c>
    </row>
    <row r="392" spans="1:25" x14ac:dyDescent="0.25">
      <c r="A392" s="2">
        <v>391</v>
      </c>
      <c r="B392" s="12" t="s">
        <v>92</v>
      </c>
      <c r="C392" s="13">
        <v>45543</v>
      </c>
      <c r="D392" s="12" t="s">
        <v>333</v>
      </c>
      <c r="E392" s="14" t="s">
        <v>339</v>
      </c>
      <c r="F392" s="12" t="s">
        <v>330</v>
      </c>
      <c r="G392" s="2">
        <v>5</v>
      </c>
      <c r="H392" s="3">
        <v>164</v>
      </c>
      <c r="I392" s="14" t="s">
        <v>335</v>
      </c>
      <c r="J392" s="12" t="s">
        <v>720</v>
      </c>
      <c r="K392" s="2">
        <v>1</v>
      </c>
      <c r="L392" s="12" t="s">
        <v>352</v>
      </c>
      <c r="M392">
        <f>YEAR(VentesMagasins!$C392)</f>
        <v>2024</v>
      </c>
      <c r="N392" t="e" cm="1" vm="1">
        <f t="array" aca="1" ref="N392" ca="1">MONTH(DateVente)</f>
        <v>#VALUE!</v>
      </c>
      <c r="O392" t="str">
        <f>PROPER(VentesMagasins!$F392)</f>
        <v>Décoration</v>
      </c>
      <c r="P392">
        <f>VALUE(CLEAN(TRIM(SUBSTITUTE(VentesMagasins!$I392,".",","))))</f>
        <v>0</v>
      </c>
      <c r="Q392">
        <f>VALUE(TRIM(SUBSTITUTE(VentesMagasins!$J392,".",",")))</f>
        <v>902</v>
      </c>
      <c r="R392">
        <f t="shared" si="18"/>
        <v>902</v>
      </c>
      <c r="S392">
        <f>IF(VentesMagasins!$K392=1,(-1)*R392,R392)</f>
        <v>-902</v>
      </c>
      <c r="T392">
        <f>IFERROR(VALUE(TRIM(SUBSTITUTE(VentesMagasins!$L392,".",","))),0)</f>
        <v>0</v>
      </c>
      <c r="U392">
        <f t="shared" si="19"/>
        <v>3</v>
      </c>
      <c r="V392" t="str">
        <f t="shared" si="20"/>
        <v>moyenne</v>
      </c>
      <c r="W392" t="str">
        <f>_xlfn.XLOOKUP(VentesMagasins!$B392,Clients!ClientID,Région)</f>
        <v>Centre</v>
      </c>
      <c r="X392" t="str">
        <f>INDEX(TypeClient,MATCH(VentesMagasins!$B392,Clients!ClientID))</f>
        <v>Fidèle</v>
      </c>
      <c r="Y392" t="str">
        <v>sept</v>
      </c>
    </row>
    <row r="393" spans="1:25" x14ac:dyDescent="0.25">
      <c r="A393" s="2">
        <v>392</v>
      </c>
      <c r="B393" s="12" t="s">
        <v>119</v>
      </c>
      <c r="C393" s="13">
        <v>45505</v>
      </c>
      <c r="D393" s="12" t="s">
        <v>328</v>
      </c>
      <c r="E393" s="14" t="s">
        <v>339</v>
      </c>
      <c r="F393" s="12" t="s">
        <v>330</v>
      </c>
      <c r="G393" s="2">
        <v>2</v>
      </c>
      <c r="H393" s="3">
        <v>75</v>
      </c>
      <c r="I393" s="14" t="s">
        <v>335</v>
      </c>
      <c r="J393" s="12" t="s">
        <v>721</v>
      </c>
      <c r="K393" s="2">
        <v>0</v>
      </c>
      <c r="L393" s="12" t="s">
        <v>332</v>
      </c>
      <c r="M393">
        <f>YEAR(VentesMagasins!$C393)</f>
        <v>2024</v>
      </c>
      <c r="N393" t="e" cm="1" vm="1">
        <f t="array" aca="1" ref="N393" ca="1">MONTH(DateVente)</f>
        <v>#VALUE!</v>
      </c>
      <c r="O393" t="str">
        <f>PROPER(VentesMagasins!$F393)</f>
        <v>Décoration</v>
      </c>
      <c r="P393">
        <f>VALUE(CLEAN(TRIM(SUBSTITUTE(VentesMagasins!$I393,".",","))))</f>
        <v>0</v>
      </c>
      <c r="Q393">
        <f>VALUE(TRIM(SUBSTITUTE(VentesMagasins!$J393,".",",")))</f>
        <v>150</v>
      </c>
      <c r="R393">
        <f t="shared" si="18"/>
        <v>150</v>
      </c>
      <c r="S393">
        <f>IF(VentesMagasins!$K393=1,(-1)*R393,R393)</f>
        <v>150</v>
      </c>
      <c r="T393">
        <f>IFERROR(VALUE(TRIM(SUBSTITUTE(VentesMagasins!$L393,".",","))),0)</f>
        <v>4</v>
      </c>
      <c r="U393">
        <f t="shared" si="19"/>
        <v>4</v>
      </c>
      <c r="V393" t="str">
        <f t="shared" si="20"/>
        <v>moyenne</v>
      </c>
      <c r="W393" t="str">
        <f>_xlfn.XLOOKUP(VentesMagasins!$B393,Clients!ClientID,Région)</f>
        <v>Centre</v>
      </c>
      <c r="X393" t="str">
        <f>INDEX(TypeClient,MATCH(VentesMagasins!$B393,Clients!ClientID))</f>
        <v>Nouveau</v>
      </c>
      <c r="Y393" t="str">
        <v>août</v>
      </c>
    </row>
    <row r="394" spans="1:25" x14ac:dyDescent="0.25">
      <c r="A394" s="2">
        <v>393</v>
      </c>
      <c r="B394" s="12" t="s">
        <v>139</v>
      </c>
      <c r="C394" s="13">
        <v>45998</v>
      </c>
      <c r="D394" s="12" t="s">
        <v>333</v>
      </c>
      <c r="E394" s="14" t="s">
        <v>348</v>
      </c>
      <c r="F394" s="12" t="s">
        <v>330</v>
      </c>
      <c r="G394" s="2">
        <v>2</v>
      </c>
      <c r="H394" s="3">
        <v>494</v>
      </c>
      <c r="I394" s="14" t="s">
        <v>342</v>
      </c>
      <c r="J394" s="12" t="s">
        <v>722</v>
      </c>
      <c r="K394" s="2">
        <v>0</v>
      </c>
      <c r="L394" s="12" t="s">
        <v>369</v>
      </c>
      <c r="M394">
        <f>YEAR(VentesMagasins!$C394)</f>
        <v>2025</v>
      </c>
      <c r="N394" t="e" cm="1" vm="1">
        <f t="array" aca="1" ref="N394" ca="1">MONTH(DateVente)</f>
        <v>#VALUE!</v>
      </c>
      <c r="O394" t="str">
        <f>PROPER(VentesMagasins!$F394)</f>
        <v>Décoration</v>
      </c>
      <c r="P394">
        <f>VALUE(CLEAN(TRIM(SUBSTITUTE(VentesMagasins!$I394,".",","))))</f>
        <v>0.05</v>
      </c>
      <c r="Q394">
        <f>VALUE(TRIM(SUBSTITUTE(VentesMagasins!$J394,".",",")))</f>
        <v>938.599999999999</v>
      </c>
      <c r="R394">
        <f t="shared" si="18"/>
        <v>891.66999999999905</v>
      </c>
      <c r="S394">
        <f>IF(VentesMagasins!$K394=1,(-1)*R394,R394)</f>
        <v>891.66999999999905</v>
      </c>
      <c r="T394">
        <f>IFERROR(VALUE(TRIM(SUBSTITUTE(VentesMagasins!$L394,".",","))),0)</f>
        <v>1</v>
      </c>
      <c r="U394">
        <f t="shared" si="19"/>
        <v>1</v>
      </c>
      <c r="V394" t="str">
        <f t="shared" si="20"/>
        <v>faible</v>
      </c>
      <c r="W394" t="str">
        <f>_xlfn.XLOOKUP(VentesMagasins!$B394,Clients!ClientID,Région)</f>
        <v>Sud</v>
      </c>
      <c r="X394" t="str">
        <f>INDEX(TypeClient,MATCH(VentesMagasins!$B394,Clients!ClientID))</f>
        <v>Nouveau</v>
      </c>
      <c r="Y394" t="str">
        <v>déc</v>
      </c>
    </row>
    <row r="395" spans="1:25" x14ac:dyDescent="0.25">
      <c r="A395" s="2">
        <v>394</v>
      </c>
      <c r="B395" s="12" t="s">
        <v>173</v>
      </c>
      <c r="C395" s="13">
        <v>45889</v>
      </c>
      <c r="D395" s="12" t="s">
        <v>322</v>
      </c>
      <c r="E395" s="14" t="s">
        <v>329</v>
      </c>
      <c r="F395" s="12" t="s">
        <v>341</v>
      </c>
      <c r="G395" s="2">
        <v>3</v>
      </c>
      <c r="H395" s="3">
        <v>34</v>
      </c>
      <c r="I395" s="14" t="s">
        <v>342</v>
      </c>
      <c r="J395" s="12" t="s">
        <v>340</v>
      </c>
      <c r="K395" s="2">
        <v>0</v>
      </c>
      <c r="L395" s="12" t="s">
        <v>327</v>
      </c>
      <c r="M395">
        <f>YEAR(VentesMagasins!$C395)</f>
        <v>2025</v>
      </c>
      <c r="N395" t="e" cm="1" vm="1">
        <f t="array" aca="1" ref="N395" ca="1">MONTH(DateVente)</f>
        <v>#VALUE!</v>
      </c>
      <c r="O395" t="str">
        <f>PROPER(VentesMagasins!$F395)</f>
        <v>Meuble</v>
      </c>
      <c r="P395">
        <f>VALUE(CLEAN(TRIM(SUBSTITUTE(VentesMagasins!$I395,".",","))))</f>
        <v>0.05</v>
      </c>
      <c r="Q395">
        <f>VALUE(TRIM(SUBSTITUTE(VentesMagasins!$J395,".",",")))</f>
        <v>96.899999999999906</v>
      </c>
      <c r="R395">
        <f t="shared" si="18"/>
        <v>92.054999999999907</v>
      </c>
      <c r="S395">
        <f>IF(VentesMagasins!$K395=1,(-1)*R395,R395)</f>
        <v>92.054999999999907</v>
      </c>
      <c r="T395">
        <f>IFERROR(VALUE(TRIM(SUBSTITUTE(VentesMagasins!$L395,".",","))),0)</f>
        <v>5</v>
      </c>
      <c r="U395">
        <f t="shared" si="19"/>
        <v>5</v>
      </c>
      <c r="V395" t="str">
        <f t="shared" si="20"/>
        <v>élévé</v>
      </c>
      <c r="W395" t="str">
        <f>_xlfn.XLOOKUP(VentesMagasins!$B395,Clients!ClientID,Région)</f>
        <v>Sud</v>
      </c>
      <c r="X395" t="str">
        <f>INDEX(TypeClient,MATCH(VentesMagasins!$B395,Clients!ClientID))</f>
        <v>Occasionnel</v>
      </c>
      <c r="Y395" t="str">
        <v>août</v>
      </c>
    </row>
    <row r="396" spans="1:25" x14ac:dyDescent="0.25">
      <c r="A396" s="2">
        <v>395</v>
      </c>
      <c r="B396" s="12" t="s">
        <v>261</v>
      </c>
      <c r="C396" s="13">
        <v>44935</v>
      </c>
      <c r="D396" s="12" t="s">
        <v>389</v>
      </c>
      <c r="E396" s="14" t="s">
        <v>345</v>
      </c>
      <c r="F396" s="12" t="s">
        <v>341</v>
      </c>
      <c r="G396" s="2">
        <v>4</v>
      </c>
      <c r="H396" s="3">
        <v>459</v>
      </c>
      <c r="I396" s="14" t="s">
        <v>355</v>
      </c>
      <c r="J396" s="12" t="s">
        <v>723</v>
      </c>
      <c r="K396" s="2">
        <v>0</v>
      </c>
      <c r="L396" s="12" t="s">
        <v>337</v>
      </c>
      <c r="M396">
        <f>YEAR(VentesMagasins!$C396)</f>
        <v>2023</v>
      </c>
      <c r="N396" t="e" cm="1" vm="1">
        <f t="array" aca="1" ref="N396" ca="1">MONTH(DateVente)</f>
        <v>#VALUE!</v>
      </c>
      <c r="O396" t="str">
        <f>PROPER(VentesMagasins!$F396)</f>
        <v>Meuble</v>
      </c>
      <c r="P396">
        <f>VALUE(CLEAN(TRIM(SUBSTITUTE(VentesMagasins!$I396,".",","))))</f>
        <v>0.1</v>
      </c>
      <c r="Q396">
        <f>VALUE(TRIM(SUBSTITUTE(VentesMagasins!$J396,".",",")))</f>
        <v>1652.4</v>
      </c>
      <c r="R396">
        <f t="shared" si="18"/>
        <v>1487.16</v>
      </c>
      <c r="S396">
        <f>IF(VentesMagasins!$K396=1,(-1)*R396,R396)</f>
        <v>1487.16</v>
      </c>
      <c r="T396">
        <f>IFERROR(VALUE(TRIM(SUBSTITUTE(VentesMagasins!$L396,".",","))),0)</f>
        <v>3</v>
      </c>
      <c r="U396">
        <f t="shared" si="19"/>
        <v>3</v>
      </c>
      <c r="V396" t="str">
        <f t="shared" si="20"/>
        <v>moyenne</v>
      </c>
      <c r="W396" t="str">
        <f>_xlfn.XLOOKUP(VentesMagasins!$B396,Clients!ClientID,Région)</f>
        <v>Sud</v>
      </c>
      <c r="X396" t="str">
        <f>INDEX(TypeClient,MATCH(VentesMagasins!$B396,Clients!ClientID))</f>
        <v>Occasionnel</v>
      </c>
      <c r="Y396" t="str">
        <v>janv</v>
      </c>
    </row>
    <row r="397" spans="1:25" x14ac:dyDescent="0.25">
      <c r="A397" s="2">
        <v>396</v>
      </c>
      <c r="B397" s="12" t="s">
        <v>296</v>
      </c>
      <c r="C397" s="13">
        <v>45499</v>
      </c>
      <c r="D397" s="12" t="s">
        <v>338</v>
      </c>
      <c r="E397" s="14" t="s">
        <v>339</v>
      </c>
      <c r="F397" s="12" t="s">
        <v>324</v>
      </c>
      <c r="G397" s="2">
        <v>3</v>
      </c>
      <c r="H397" s="3">
        <v>311</v>
      </c>
      <c r="I397" s="14" t="s">
        <v>335</v>
      </c>
      <c r="J397" s="12" t="s">
        <v>724</v>
      </c>
      <c r="K397" s="2">
        <v>1</v>
      </c>
      <c r="L397" s="12" t="s">
        <v>344</v>
      </c>
      <c r="M397">
        <f>YEAR(VentesMagasins!$C397)</f>
        <v>2024</v>
      </c>
      <c r="N397" t="e" cm="1" vm="1">
        <f t="array" aca="1" ref="N397" ca="1">MONTH(DateVente)</f>
        <v>#VALUE!</v>
      </c>
      <c r="O397" t="str">
        <f>PROPER(VentesMagasins!$F397)</f>
        <v>Électronique</v>
      </c>
      <c r="P397">
        <f>VALUE(CLEAN(TRIM(SUBSTITUTE(VentesMagasins!$I397,".",","))))</f>
        <v>0</v>
      </c>
      <c r="Q397">
        <f>VALUE(TRIM(SUBSTITUTE(VentesMagasins!$J397,".",",")))</f>
        <v>933</v>
      </c>
      <c r="R397">
        <f t="shared" si="18"/>
        <v>933</v>
      </c>
      <c r="S397">
        <f>IF(VentesMagasins!$K397=1,(-1)*R397,R397)</f>
        <v>-933</v>
      </c>
      <c r="T397">
        <f>IFERROR(VALUE(TRIM(SUBSTITUTE(VentesMagasins!$L397,".",","))),0)</f>
        <v>2</v>
      </c>
      <c r="U397">
        <f t="shared" si="19"/>
        <v>2</v>
      </c>
      <c r="V397" t="str">
        <f t="shared" si="20"/>
        <v>faible</v>
      </c>
      <c r="W397" t="str">
        <f>_xlfn.XLOOKUP(VentesMagasins!$B397,Clients!ClientID,Région)</f>
        <v>Ouest</v>
      </c>
      <c r="X397" t="str">
        <f>INDEX(TypeClient,MATCH(VentesMagasins!$B397,Clients!ClientID))</f>
        <v>Fidèle</v>
      </c>
      <c r="Y397" t="str">
        <v>juil</v>
      </c>
    </row>
    <row r="398" spans="1:25" x14ac:dyDescent="0.25">
      <c r="A398" s="2">
        <v>397</v>
      </c>
      <c r="B398" s="12" t="s">
        <v>244</v>
      </c>
      <c r="C398" s="13">
        <v>45868</v>
      </c>
      <c r="D398" s="12" t="s">
        <v>338</v>
      </c>
      <c r="E398" s="14" t="s">
        <v>334</v>
      </c>
      <c r="F398" s="12" t="s">
        <v>330</v>
      </c>
      <c r="G398" s="2">
        <v>1</v>
      </c>
      <c r="H398" s="3">
        <v>412</v>
      </c>
      <c r="I398" s="14" t="s">
        <v>342</v>
      </c>
      <c r="J398" s="12" t="s">
        <v>725</v>
      </c>
      <c r="K398" s="2">
        <v>1</v>
      </c>
      <c r="L398" s="12" t="s">
        <v>327</v>
      </c>
      <c r="M398">
        <f>YEAR(VentesMagasins!$C398)</f>
        <v>2025</v>
      </c>
      <c r="N398" t="e" cm="1" vm="1">
        <f t="array" aca="1" ref="N398" ca="1">MONTH(DateVente)</f>
        <v>#VALUE!</v>
      </c>
      <c r="O398" t="str">
        <f>PROPER(VentesMagasins!$F398)</f>
        <v>Décoration</v>
      </c>
      <c r="P398">
        <f>VALUE(CLEAN(TRIM(SUBSTITUTE(VentesMagasins!$I398,".",","))))</f>
        <v>0.05</v>
      </c>
      <c r="Q398">
        <f>VALUE(TRIM(SUBSTITUTE(VentesMagasins!$J398,".",",")))</f>
        <v>391.4</v>
      </c>
      <c r="R398">
        <f t="shared" si="18"/>
        <v>371.83</v>
      </c>
      <c r="S398">
        <f>IF(VentesMagasins!$K398=1,(-1)*R398,R398)</f>
        <v>-371.83</v>
      </c>
      <c r="T398">
        <f>IFERROR(VALUE(TRIM(SUBSTITUTE(VentesMagasins!$L398,".",","))),0)</f>
        <v>5</v>
      </c>
      <c r="U398">
        <f t="shared" si="19"/>
        <v>5</v>
      </c>
      <c r="V398" t="str">
        <f t="shared" si="20"/>
        <v>élévé</v>
      </c>
      <c r="W398" t="str">
        <f>_xlfn.XLOOKUP(VentesMagasins!$B398,Clients!ClientID,Région)</f>
        <v>Sud</v>
      </c>
      <c r="X398" t="str">
        <f>INDEX(TypeClient,MATCH(VentesMagasins!$B398,Clients!ClientID))</f>
        <v>Occasionnel</v>
      </c>
      <c r="Y398" t="str">
        <v>juil</v>
      </c>
    </row>
    <row r="399" spans="1:25" x14ac:dyDescent="0.25">
      <c r="A399" s="2">
        <v>398</v>
      </c>
      <c r="B399" s="12" t="s">
        <v>154</v>
      </c>
      <c r="C399" s="13">
        <v>45504</v>
      </c>
      <c r="D399" s="12" t="s">
        <v>328</v>
      </c>
      <c r="E399" s="14" t="s">
        <v>329</v>
      </c>
      <c r="F399" s="12" t="s">
        <v>324</v>
      </c>
      <c r="G399" s="2">
        <v>3</v>
      </c>
      <c r="H399" s="3">
        <v>388</v>
      </c>
      <c r="I399" s="14" t="s">
        <v>335</v>
      </c>
      <c r="J399" s="12" t="s">
        <v>726</v>
      </c>
      <c r="K399" s="2">
        <v>0</v>
      </c>
      <c r="L399" s="12" t="s">
        <v>327</v>
      </c>
      <c r="M399">
        <f>YEAR(VentesMagasins!$C399)</f>
        <v>2024</v>
      </c>
      <c r="N399" t="e" cm="1" vm="1">
        <f t="array" aca="1" ref="N399" ca="1">MONTH(DateVente)</f>
        <v>#VALUE!</v>
      </c>
      <c r="O399" t="str">
        <f>PROPER(VentesMagasins!$F399)</f>
        <v>Électronique</v>
      </c>
      <c r="P399">
        <f>VALUE(CLEAN(TRIM(SUBSTITUTE(VentesMagasins!$I399,".",","))))</f>
        <v>0</v>
      </c>
      <c r="Q399">
        <f>VALUE(TRIM(SUBSTITUTE(VentesMagasins!$J399,".",",")))</f>
        <v>1164</v>
      </c>
      <c r="R399">
        <f t="shared" si="18"/>
        <v>1164</v>
      </c>
      <c r="S399">
        <f>IF(VentesMagasins!$K399=1,(-1)*R399,R399)</f>
        <v>1164</v>
      </c>
      <c r="T399">
        <f>IFERROR(VALUE(TRIM(SUBSTITUTE(VentesMagasins!$L399,".",","))),0)</f>
        <v>5</v>
      </c>
      <c r="U399">
        <f t="shared" si="19"/>
        <v>5</v>
      </c>
      <c r="V399" t="str">
        <f t="shared" si="20"/>
        <v>élévé</v>
      </c>
      <c r="W399" t="str">
        <f>_xlfn.XLOOKUP(VentesMagasins!$B399,Clients!ClientID,Région)</f>
        <v>Centre</v>
      </c>
      <c r="X399" t="str">
        <f>INDEX(TypeClient,MATCH(VentesMagasins!$B399,Clients!ClientID))</f>
        <v>Fidèle</v>
      </c>
      <c r="Y399" t="str">
        <v>juil</v>
      </c>
    </row>
    <row r="400" spans="1:25" x14ac:dyDescent="0.25">
      <c r="A400" s="2">
        <v>399</v>
      </c>
      <c r="B400" s="12" t="s">
        <v>137</v>
      </c>
      <c r="C400" s="13">
        <v>45762</v>
      </c>
      <c r="D400" s="12" t="s">
        <v>322</v>
      </c>
      <c r="E400" s="14" t="s">
        <v>329</v>
      </c>
      <c r="F400" s="12" t="s">
        <v>341</v>
      </c>
      <c r="G400" s="2">
        <v>1</v>
      </c>
      <c r="H400" s="3">
        <v>250</v>
      </c>
      <c r="I400" s="14" t="s">
        <v>325</v>
      </c>
      <c r="J400" s="12" t="s">
        <v>727</v>
      </c>
      <c r="K400" s="2">
        <v>1</v>
      </c>
      <c r="L400" s="12" t="s">
        <v>327</v>
      </c>
      <c r="M400">
        <f>YEAR(VentesMagasins!$C400)</f>
        <v>2025</v>
      </c>
      <c r="N400" t="e" cm="1" vm="1">
        <f t="array" aca="1" ref="N400" ca="1">MONTH(DateVente)</f>
        <v>#VALUE!</v>
      </c>
      <c r="O400" t="str">
        <f>PROPER(VentesMagasins!$F400)</f>
        <v>Meuble</v>
      </c>
      <c r="P400">
        <f>VALUE(CLEAN(TRIM(SUBSTITUTE(VentesMagasins!$I400,".",","))))</f>
        <v>0.15</v>
      </c>
      <c r="Q400">
        <f>VALUE(TRIM(SUBSTITUTE(VentesMagasins!$J400,".",",")))</f>
        <v>212.5</v>
      </c>
      <c r="R400">
        <f t="shared" si="18"/>
        <v>180.625</v>
      </c>
      <c r="S400">
        <f>IF(VentesMagasins!$K400=1,(-1)*R400,R400)</f>
        <v>-180.625</v>
      </c>
      <c r="T400">
        <f>IFERROR(VALUE(TRIM(SUBSTITUTE(VentesMagasins!$L400,".",","))),0)</f>
        <v>5</v>
      </c>
      <c r="U400">
        <f t="shared" si="19"/>
        <v>5</v>
      </c>
      <c r="V400" t="str">
        <f t="shared" si="20"/>
        <v>élévé</v>
      </c>
      <c r="W400" t="str">
        <f>_xlfn.XLOOKUP(VentesMagasins!$B400,Clients!ClientID,Région)</f>
        <v>Sud</v>
      </c>
      <c r="X400" t="str">
        <f>INDEX(TypeClient,MATCH(VentesMagasins!$B400,Clients!ClientID))</f>
        <v>Nouveau</v>
      </c>
      <c r="Y400" t="str">
        <v>avr</v>
      </c>
    </row>
    <row r="401" spans="1:25" x14ac:dyDescent="0.25">
      <c r="A401" s="2">
        <v>400</v>
      </c>
      <c r="B401" s="12" t="s">
        <v>105</v>
      </c>
      <c r="C401" s="13">
        <v>44940</v>
      </c>
      <c r="D401" s="12" t="s">
        <v>328</v>
      </c>
      <c r="E401" s="14" t="s">
        <v>364</v>
      </c>
      <c r="F401" s="12" t="s">
        <v>330</v>
      </c>
      <c r="G401" s="2">
        <v>1</v>
      </c>
      <c r="H401" s="3">
        <v>231</v>
      </c>
      <c r="I401" s="14" t="s">
        <v>325</v>
      </c>
      <c r="J401" s="12" t="s">
        <v>728</v>
      </c>
      <c r="K401" s="2">
        <v>0</v>
      </c>
      <c r="L401" s="12" t="s">
        <v>332</v>
      </c>
      <c r="M401">
        <f>YEAR(VentesMagasins!$C401)</f>
        <v>2023</v>
      </c>
      <c r="N401" t="e" cm="1" vm="1">
        <f t="array" aca="1" ref="N401" ca="1">MONTH(DateVente)</f>
        <v>#VALUE!</v>
      </c>
      <c r="O401" t="str">
        <f>PROPER(VentesMagasins!$F401)</f>
        <v>Décoration</v>
      </c>
      <c r="P401">
        <f>VALUE(CLEAN(TRIM(SUBSTITUTE(VentesMagasins!$I401,".",","))))</f>
        <v>0.15</v>
      </c>
      <c r="Q401">
        <f>VALUE(TRIM(SUBSTITUTE(VentesMagasins!$J401,".",",")))</f>
        <v>196.35</v>
      </c>
      <c r="R401">
        <f t="shared" si="18"/>
        <v>166.89749999999998</v>
      </c>
      <c r="S401">
        <f>IF(VentesMagasins!$K401=1,(-1)*R401,R401)</f>
        <v>166.89749999999998</v>
      </c>
      <c r="T401">
        <f>IFERROR(VALUE(TRIM(SUBSTITUTE(VentesMagasins!$L401,".",","))),0)</f>
        <v>4</v>
      </c>
      <c r="U401">
        <f t="shared" si="19"/>
        <v>4</v>
      </c>
      <c r="V401" t="str">
        <f t="shared" si="20"/>
        <v>moyenne</v>
      </c>
      <c r="W401" t="str">
        <f>_xlfn.XLOOKUP(VentesMagasins!$B401,Clients!ClientID,Région)</f>
        <v>Centre</v>
      </c>
      <c r="X401" t="str">
        <f>INDEX(TypeClient,MATCH(VentesMagasins!$B401,Clients!ClientID))</f>
        <v>Nouveau</v>
      </c>
      <c r="Y401" t="str">
        <v>janv</v>
      </c>
    </row>
    <row r="402" spans="1:25" x14ac:dyDescent="0.25">
      <c r="A402" s="2">
        <v>401</v>
      </c>
      <c r="B402" s="12" t="s">
        <v>152</v>
      </c>
      <c r="C402" s="13">
        <v>44929</v>
      </c>
      <c r="D402" s="12" t="s">
        <v>322</v>
      </c>
      <c r="E402" s="14" t="s">
        <v>348</v>
      </c>
      <c r="F402" s="12" t="s">
        <v>324</v>
      </c>
      <c r="G402" s="2">
        <v>2</v>
      </c>
      <c r="H402" s="3">
        <v>391</v>
      </c>
      <c r="I402" s="14" t="s">
        <v>355</v>
      </c>
      <c r="J402" s="12" t="s">
        <v>729</v>
      </c>
      <c r="K402" s="2">
        <v>0</v>
      </c>
      <c r="L402" s="12" t="s">
        <v>327</v>
      </c>
      <c r="M402">
        <f>YEAR(VentesMagasins!$C402)</f>
        <v>2023</v>
      </c>
      <c r="N402" t="e" cm="1" vm="1">
        <f t="array" aca="1" ref="N402" ca="1">MONTH(DateVente)</f>
        <v>#VALUE!</v>
      </c>
      <c r="O402" t="str">
        <f>PROPER(VentesMagasins!$F402)</f>
        <v>Électronique</v>
      </c>
      <c r="P402">
        <f>VALUE(CLEAN(TRIM(SUBSTITUTE(VentesMagasins!$I402,".",","))))</f>
        <v>0.1</v>
      </c>
      <c r="Q402">
        <f>VALUE(TRIM(SUBSTITUTE(VentesMagasins!$J402,".",",")))</f>
        <v>703.8</v>
      </c>
      <c r="R402">
        <f t="shared" si="18"/>
        <v>633.41999999999996</v>
      </c>
      <c r="S402">
        <f>IF(VentesMagasins!$K402=1,(-1)*R402,R402)</f>
        <v>633.41999999999996</v>
      </c>
      <c r="T402">
        <f>IFERROR(VALUE(TRIM(SUBSTITUTE(VentesMagasins!$L402,".",","))),0)</f>
        <v>5</v>
      </c>
      <c r="U402">
        <f t="shared" si="19"/>
        <v>5</v>
      </c>
      <c r="V402" t="str">
        <f t="shared" si="20"/>
        <v>élévé</v>
      </c>
      <c r="W402" t="str">
        <f>_xlfn.XLOOKUP(VentesMagasins!$B402,Clients!ClientID,Région)</f>
        <v>Est</v>
      </c>
      <c r="X402" t="str">
        <f>INDEX(TypeClient,MATCH(VentesMagasins!$B402,Clients!ClientID))</f>
        <v>Fidèle</v>
      </c>
      <c r="Y402" t="str">
        <v>janv</v>
      </c>
    </row>
    <row r="403" spans="1:25" x14ac:dyDescent="0.25">
      <c r="A403" s="2">
        <v>402</v>
      </c>
      <c r="B403" s="12" t="s">
        <v>249</v>
      </c>
      <c r="C403" s="13">
        <v>45391</v>
      </c>
      <c r="D403" s="12" t="s">
        <v>328</v>
      </c>
      <c r="E403" s="14" t="s">
        <v>362</v>
      </c>
      <c r="F403" s="12" t="s">
        <v>358</v>
      </c>
      <c r="G403" s="2">
        <v>5</v>
      </c>
      <c r="H403" s="3">
        <v>463</v>
      </c>
      <c r="I403" s="14" t="s">
        <v>335</v>
      </c>
      <c r="J403" s="12" t="s">
        <v>730</v>
      </c>
      <c r="K403" s="2">
        <v>1</v>
      </c>
      <c r="L403" s="12" t="s">
        <v>327</v>
      </c>
      <c r="M403">
        <f>YEAR(VentesMagasins!$C403)</f>
        <v>2024</v>
      </c>
      <c r="N403" t="e" cm="1" vm="1">
        <f t="array" aca="1" ref="N403" ca="1">MONTH(DateVente)</f>
        <v>#VALUE!</v>
      </c>
      <c r="O403" t="str">
        <f>PROPER(VentesMagasins!$F403)</f>
        <v>Électronique</v>
      </c>
      <c r="P403">
        <f>VALUE(CLEAN(TRIM(SUBSTITUTE(VentesMagasins!$I403,".",","))))</f>
        <v>0</v>
      </c>
      <c r="Q403">
        <f>VALUE(TRIM(SUBSTITUTE(VentesMagasins!$J403,".",",")))</f>
        <v>2315</v>
      </c>
      <c r="R403">
        <f t="shared" si="18"/>
        <v>2315</v>
      </c>
      <c r="S403">
        <f>IF(VentesMagasins!$K403=1,(-1)*R403,R403)</f>
        <v>-2315</v>
      </c>
      <c r="T403">
        <f>IFERROR(VALUE(TRIM(SUBSTITUTE(VentesMagasins!$L403,".",","))),0)</f>
        <v>5</v>
      </c>
      <c r="U403">
        <f t="shared" si="19"/>
        <v>5</v>
      </c>
      <c r="V403" t="str">
        <f t="shared" si="20"/>
        <v>élévé</v>
      </c>
      <c r="W403" t="str">
        <f>_xlfn.XLOOKUP(VentesMagasins!$B403,Clients!ClientID,Région)</f>
        <v>Ouest</v>
      </c>
      <c r="X403" t="str">
        <f>INDEX(TypeClient,MATCH(VentesMagasins!$B403,Clients!ClientID))</f>
        <v>Fidèle</v>
      </c>
      <c r="Y403" t="str">
        <v>avr</v>
      </c>
    </row>
    <row r="404" spans="1:25" x14ac:dyDescent="0.25">
      <c r="A404" s="2">
        <v>403</v>
      </c>
      <c r="B404" s="12" t="s">
        <v>92</v>
      </c>
      <c r="C404" s="13">
        <v>45369</v>
      </c>
      <c r="D404" s="12" t="s">
        <v>328</v>
      </c>
      <c r="E404" s="14" t="s">
        <v>364</v>
      </c>
      <c r="F404" s="12" t="s">
        <v>324</v>
      </c>
      <c r="G404" s="2">
        <v>1</v>
      </c>
      <c r="H404" s="3">
        <v>446</v>
      </c>
      <c r="I404" s="14" t="s">
        <v>355</v>
      </c>
      <c r="J404" s="12" t="s">
        <v>731</v>
      </c>
      <c r="K404" s="2">
        <v>0</v>
      </c>
      <c r="L404" s="12" t="s">
        <v>327</v>
      </c>
      <c r="M404">
        <f>YEAR(VentesMagasins!$C404)</f>
        <v>2024</v>
      </c>
      <c r="N404" t="e" cm="1" vm="1">
        <f t="array" aca="1" ref="N404" ca="1">MONTH(DateVente)</f>
        <v>#VALUE!</v>
      </c>
      <c r="O404" t="str">
        <f>PROPER(VentesMagasins!$F404)</f>
        <v>Électronique</v>
      </c>
      <c r="P404">
        <f>VALUE(CLEAN(TRIM(SUBSTITUTE(VentesMagasins!$I404,".",","))))</f>
        <v>0.1</v>
      </c>
      <c r="Q404">
        <f>VALUE(TRIM(SUBSTITUTE(VentesMagasins!$J404,".",",")))</f>
        <v>401.4</v>
      </c>
      <c r="R404">
        <f t="shared" si="18"/>
        <v>361.26</v>
      </c>
      <c r="S404">
        <f>IF(VentesMagasins!$K404=1,(-1)*R404,R404)</f>
        <v>361.26</v>
      </c>
      <c r="T404">
        <f>IFERROR(VALUE(TRIM(SUBSTITUTE(VentesMagasins!$L404,".",","))),0)</f>
        <v>5</v>
      </c>
      <c r="U404">
        <f t="shared" si="19"/>
        <v>5</v>
      </c>
      <c r="V404" t="str">
        <f t="shared" si="20"/>
        <v>élévé</v>
      </c>
      <c r="W404" t="str">
        <f>_xlfn.XLOOKUP(VentesMagasins!$B404,Clients!ClientID,Région)</f>
        <v>Centre</v>
      </c>
      <c r="X404" t="str">
        <f>INDEX(TypeClient,MATCH(VentesMagasins!$B404,Clients!ClientID))</f>
        <v>Fidèle</v>
      </c>
      <c r="Y404" t="str">
        <v>mars</v>
      </c>
    </row>
    <row r="405" spans="1:25" x14ac:dyDescent="0.25">
      <c r="A405" s="2">
        <v>404</v>
      </c>
      <c r="B405" s="12" t="s">
        <v>90</v>
      </c>
      <c r="C405" s="13">
        <v>44981</v>
      </c>
      <c r="D405" s="12" t="s">
        <v>328</v>
      </c>
      <c r="E405" s="14" t="s">
        <v>345</v>
      </c>
      <c r="F405" s="12" t="s">
        <v>324</v>
      </c>
      <c r="G405" s="2">
        <v>1</v>
      </c>
      <c r="H405" s="3">
        <v>28</v>
      </c>
      <c r="I405" s="14" t="s">
        <v>342</v>
      </c>
      <c r="J405" s="12" t="s">
        <v>496</v>
      </c>
      <c r="K405" s="2">
        <v>0</v>
      </c>
      <c r="L405" s="12" t="s">
        <v>327</v>
      </c>
      <c r="M405">
        <f>YEAR(VentesMagasins!$C405)</f>
        <v>2023</v>
      </c>
      <c r="N405" t="e" cm="1" vm="1">
        <f t="array" aca="1" ref="N405" ca="1">MONTH(DateVente)</f>
        <v>#VALUE!</v>
      </c>
      <c r="O405" t="str">
        <f>PROPER(VentesMagasins!$F405)</f>
        <v>Électronique</v>
      </c>
      <c r="P405">
        <f>VALUE(CLEAN(TRIM(SUBSTITUTE(VentesMagasins!$I405,".",","))))</f>
        <v>0.05</v>
      </c>
      <c r="Q405">
        <f>VALUE(TRIM(SUBSTITUTE(VentesMagasins!$J405,".",",")))</f>
        <v>26.599999999999898</v>
      </c>
      <c r="R405">
        <f t="shared" si="18"/>
        <v>25.269999999999904</v>
      </c>
      <c r="S405">
        <f>IF(VentesMagasins!$K405=1,(-1)*R405,R405)</f>
        <v>25.269999999999904</v>
      </c>
      <c r="T405">
        <f>IFERROR(VALUE(TRIM(SUBSTITUTE(VentesMagasins!$L405,".",","))),0)</f>
        <v>5</v>
      </c>
      <c r="U405">
        <f t="shared" si="19"/>
        <v>5</v>
      </c>
      <c r="V405" t="str">
        <f t="shared" si="20"/>
        <v>élévé</v>
      </c>
      <c r="W405" t="str">
        <f>_xlfn.XLOOKUP(VentesMagasins!$B405,Clients!ClientID,Région)</f>
        <v>Est</v>
      </c>
      <c r="X405" t="str">
        <f>INDEX(TypeClient,MATCH(VentesMagasins!$B405,Clients!ClientID))</f>
        <v>Fidèle</v>
      </c>
      <c r="Y405" t="str">
        <v>févr</v>
      </c>
    </row>
    <row r="406" spans="1:25" x14ac:dyDescent="0.25">
      <c r="A406" s="2">
        <v>405</v>
      </c>
      <c r="B406" s="12" t="s">
        <v>217</v>
      </c>
      <c r="C406" s="13">
        <v>45534</v>
      </c>
      <c r="D406" s="12" t="s">
        <v>333</v>
      </c>
      <c r="E406" s="14" t="s">
        <v>334</v>
      </c>
      <c r="F406" s="12" t="s">
        <v>324</v>
      </c>
      <c r="G406" s="2">
        <v>1</v>
      </c>
      <c r="H406" s="3">
        <v>496</v>
      </c>
      <c r="I406" s="14" t="s">
        <v>335</v>
      </c>
      <c r="J406" s="12" t="s">
        <v>732</v>
      </c>
      <c r="K406" s="2">
        <v>0</v>
      </c>
      <c r="L406" s="12" t="s">
        <v>369</v>
      </c>
      <c r="M406">
        <f>YEAR(VentesMagasins!$C406)</f>
        <v>2024</v>
      </c>
      <c r="N406" t="e" cm="1" vm="1">
        <f t="array" aca="1" ref="N406" ca="1">MONTH(DateVente)</f>
        <v>#VALUE!</v>
      </c>
      <c r="O406" t="str">
        <f>PROPER(VentesMagasins!$F406)</f>
        <v>Électronique</v>
      </c>
      <c r="P406">
        <f>VALUE(CLEAN(TRIM(SUBSTITUTE(VentesMagasins!$I406,".",","))))</f>
        <v>0</v>
      </c>
      <c r="Q406">
        <f>VALUE(TRIM(SUBSTITUTE(VentesMagasins!$J406,".",",")))</f>
        <v>496</v>
      </c>
      <c r="R406">
        <f t="shared" si="18"/>
        <v>496</v>
      </c>
      <c r="S406">
        <f>IF(VentesMagasins!$K406=1,(-1)*R406,R406)</f>
        <v>496</v>
      </c>
      <c r="T406">
        <f>IFERROR(VALUE(TRIM(SUBSTITUTE(VentesMagasins!$L406,".",","))),0)</f>
        <v>1</v>
      </c>
      <c r="U406">
        <f t="shared" si="19"/>
        <v>1</v>
      </c>
      <c r="V406" t="str">
        <f t="shared" si="20"/>
        <v>faible</v>
      </c>
      <c r="W406" t="str">
        <f>_xlfn.XLOOKUP(VentesMagasins!$B406,Clients!ClientID,Région)</f>
        <v>Centre</v>
      </c>
      <c r="X406" t="str">
        <f>INDEX(TypeClient,MATCH(VentesMagasins!$B406,Clients!ClientID))</f>
        <v>Nouveau</v>
      </c>
      <c r="Y406" t="str">
        <v>août</v>
      </c>
    </row>
    <row r="407" spans="1:25" x14ac:dyDescent="0.25">
      <c r="A407" s="2">
        <v>406</v>
      </c>
      <c r="B407" s="12" t="s">
        <v>302</v>
      </c>
      <c r="C407" s="13">
        <v>45659</v>
      </c>
      <c r="D407" s="12" t="s">
        <v>350</v>
      </c>
      <c r="E407" s="14" t="s">
        <v>362</v>
      </c>
      <c r="F407" s="12" t="s">
        <v>330</v>
      </c>
      <c r="G407" s="2">
        <v>2</v>
      </c>
      <c r="H407" s="3">
        <v>479</v>
      </c>
      <c r="I407" s="14" t="s">
        <v>335</v>
      </c>
      <c r="J407" s="12" t="s">
        <v>733</v>
      </c>
      <c r="K407" s="2">
        <v>0</v>
      </c>
      <c r="L407" s="12" t="s">
        <v>327</v>
      </c>
      <c r="M407">
        <f>YEAR(VentesMagasins!$C407)</f>
        <v>2025</v>
      </c>
      <c r="N407" t="e" cm="1" vm="1">
        <f t="array" aca="1" ref="N407" ca="1">MONTH(DateVente)</f>
        <v>#VALUE!</v>
      </c>
      <c r="O407" t="str">
        <f>PROPER(VentesMagasins!$F407)</f>
        <v>Décoration</v>
      </c>
      <c r="P407">
        <f>VALUE(CLEAN(TRIM(SUBSTITUTE(VentesMagasins!$I407,".",","))))</f>
        <v>0</v>
      </c>
      <c r="Q407">
        <f>VALUE(TRIM(SUBSTITUTE(VentesMagasins!$J407,".",",")))</f>
        <v>958</v>
      </c>
      <c r="R407">
        <f t="shared" si="18"/>
        <v>958</v>
      </c>
      <c r="S407">
        <f>IF(VentesMagasins!$K407=1,(-1)*R407,R407)</f>
        <v>958</v>
      </c>
      <c r="T407">
        <f>IFERROR(VALUE(TRIM(SUBSTITUTE(VentesMagasins!$L407,".",","))),0)</f>
        <v>5</v>
      </c>
      <c r="U407">
        <f t="shared" si="19"/>
        <v>5</v>
      </c>
      <c r="V407" t="str">
        <f t="shared" si="20"/>
        <v>élévé</v>
      </c>
      <c r="W407" t="str">
        <f>_xlfn.XLOOKUP(VentesMagasins!$B407,Clients!ClientID,Région)</f>
        <v>Est</v>
      </c>
      <c r="X407" t="str">
        <f>INDEX(TypeClient,MATCH(VentesMagasins!$B407,Clients!ClientID))</f>
        <v>Fidèle</v>
      </c>
      <c r="Y407" t="str">
        <v>janv</v>
      </c>
    </row>
    <row r="408" spans="1:25" x14ac:dyDescent="0.25">
      <c r="A408" s="2">
        <v>407</v>
      </c>
      <c r="B408" s="12" t="s">
        <v>94</v>
      </c>
      <c r="C408" s="13">
        <v>45219</v>
      </c>
      <c r="D408" s="12" t="s">
        <v>338</v>
      </c>
      <c r="E408" s="14" t="s">
        <v>334</v>
      </c>
      <c r="F408" s="12" t="s">
        <v>341</v>
      </c>
      <c r="G408" s="2">
        <v>1</v>
      </c>
      <c r="H408" s="3">
        <v>421</v>
      </c>
      <c r="I408" s="14" t="s">
        <v>342</v>
      </c>
      <c r="J408" s="12" t="s">
        <v>734</v>
      </c>
      <c r="K408" s="2">
        <v>1</v>
      </c>
      <c r="L408" s="12" t="s">
        <v>344</v>
      </c>
      <c r="M408">
        <f>YEAR(VentesMagasins!$C408)</f>
        <v>2023</v>
      </c>
      <c r="N408" t="e" cm="1" vm="1">
        <f t="array" aca="1" ref="N408" ca="1">MONTH(DateVente)</f>
        <v>#VALUE!</v>
      </c>
      <c r="O408" t="str">
        <f>PROPER(VentesMagasins!$F408)</f>
        <v>Meuble</v>
      </c>
      <c r="P408">
        <f>VALUE(CLEAN(TRIM(SUBSTITUTE(VentesMagasins!$I408,".",","))))</f>
        <v>0.05</v>
      </c>
      <c r="Q408">
        <f>VALUE(TRIM(SUBSTITUTE(VentesMagasins!$J408,".",",")))</f>
        <v>399.95</v>
      </c>
      <c r="R408">
        <f t="shared" si="18"/>
        <v>379.95249999999999</v>
      </c>
      <c r="S408">
        <f>IF(VentesMagasins!$K408=1,(-1)*R408,R408)</f>
        <v>-379.95249999999999</v>
      </c>
      <c r="T408">
        <f>IFERROR(VALUE(TRIM(SUBSTITUTE(VentesMagasins!$L408,".",","))),0)</f>
        <v>2</v>
      </c>
      <c r="U408">
        <f t="shared" si="19"/>
        <v>2</v>
      </c>
      <c r="V408" t="str">
        <f t="shared" si="20"/>
        <v>faible</v>
      </c>
      <c r="W408" t="str">
        <f>_xlfn.XLOOKUP(VentesMagasins!$B408,Clients!ClientID,Région)</f>
        <v>Centre</v>
      </c>
      <c r="X408" t="str">
        <f>INDEX(TypeClient,MATCH(VentesMagasins!$B408,Clients!ClientID))</f>
        <v>Fidèle</v>
      </c>
      <c r="Y408" t="str">
        <v>oct</v>
      </c>
    </row>
    <row r="409" spans="1:25" x14ac:dyDescent="0.25">
      <c r="A409" s="2">
        <v>408</v>
      </c>
      <c r="B409" s="12" t="s">
        <v>31</v>
      </c>
      <c r="C409" s="13">
        <v>44938</v>
      </c>
      <c r="D409" s="12" t="s">
        <v>333</v>
      </c>
      <c r="E409" s="14" t="s">
        <v>364</v>
      </c>
      <c r="F409" s="12" t="s">
        <v>341</v>
      </c>
      <c r="G409" s="2">
        <v>5</v>
      </c>
      <c r="H409" s="3">
        <v>102</v>
      </c>
      <c r="I409" s="14" t="s">
        <v>335</v>
      </c>
      <c r="J409" s="12" t="s">
        <v>373</v>
      </c>
      <c r="K409" s="2">
        <v>0</v>
      </c>
      <c r="L409" s="12" t="s">
        <v>332</v>
      </c>
      <c r="M409">
        <f>YEAR(VentesMagasins!$C409)</f>
        <v>2023</v>
      </c>
      <c r="N409" t="e" cm="1" vm="1">
        <f t="array" aca="1" ref="N409" ca="1">MONTH(DateVente)</f>
        <v>#VALUE!</v>
      </c>
      <c r="O409" t="str">
        <f>PROPER(VentesMagasins!$F409)</f>
        <v>Meuble</v>
      </c>
      <c r="P409">
        <f>VALUE(CLEAN(TRIM(SUBSTITUTE(VentesMagasins!$I409,".",","))))</f>
        <v>0</v>
      </c>
      <c r="Q409">
        <f>VALUE(TRIM(SUBSTITUTE(VentesMagasins!$J409,".",",")))</f>
        <v>510</v>
      </c>
      <c r="R409">
        <f t="shared" si="18"/>
        <v>510</v>
      </c>
      <c r="S409">
        <f>IF(VentesMagasins!$K409=1,(-1)*R409,R409)</f>
        <v>510</v>
      </c>
      <c r="T409">
        <f>IFERROR(VALUE(TRIM(SUBSTITUTE(VentesMagasins!$L409,".",","))),0)</f>
        <v>4</v>
      </c>
      <c r="U409">
        <f t="shared" si="19"/>
        <v>4</v>
      </c>
      <c r="V409" t="str">
        <f t="shared" si="20"/>
        <v>moyenne</v>
      </c>
      <c r="W409" t="str">
        <f>_xlfn.XLOOKUP(VentesMagasins!$B409,Clients!ClientID,Région)</f>
        <v>Sud</v>
      </c>
      <c r="X409" t="str">
        <f>INDEX(TypeClient,MATCH(VentesMagasins!$B409,Clients!ClientID))</f>
        <v>Occasionnel</v>
      </c>
      <c r="Y409" t="str">
        <v>janv</v>
      </c>
    </row>
    <row r="410" spans="1:25" x14ac:dyDescent="0.25">
      <c r="A410" s="2">
        <v>409</v>
      </c>
      <c r="B410" s="12" t="s">
        <v>96</v>
      </c>
      <c r="C410" s="13">
        <v>44938</v>
      </c>
      <c r="D410" s="12" t="s">
        <v>328</v>
      </c>
      <c r="E410" s="14" t="s">
        <v>329</v>
      </c>
      <c r="F410" s="12" t="s">
        <v>341</v>
      </c>
      <c r="G410" s="2">
        <v>3</v>
      </c>
      <c r="H410" s="3">
        <v>138</v>
      </c>
      <c r="I410" s="14" t="s">
        <v>355</v>
      </c>
      <c r="J410" s="12" t="s">
        <v>735</v>
      </c>
      <c r="K410" s="2">
        <v>0</v>
      </c>
      <c r="L410" s="12" t="s">
        <v>344</v>
      </c>
      <c r="M410">
        <f>YEAR(VentesMagasins!$C410)</f>
        <v>2023</v>
      </c>
      <c r="N410" t="e" cm="1" vm="1">
        <f t="array" aca="1" ref="N410" ca="1">MONTH(DateVente)</f>
        <v>#VALUE!</v>
      </c>
      <c r="O410" t="str">
        <f>PROPER(VentesMagasins!$F410)</f>
        <v>Meuble</v>
      </c>
      <c r="P410">
        <f>VALUE(CLEAN(TRIM(SUBSTITUTE(VentesMagasins!$I410,".",","))))</f>
        <v>0.1</v>
      </c>
      <c r="Q410">
        <f>VALUE(TRIM(SUBSTITUTE(VentesMagasins!$J410,".",",")))</f>
        <v>372.6</v>
      </c>
      <c r="R410">
        <f t="shared" si="18"/>
        <v>335.34000000000003</v>
      </c>
      <c r="S410">
        <f>IF(VentesMagasins!$K410=1,(-1)*R410,R410)</f>
        <v>335.34000000000003</v>
      </c>
      <c r="T410">
        <f>IFERROR(VALUE(TRIM(SUBSTITUTE(VentesMagasins!$L410,".",","))),0)</f>
        <v>2</v>
      </c>
      <c r="U410">
        <f t="shared" si="19"/>
        <v>2</v>
      </c>
      <c r="V410" t="str">
        <f t="shared" si="20"/>
        <v>faible</v>
      </c>
      <c r="W410" t="str">
        <f>_xlfn.XLOOKUP(VentesMagasins!$B410,Clients!ClientID,Région)</f>
        <v>Nord</v>
      </c>
      <c r="X410" t="str">
        <f>INDEX(TypeClient,MATCH(VentesMagasins!$B410,Clients!ClientID))</f>
        <v>Nouveau</v>
      </c>
      <c r="Y410" t="str">
        <v>janv</v>
      </c>
    </row>
    <row r="411" spans="1:25" x14ac:dyDescent="0.25">
      <c r="A411" s="2">
        <v>410</v>
      </c>
      <c r="B411" s="12" t="s">
        <v>187</v>
      </c>
      <c r="C411" s="13">
        <v>44994</v>
      </c>
      <c r="D411" s="12" t="s">
        <v>328</v>
      </c>
      <c r="E411" s="14" t="s">
        <v>339</v>
      </c>
      <c r="F411" s="12" t="s">
        <v>341</v>
      </c>
      <c r="G411" s="2">
        <v>2</v>
      </c>
      <c r="H411" s="3">
        <v>340</v>
      </c>
      <c r="I411" s="14" t="s">
        <v>355</v>
      </c>
      <c r="J411" s="12" t="s">
        <v>538</v>
      </c>
      <c r="K411" s="2">
        <v>0</v>
      </c>
      <c r="L411" s="12" t="s">
        <v>352</v>
      </c>
      <c r="M411">
        <f>YEAR(VentesMagasins!$C411)</f>
        <v>2023</v>
      </c>
      <c r="N411" t="e" cm="1" vm="1">
        <f t="array" aca="1" ref="N411" ca="1">MONTH(DateVente)</f>
        <v>#VALUE!</v>
      </c>
      <c r="O411" t="str">
        <f>PROPER(VentesMagasins!$F411)</f>
        <v>Meuble</v>
      </c>
      <c r="P411">
        <f>VALUE(CLEAN(TRIM(SUBSTITUTE(VentesMagasins!$I411,".",","))))</f>
        <v>0.1</v>
      </c>
      <c r="Q411">
        <f>VALUE(TRIM(SUBSTITUTE(VentesMagasins!$J411,".",",")))</f>
        <v>612</v>
      </c>
      <c r="R411">
        <f t="shared" si="18"/>
        <v>550.80000000000007</v>
      </c>
      <c r="S411">
        <f>IF(VentesMagasins!$K411=1,(-1)*R411,R411)</f>
        <v>550.80000000000007</v>
      </c>
      <c r="T411">
        <f>IFERROR(VALUE(TRIM(SUBSTITUTE(VentesMagasins!$L411,".",","))),0)</f>
        <v>0</v>
      </c>
      <c r="U411">
        <f t="shared" si="19"/>
        <v>2</v>
      </c>
      <c r="V411" t="str">
        <f t="shared" si="20"/>
        <v>faible</v>
      </c>
      <c r="W411" t="str">
        <f>_xlfn.XLOOKUP(VentesMagasins!$B411,Clients!ClientID,Région)</f>
        <v>Est</v>
      </c>
      <c r="X411" t="str">
        <f>INDEX(TypeClient,MATCH(VentesMagasins!$B411,Clients!ClientID))</f>
        <v>Nouveau</v>
      </c>
      <c r="Y411" t="str">
        <v>mars</v>
      </c>
    </row>
    <row r="412" spans="1:25" x14ac:dyDescent="0.25">
      <c r="A412" s="2">
        <v>411</v>
      </c>
      <c r="B412" s="12" t="s">
        <v>127</v>
      </c>
      <c r="C412" s="13">
        <v>45283</v>
      </c>
      <c r="D412" s="12" t="s">
        <v>328</v>
      </c>
      <c r="E412" s="14" t="s">
        <v>339</v>
      </c>
      <c r="F412" s="12" t="s">
        <v>324</v>
      </c>
      <c r="G412" s="2">
        <v>4</v>
      </c>
      <c r="H412" s="3">
        <v>96</v>
      </c>
      <c r="I412" s="14" t="s">
        <v>342</v>
      </c>
      <c r="J412" s="12" t="s">
        <v>736</v>
      </c>
      <c r="K412" s="2">
        <v>1</v>
      </c>
      <c r="L412" s="12" t="s">
        <v>327</v>
      </c>
      <c r="M412">
        <f>YEAR(VentesMagasins!$C412)</f>
        <v>2023</v>
      </c>
      <c r="N412" t="e" cm="1" vm="1">
        <f t="array" aca="1" ref="N412" ca="1">MONTH(DateVente)</f>
        <v>#VALUE!</v>
      </c>
      <c r="O412" t="str">
        <f>PROPER(VentesMagasins!$F412)</f>
        <v>Électronique</v>
      </c>
      <c r="P412">
        <f>VALUE(CLEAN(TRIM(SUBSTITUTE(VentesMagasins!$I412,".",","))))</f>
        <v>0.05</v>
      </c>
      <c r="Q412">
        <f>VALUE(TRIM(SUBSTITUTE(VentesMagasins!$J412,".",",")))</f>
        <v>364.79999999999899</v>
      </c>
      <c r="R412">
        <f t="shared" si="18"/>
        <v>346.55999999999904</v>
      </c>
      <c r="S412">
        <f>IF(VentesMagasins!$K412=1,(-1)*R412,R412)</f>
        <v>-346.55999999999904</v>
      </c>
      <c r="T412">
        <f>IFERROR(VALUE(TRIM(SUBSTITUTE(VentesMagasins!$L412,".",","))),0)</f>
        <v>5</v>
      </c>
      <c r="U412">
        <f t="shared" si="19"/>
        <v>5</v>
      </c>
      <c r="V412" t="str">
        <f t="shared" si="20"/>
        <v>élévé</v>
      </c>
      <c r="W412" t="str">
        <f>_xlfn.XLOOKUP(VentesMagasins!$B412,Clients!ClientID,Région)</f>
        <v>Ouest</v>
      </c>
      <c r="X412" t="str">
        <f>INDEX(TypeClient,MATCH(VentesMagasins!$B412,Clients!ClientID))</f>
        <v>Fidèle</v>
      </c>
      <c r="Y412" t="str">
        <v>déc</v>
      </c>
    </row>
    <row r="413" spans="1:25" x14ac:dyDescent="0.25">
      <c r="A413" s="2">
        <v>412</v>
      </c>
      <c r="B413" s="12" t="s">
        <v>249</v>
      </c>
      <c r="C413" s="13">
        <v>45539</v>
      </c>
      <c r="D413" s="12" t="s">
        <v>425</v>
      </c>
      <c r="E413" s="14" t="s">
        <v>345</v>
      </c>
      <c r="F413" s="12" t="s">
        <v>324</v>
      </c>
      <c r="G413" s="2">
        <v>2</v>
      </c>
      <c r="H413" s="3">
        <v>326</v>
      </c>
      <c r="I413" s="14" t="s">
        <v>342</v>
      </c>
      <c r="J413" s="12" t="s">
        <v>737</v>
      </c>
      <c r="K413" s="2">
        <v>0</v>
      </c>
      <c r="L413" s="12" t="s">
        <v>332</v>
      </c>
      <c r="M413">
        <f>YEAR(VentesMagasins!$C413)</f>
        <v>2024</v>
      </c>
      <c r="N413" t="e" cm="1" vm="1">
        <f t="array" aca="1" ref="N413" ca="1">MONTH(DateVente)</f>
        <v>#VALUE!</v>
      </c>
      <c r="O413" t="str">
        <f>PROPER(VentesMagasins!$F413)</f>
        <v>Électronique</v>
      </c>
      <c r="P413">
        <f>VALUE(CLEAN(TRIM(SUBSTITUTE(VentesMagasins!$I413,".",","))))</f>
        <v>0.05</v>
      </c>
      <c r="Q413">
        <f>VALUE(TRIM(SUBSTITUTE(VentesMagasins!$J413,".",",")))</f>
        <v>619.4</v>
      </c>
      <c r="R413">
        <f t="shared" si="18"/>
        <v>588.42999999999995</v>
      </c>
      <c r="S413">
        <f>IF(VentesMagasins!$K413=1,(-1)*R413,R413)</f>
        <v>588.42999999999995</v>
      </c>
      <c r="T413">
        <f>IFERROR(VALUE(TRIM(SUBSTITUTE(VentesMagasins!$L413,".",","))),0)</f>
        <v>4</v>
      </c>
      <c r="U413">
        <f t="shared" si="19"/>
        <v>4</v>
      </c>
      <c r="V413" t="str">
        <f t="shared" si="20"/>
        <v>moyenne</v>
      </c>
      <c r="W413" t="str">
        <f>_xlfn.XLOOKUP(VentesMagasins!$B413,Clients!ClientID,Région)</f>
        <v>Ouest</v>
      </c>
      <c r="X413" t="str">
        <f>INDEX(TypeClient,MATCH(VentesMagasins!$B413,Clients!ClientID))</f>
        <v>Fidèle</v>
      </c>
      <c r="Y413" t="str">
        <v>sept</v>
      </c>
    </row>
    <row r="414" spans="1:25" x14ac:dyDescent="0.25">
      <c r="A414" s="2">
        <v>413</v>
      </c>
      <c r="B414" s="12" t="s">
        <v>93</v>
      </c>
      <c r="C414" s="13">
        <v>45011</v>
      </c>
      <c r="D414" s="12" t="s">
        <v>333</v>
      </c>
      <c r="E414" s="14" t="s">
        <v>362</v>
      </c>
      <c r="F414" s="12" t="s">
        <v>330</v>
      </c>
      <c r="G414" s="2">
        <v>5</v>
      </c>
      <c r="H414" s="3">
        <v>29</v>
      </c>
      <c r="I414" s="14" t="s">
        <v>355</v>
      </c>
      <c r="J414" s="12" t="s">
        <v>738</v>
      </c>
      <c r="K414" s="2">
        <v>1</v>
      </c>
      <c r="L414" s="12" t="s">
        <v>337</v>
      </c>
      <c r="M414">
        <f>YEAR(VentesMagasins!$C414)</f>
        <v>2023</v>
      </c>
      <c r="N414" t="e" cm="1" vm="1">
        <f t="array" aca="1" ref="N414" ca="1">MONTH(DateVente)</f>
        <v>#VALUE!</v>
      </c>
      <c r="O414" t="str">
        <f>PROPER(VentesMagasins!$F414)</f>
        <v>Décoration</v>
      </c>
      <c r="P414">
        <f>VALUE(CLEAN(TRIM(SUBSTITUTE(VentesMagasins!$I414,".",","))))</f>
        <v>0.1</v>
      </c>
      <c r="Q414">
        <f>VALUE(TRIM(SUBSTITUTE(VentesMagasins!$J414,".",",")))</f>
        <v>130.5</v>
      </c>
      <c r="R414">
        <f t="shared" si="18"/>
        <v>117.45</v>
      </c>
      <c r="S414">
        <f>IF(VentesMagasins!$K414=1,(-1)*R414,R414)</f>
        <v>-117.45</v>
      </c>
      <c r="T414">
        <f>IFERROR(VALUE(TRIM(SUBSTITUTE(VentesMagasins!$L414,".",","))),0)</f>
        <v>3</v>
      </c>
      <c r="U414">
        <f t="shared" si="19"/>
        <v>3</v>
      </c>
      <c r="V414" t="str">
        <f t="shared" si="20"/>
        <v>moyenne</v>
      </c>
      <c r="W414" t="str">
        <f>_xlfn.XLOOKUP(VentesMagasins!$B414,Clients!ClientID,Région)</f>
        <v>Est</v>
      </c>
      <c r="X414" t="str">
        <f>INDEX(TypeClient,MATCH(VentesMagasins!$B414,Clients!ClientID))</f>
        <v>Nouveau</v>
      </c>
      <c r="Y414" t="str">
        <v>mars</v>
      </c>
    </row>
    <row r="415" spans="1:25" x14ac:dyDescent="0.25">
      <c r="A415" s="2">
        <v>414</v>
      </c>
      <c r="B415" s="12" t="s">
        <v>275</v>
      </c>
      <c r="C415" s="13">
        <v>45681</v>
      </c>
      <c r="D415" s="12" t="s">
        <v>338</v>
      </c>
      <c r="E415" s="14" t="s">
        <v>364</v>
      </c>
      <c r="F415" s="12" t="s">
        <v>341</v>
      </c>
      <c r="G415" s="2">
        <v>2</v>
      </c>
      <c r="H415" s="3">
        <v>368</v>
      </c>
      <c r="I415" s="14" t="s">
        <v>355</v>
      </c>
      <c r="J415" s="12" t="s">
        <v>739</v>
      </c>
      <c r="K415" s="2">
        <v>1</v>
      </c>
      <c r="L415" s="12" t="s">
        <v>369</v>
      </c>
      <c r="M415">
        <f>YEAR(VentesMagasins!$C415)</f>
        <v>2025</v>
      </c>
      <c r="N415" t="e" cm="1" vm="1">
        <f t="array" aca="1" ref="N415" ca="1">MONTH(DateVente)</f>
        <v>#VALUE!</v>
      </c>
      <c r="O415" t="str">
        <f>PROPER(VentesMagasins!$F415)</f>
        <v>Meuble</v>
      </c>
      <c r="P415">
        <f>VALUE(CLEAN(TRIM(SUBSTITUTE(VentesMagasins!$I415,".",","))))</f>
        <v>0.1</v>
      </c>
      <c r="Q415">
        <f>VALUE(TRIM(SUBSTITUTE(VentesMagasins!$J415,".",",")))</f>
        <v>662.4</v>
      </c>
      <c r="R415">
        <f t="shared" si="18"/>
        <v>596.16</v>
      </c>
      <c r="S415">
        <f>IF(VentesMagasins!$K415=1,(-1)*R415,R415)</f>
        <v>-596.16</v>
      </c>
      <c r="T415">
        <f>IFERROR(VALUE(TRIM(SUBSTITUTE(VentesMagasins!$L415,".",","))),0)</f>
        <v>1</v>
      </c>
      <c r="U415">
        <f t="shared" si="19"/>
        <v>1</v>
      </c>
      <c r="V415" t="str">
        <f t="shared" si="20"/>
        <v>faible</v>
      </c>
      <c r="W415" t="str">
        <f>_xlfn.XLOOKUP(VentesMagasins!$B415,Clients!ClientID,Région)</f>
        <v>Nord</v>
      </c>
      <c r="X415" t="str">
        <f>INDEX(TypeClient,MATCH(VentesMagasins!$B415,Clients!ClientID))</f>
        <v>Fidèle</v>
      </c>
      <c r="Y415" t="str">
        <v>janv</v>
      </c>
    </row>
    <row r="416" spans="1:25" x14ac:dyDescent="0.25">
      <c r="A416" s="2">
        <v>415</v>
      </c>
      <c r="B416" s="12" t="s">
        <v>31</v>
      </c>
      <c r="C416" s="13">
        <v>45681</v>
      </c>
      <c r="D416" s="12" t="s">
        <v>322</v>
      </c>
      <c r="E416" s="14" t="s">
        <v>339</v>
      </c>
      <c r="F416" s="12" t="s">
        <v>324</v>
      </c>
      <c r="G416" s="2">
        <v>5</v>
      </c>
      <c r="H416" s="3">
        <v>114</v>
      </c>
      <c r="I416" s="14" t="s">
        <v>342</v>
      </c>
      <c r="J416" s="12" t="s">
        <v>740</v>
      </c>
      <c r="K416" s="2">
        <v>0</v>
      </c>
      <c r="L416" s="12" t="s">
        <v>352</v>
      </c>
      <c r="M416">
        <f>YEAR(VentesMagasins!$C416)</f>
        <v>2025</v>
      </c>
      <c r="N416" t="e" cm="1" vm="1">
        <f t="array" aca="1" ref="N416" ca="1">MONTH(DateVente)</f>
        <v>#VALUE!</v>
      </c>
      <c r="O416" t="str">
        <f>PROPER(VentesMagasins!$F416)</f>
        <v>Électronique</v>
      </c>
      <c r="P416">
        <f>VALUE(CLEAN(TRIM(SUBSTITUTE(VentesMagasins!$I416,".",","))))</f>
        <v>0.05</v>
      </c>
      <c r="Q416">
        <f>VALUE(TRIM(SUBSTITUTE(VentesMagasins!$J416,".",",")))</f>
        <v>541.5</v>
      </c>
      <c r="R416">
        <f t="shared" si="18"/>
        <v>514.42499999999995</v>
      </c>
      <c r="S416">
        <f>IF(VentesMagasins!$K416=1,(-1)*R416,R416)</f>
        <v>514.42499999999995</v>
      </c>
      <c r="T416">
        <f>IFERROR(VALUE(TRIM(SUBSTITUTE(VentesMagasins!$L416,".",","))),0)</f>
        <v>0</v>
      </c>
      <c r="U416">
        <f t="shared" si="19"/>
        <v>2</v>
      </c>
      <c r="V416" t="str">
        <f t="shared" si="20"/>
        <v>faible</v>
      </c>
      <c r="W416" t="str">
        <f>_xlfn.XLOOKUP(VentesMagasins!$B416,Clients!ClientID,Région)</f>
        <v>Sud</v>
      </c>
      <c r="X416" t="str">
        <f>INDEX(TypeClient,MATCH(VentesMagasins!$B416,Clients!ClientID))</f>
        <v>Occasionnel</v>
      </c>
      <c r="Y416" t="str">
        <v>janv</v>
      </c>
    </row>
    <row r="417" spans="1:25" x14ac:dyDescent="0.25">
      <c r="A417" s="2">
        <v>416</v>
      </c>
      <c r="B417" s="12" t="s">
        <v>78</v>
      </c>
      <c r="C417" s="13">
        <v>44935</v>
      </c>
      <c r="D417" s="12" t="s">
        <v>350</v>
      </c>
      <c r="E417" s="14" t="s">
        <v>329</v>
      </c>
      <c r="F417" s="12" t="s">
        <v>324</v>
      </c>
      <c r="G417" s="2">
        <v>3</v>
      </c>
      <c r="H417" s="3">
        <v>162</v>
      </c>
      <c r="I417" s="14" t="s">
        <v>325</v>
      </c>
      <c r="J417" s="12" t="s">
        <v>447</v>
      </c>
      <c r="K417" s="2">
        <v>0</v>
      </c>
      <c r="L417" s="12" t="s">
        <v>352</v>
      </c>
      <c r="M417">
        <f>YEAR(VentesMagasins!$C417)</f>
        <v>2023</v>
      </c>
      <c r="N417" t="e" cm="1" vm="1">
        <f t="array" aca="1" ref="N417" ca="1">MONTH(DateVente)</f>
        <v>#VALUE!</v>
      </c>
      <c r="O417" t="str">
        <f>PROPER(VentesMagasins!$F417)</f>
        <v>Électronique</v>
      </c>
      <c r="P417">
        <f>VALUE(CLEAN(TRIM(SUBSTITUTE(VentesMagasins!$I417,".",","))))</f>
        <v>0.15</v>
      </c>
      <c r="Q417">
        <f>VALUE(TRIM(SUBSTITUTE(VentesMagasins!$J417,".",",")))</f>
        <v>413.099999999999</v>
      </c>
      <c r="R417">
        <f t="shared" si="18"/>
        <v>351.13499999999914</v>
      </c>
      <c r="S417">
        <f>IF(VentesMagasins!$K417=1,(-1)*R417,R417)</f>
        <v>351.13499999999914</v>
      </c>
      <c r="T417">
        <f>IFERROR(VALUE(TRIM(SUBSTITUTE(VentesMagasins!$L417,".",","))),0)</f>
        <v>0</v>
      </c>
      <c r="U417">
        <f t="shared" si="19"/>
        <v>2</v>
      </c>
      <c r="V417" t="str">
        <f t="shared" si="20"/>
        <v>faible</v>
      </c>
      <c r="W417" t="str">
        <f>_xlfn.XLOOKUP(VentesMagasins!$B417,Clients!ClientID,Région)</f>
        <v>Centre</v>
      </c>
      <c r="X417" t="str">
        <f>INDEX(TypeClient,MATCH(VentesMagasins!$B417,Clients!ClientID))</f>
        <v>Nouveau</v>
      </c>
      <c r="Y417" t="str">
        <v>janv</v>
      </c>
    </row>
    <row r="418" spans="1:25" x14ac:dyDescent="0.25">
      <c r="A418" s="2">
        <v>417</v>
      </c>
      <c r="B418" s="12" t="s">
        <v>37</v>
      </c>
      <c r="C418" s="13">
        <v>45904</v>
      </c>
      <c r="D418" s="12" t="s">
        <v>338</v>
      </c>
      <c r="E418" s="14" t="s">
        <v>329</v>
      </c>
      <c r="F418" s="12" t="s">
        <v>341</v>
      </c>
      <c r="G418" s="2">
        <v>2</v>
      </c>
      <c r="H418" s="3">
        <v>210</v>
      </c>
      <c r="I418" s="14" t="s">
        <v>342</v>
      </c>
      <c r="J418" s="12" t="s">
        <v>741</v>
      </c>
      <c r="K418" s="2">
        <v>1</v>
      </c>
      <c r="L418" s="12" t="s">
        <v>344</v>
      </c>
      <c r="M418">
        <f>YEAR(VentesMagasins!$C418)</f>
        <v>2025</v>
      </c>
      <c r="N418" t="e" cm="1" vm="1">
        <f t="array" aca="1" ref="N418" ca="1">MONTH(DateVente)</f>
        <v>#VALUE!</v>
      </c>
      <c r="O418" t="str">
        <f>PROPER(VentesMagasins!$F418)</f>
        <v>Meuble</v>
      </c>
      <c r="P418">
        <f>VALUE(CLEAN(TRIM(SUBSTITUTE(VentesMagasins!$I418,".",","))))</f>
        <v>0.05</v>
      </c>
      <c r="Q418">
        <f>VALUE(TRIM(SUBSTITUTE(VentesMagasins!$J418,".",",")))</f>
        <v>399</v>
      </c>
      <c r="R418">
        <f t="shared" si="18"/>
        <v>379.04999999999995</v>
      </c>
      <c r="S418">
        <f>IF(VentesMagasins!$K418=1,(-1)*R418,R418)</f>
        <v>-379.04999999999995</v>
      </c>
      <c r="T418">
        <f>IFERROR(VALUE(TRIM(SUBSTITUTE(VentesMagasins!$L418,".",","))),0)</f>
        <v>2</v>
      </c>
      <c r="U418">
        <f t="shared" si="19"/>
        <v>2</v>
      </c>
      <c r="V418" t="str">
        <f t="shared" si="20"/>
        <v>faible</v>
      </c>
      <c r="W418" t="str">
        <f>_xlfn.XLOOKUP(VentesMagasins!$B418,Clients!ClientID,Région)</f>
        <v>Centre</v>
      </c>
      <c r="X418" t="str">
        <f>INDEX(TypeClient,MATCH(VentesMagasins!$B418,Clients!ClientID))</f>
        <v>Nouveau</v>
      </c>
      <c r="Y418" t="str">
        <v>sept</v>
      </c>
    </row>
    <row r="419" spans="1:25" x14ac:dyDescent="0.25">
      <c r="A419" s="2">
        <v>418</v>
      </c>
      <c r="B419" s="12" t="s">
        <v>232</v>
      </c>
      <c r="C419" s="13">
        <v>45998</v>
      </c>
      <c r="D419" s="12" t="s">
        <v>333</v>
      </c>
      <c r="E419" s="14" t="s">
        <v>323</v>
      </c>
      <c r="F419" s="12" t="s">
        <v>330</v>
      </c>
      <c r="G419" s="2">
        <v>3</v>
      </c>
      <c r="H419" s="3">
        <v>84</v>
      </c>
      <c r="I419" s="14" t="s">
        <v>325</v>
      </c>
      <c r="J419" s="12" t="s">
        <v>742</v>
      </c>
      <c r="K419" s="2">
        <v>1</v>
      </c>
      <c r="L419" s="12" t="s">
        <v>352</v>
      </c>
      <c r="M419">
        <f>YEAR(VentesMagasins!$C419)</f>
        <v>2025</v>
      </c>
      <c r="N419" t="e" cm="1" vm="1">
        <f t="array" aca="1" ref="N419" ca="1">MONTH(DateVente)</f>
        <v>#VALUE!</v>
      </c>
      <c r="O419" t="str">
        <f>PROPER(VentesMagasins!$F419)</f>
        <v>Décoration</v>
      </c>
      <c r="P419">
        <f>VALUE(CLEAN(TRIM(SUBSTITUTE(VentesMagasins!$I419,".",","))))</f>
        <v>0.15</v>
      </c>
      <c r="Q419">
        <f>VALUE(TRIM(SUBSTITUTE(VentesMagasins!$J419,".",",")))</f>
        <v>214.2</v>
      </c>
      <c r="R419">
        <f t="shared" si="18"/>
        <v>182.07</v>
      </c>
      <c r="S419">
        <f>IF(VentesMagasins!$K419=1,(-1)*R419,R419)</f>
        <v>-182.07</v>
      </c>
      <c r="T419">
        <f>IFERROR(VALUE(TRIM(SUBSTITUTE(VentesMagasins!$L419,".",","))),0)</f>
        <v>0</v>
      </c>
      <c r="U419">
        <f t="shared" si="19"/>
        <v>2</v>
      </c>
      <c r="V419" t="str">
        <f t="shared" si="20"/>
        <v>faible</v>
      </c>
      <c r="W419" t="str">
        <f>_xlfn.XLOOKUP(VentesMagasins!$B419,Clients!ClientID,Région)</f>
        <v>Centre</v>
      </c>
      <c r="X419" t="str">
        <f>INDEX(TypeClient,MATCH(VentesMagasins!$B419,Clients!ClientID))</f>
        <v>Fidèle</v>
      </c>
      <c r="Y419" t="str">
        <v>déc</v>
      </c>
    </row>
    <row r="420" spans="1:25" x14ac:dyDescent="0.25">
      <c r="A420" s="2">
        <v>419</v>
      </c>
      <c r="B420" s="12" t="s">
        <v>79</v>
      </c>
      <c r="C420" s="13">
        <v>45457</v>
      </c>
      <c r="D420" s="12" t="s">
        <v>350</v>
      </c>
      <c r="E420" s="14" t="s">
        <v>339</v>
      </c>
      <c r="F420" s="12" t="s">
        <v>330</v>
      </c>
      <c r="G420" s="2">
        <v>3</v>
      </c>
      <c r="H420" s="3">
        <v>185</v>
      </c>
      <c r="I420" s="14" t="s">
        <v>335</v>
      </c>
      <c r="J420" s="12" t="s">
        <v>743</v>
      </c>
      <c r="K420" s="2">
        <v>0</v>
      </c>
      <c r="L420" s="12" t="s">
        <v>369</v>
      </c>
      <c r="M420">
        <f>YEAR(VentesMagasins!$C420)</f>
        <v>2024</v>
      </c>
      <c r="N420" t="e" cm="1" vm="1">
        <f t="array" aca="1" ref="N420" ca="1">MONTH(DateVente)</f>
        <v>#VALUE!</v>
      </c>
      <c r="O420" t="str">
        <f>PROPER(VentesMagasins!$F420)</f>
        <v>Décoration</v>
      </c>
      <c r="P420">
        <f>VALUE(CLEAN(TRIM(SUBSTITUTE(VentesMagasins!$I420,".",","))))</f>
        <v>0</v>
      </c>
      <c r="Q420">
        <f>VALUE(TRIM(SUBSTITUTE(VentesMagasins!$J420,".",",")))</f>
        <v>555</v>
      </c>
      <c r="R420">
        <f t="shared" si="18"/>
        <v>555</v>
      </c>
      <c r="S420">
        <f>IF(VentesMagasins!$K420=1,(-1)*R420,R420)</f>
        <v>555</v>
      </c>
      <c r="T420">
        <f>IFERROR(VALUE(TRIM(SUBSTITUTE(VentesMagasins!$L420,".",","))),0)</f>
        <v>1</v>
      </c>
      <c r="U420">
        <f t="shared" si="19"/>
        <v>1</v>
      </c>
      <c r="V420" t="str">
        <f t="shared" si="20"/>
        <v>faible</v>
      </c>
      <c r="W420" t="str">
        <f>_xlfn.XLOOKUP(VentesMagasins!$B420,Clients!ClientID,Région)</f>
        <v>Ouest</v>
      </c>
      <c r="X420" t="str">
        <f>INDEX(TypeClient,MATCH(VentesMagasins!$B420,Clients!ClientID))</f>
        <v>Occasionnel</v>
      </c>
      <c r="Y420" t="str">
        <v>juin</v>
      </c>
    </row>
    <row r="421" spans="1:25" x14ac:dyDescent="0.25">
      <c r="A421" s="2">
        <v>420</v>
      </c>
      <c r="B421" s="12" t="s">
        <v>298</v>
      </c>
      <c r="C421" s="13">
        <v>45769</v>
      </c>
      <c r="D421" s="12" t="s">
        <v>333</v>
      </c>
      <c r="E421" s="14" t="s">
        <v>329</v>
      </c>
      <c r="F421" s="12" t="s">
        <v>330</v>
      </c>
      <c r="G421" s="2">
        <v>2</v>
      </c>
      <c r="H421" s="3">
        <v>259</v>
      </c>
      <c r="I421" s="14" t="s">
        <v>342</v>
      </c>
      <c r="J421" s="12" t="s">
        <v>744</v>
      </c>
      <c r="K421" s="2">
        <v>0</v>
      </c>
      <c r="L421" s="12" t="s">
        <v>332</v>
      </c>
      <c r="M421">
        <f>YEAR(VentesMagasins!$C421)</f>
        <v>2025</v>
      </c>
      <c r="N421" t="e" cm="1" vm="1">
        <f t="array" aca="1" ref="N421" ca="1">MONTH(DateVente)</f>
        <v>#VALUE!</v>
      </c>
      <c r="O421" t="str">
        <f>PROPER(VentesMagasins!$F421)</f>
        <v>Décoration</v>
      </c>
      <c r="P421">
        <f>VALUE(CLEAN(TRIM(SUBSTITUTE(VentesMagasins!$I421,".",","))))</f>
        <v>0.05</v>
      </c>
      <c r="Q421">
        <f>VALUE(TRIM(SUBSTITUTE(VentesMagasins!$J421,".",",")))</f>
        <v>492.099999999999</v>
      </c>
      <c r="R421">
        <f t="shared" si="18"/>
        <v>467.49499999999904</v>
      </c>
      <c r="S421">
        <f>IF(VentesMagasins!$K421=1,(-1)*R421,R421)</f>
        <v>467.49499999999904</v>
      </c>
      <c r="T421">
        <f>IFERROR(VALUE(TRIM(SUBSTITUTE(VentesMagasins!$L421,".",","))),0)</f>
        <v>4</v>
      </c>
      <c r="U421">
        <f t="shared" si="19"/>
        <v>4</v>
      </c>
      <c r="V421" t="str">
        <f t="shared" si="20"/>
        <v>moyenne</v>
      </c>
      <c r="W421" t="str">
        <f>_xlfn.XLOOKUP(VentesMagasins!$B421,Clients!ClientID,Région)</f>
        <v>Sud</v>
      </c>
      <c r="X421" t="str">
        <f>INDEX(TypeClient,MATCH(VentesMagasins!$B421,Clients!ClientID))</f>
        <v>Nouveau</v>
      </c>
      <c r="Y421" t="str">
        <v>avr</v>
      </c>
    </row>
    <row r="422" spans="1:25" x14ac:dyDescent="0.25">
      <c r="A422" s="2">
        <v>421</v>
      </c>
      <c r="B422" s="12" t="s">
        <v>118</v>
      </c>
      <c r="C422" s="13">
        <v>45811</v>
      </c>
      <c r="D422" s="12" t="s">
        <v>328</v>
      </c>
      <c r="E422" s="14" t="s">
        <v>334</v>
      </c>
      <c r="F422" s="12" t="s">
        <v>341</v>
      </c>
      <c r="G422" s="2">
        <v>4</v>
      </c>
      <c r="H422" s="3">
        <v>160</v>
      </c>
      <c r="I422" s="14" t="s">
        <v>335</v>
      </c>
      <c r="J422" s="12" t="s">
        <v>745</v>
      </c>
      <c r="K422" s="2">
        <v>1</v>
      </c>
      <c r="L422" s="12" t="s">
        <v>352</v>
      </c>
      <c r="M422">
        <f>YEAR(VentesMagasins!$C422)</f>
        <v>2025</v>
      </c>
      <c r="N422" t="e" cm="1" vm="1">
        <f t="array" aca="1" ref="N422" ca="1">MONTH(DateVente)</f>
        <v>#VALUE!</v>
      </c>
      <c r="O422" t="str">
        <f>PROPER(VentesMagasins!$F422)</f>
        <v>Meuble</v>
      </c>
      <c r="P422">
        <f>VALUE(CLEAN(TRIM(SUBSTITUTE(VentesMagasins!$I422,".",","))))</f>
        <v>0</v>
      </c>
      <c r="Q422">
        <f>VALUE(TRIM(SUBSTITUTE(VentesMagasins!$J422,".",",")))</f>
        <v>640</v>
      </c>
      <c r="R422">
        <f t="shared" si="18"/>
        <v>640</v>
      </c>
      <c r="S422">
        <f>IF(VentesMagasins!$K422=1,(-1)*R422,R422)</f>
        <v>-640</v>
      </c>
      <c r="T422">
        <f>IFERROR(VALUE(TRIM(SUBSTITUTE(VentesMagasins!$L422,".",","))),0)</f>
        <v>0</v>
      </c>
      <c r="U422">
        <f t="shared" si="19"/>
        <v>3</v>
      </c>
      <c r="V422" t="str">
        <f t="shared" si="20"/>
        <v>moyenne</v>
      </c>
      <c r="W422" t="str">
        <f>_xlfn.XLOOKUP(VentesMagasins!$B422,Clients!ClientID,Région)</f>
        <v>Ouest</v>
      </c>
      <c r="X422" t="str">
        <f>INDEX(TypeClient,MATCH(VentesMagasins!$B422,Clients!ClientID))</f>
        <v>Nouveau</v>
      </c>
      <c r="Y422" t="str">
        <v>juin</v>
      </c>
    </row>
    <row r="423" spans="1:25" x14ac:dyDescent="0.25">
      <c r="A423" s="2">
        <v>422</v>
      </c>
      <c r="B423" s="12" t="s">
        <v>31</v>
      </c>
      <c r="C423" s="13">
        <v>45180</v>
      </c>
      <c r="D423" s="12" t="s">
        <v>350</v>
      </c>
      <c r="E423" s="14" t="s">
        <v>339</v>
      </c>
      <c r="F423" s="12" t="s">
        <v>330</v>
      </c>
      <c r="G423" s="2">
        <v>4</v>
      </c>
      <c r="H423" s="3">
        <v>98</v>
      </c>
      <c r="I423" s="14" t="s">
        <v>342</v>
      </c>
      <c r="J423" s="12" t="s">
        <v>746</v>
      </c>
      <c r="K423" s="2">
        <v>1</v>
      </c>
      <c r="L423" s="12" t="s">
        <v>327</v>
      </c>
      <c r="M423">
        <f>YEAR(VentesMagasins!$C423)</f>
        <v>2023</v>
      </c>
      <c r="N423" t="e" cm="1" vm="1">
        <f t="array" aca="1" ref="N423" ca="1">MONTH(DateVente)</f>
        <v>#VALUE!</v>
      </c>
      <c r="O423" t="str">
        <f>PROPER(VentesMagasins!$F423)</f>
        <v>Décoration</v>
      </c>
      <c r="P423">
        <f>VALUE(CLEAN(TRIM(SUBSTITUTE(VentesMagasins!$I423,".",","))))</f>
        <v>0.05</v>
      </c>
      <c r="Q423">
        <f>VALUE(TRIM(SUBSTITUTE(VentesMagasins!$J423,".",",")))</f>
        <v>372.4</v>
      </c>
      <c r="R423">
        <f t="shared" si="18"/>
        <v>353.78</v>
      </c>
      <c r="S423">
        <f>IF(VentesMagasins!$K423=1,(-1)*R423,R423)</f>
        <v>-353.78</v>
      </c>
      <c r="T423">
        <f>IFERROR(VALUE(TRIM(SUBSTITUTE(VentesMagasins!$L423,".",","))),0)</f>
        <v>5</v>
      </c>
      <c r="U423">
        <f t="shared" si="19"/>
        <v>5</v>
      </c>
      <c r="V423" t="str">
        <f t="shared" si="20"/>
        <v>élévé</v>
      </c>
      <c r="W423" t="str">
        <f>_xlfn.XLOOKUP(VentesMagasins!$B423,Clients!ClientID,Région)</f>
        <v>Sud</v>
      </c>
      <c r="X423" t="str">
        <f>INDEX(TypeClient,MATCH(VentesMagasins!$B423,Clients!ClientID))</f>
        <v>Occasionnel</v>
      </c>
      <c r="Y423" t="str">
        <v>sept</v>
      </c>
    </row>
    <row r="424" spans="1:25" x14ac:dyDescent="0.25">
      <c r="A424" s="2">
        <v>423</v>
      </c>
      <c r="B424" s="12" t="s">
        <v>275</v>
      </c>
      <c r="C424" s="13">
        <v>45932</v>
      </c>
      <c r="D424" s="12" t="s">
        <v>449</v>
      </c>
      <c r="E424" s="14" t="s">
        <v>348</v>
      </c>
      <c r="F424" s="12" t="s">
        <v>341</v>
      </c>
      <c r="G424" s="2">
        <v>1</v>
      </c>
      <c r="H424" s="3">
        <v>67</v>
      </c>
      <c r="I424" s="14" t="s">
        <v>342</v>
      </c>
      <c r="J424" s="12" t="s">
        <v>747</v>
      </c>
      <c r="K424" s="2">
        <v>0</v>
      </c>
      <c r="L424" s="12" t="s">
        <v>352</v>
      </c>
      <c r="M424">
        <f>YEAR(VentesMagasins!$C424)</f>
        <v>2025</v>
      </c>
      <c r="N424" t="e" cm="1" vm="1">
        <f t="array" aca="1" ref="N424" ca="1">MONTH(DateVente)</f>
        <v>#VALUE!</v>
      </c>
      <c r="O424" t="str">
        <f>PROPER(VentesMagasins!$F424)</f>
        <v>Meuble</v>
      </c>
      <c r="P424">
        <f>VALUE(CLEAN(TRIM(SUBSTITUTE(VentesMagasins!$I424,".",","))))</f>
        <v>0.05</v>
      </c>
      <c r="Q424">
        <f>VALUE(TRIM(SUBSTITUTE(VentesMagasins!$J424,".",",")))</f>
        <v>63.65</v>
      </c>
      <c r="R424">
        <f t="shared" si="18"/>
        <v>60.467499999999994</v>
      </c>
      <c r="S424">
        <f>IF(VentesMagasins!$K424=1,(-1)*R424,R424)</f>
        <v>60.467499999999994</v>
      </c>
      <c r="T424">
        <f>IFERROR(VALUE(TRIM(SUBSTITUTE(VentesMagasins!$L424,".",","))),0)</f>
        <v>0</v>
      </c>
      <c r="U424">
        <f t="shared" si="19"/>
        <v>3</v>
      </c>
      <c r="V424" t="str">
        <f t="shared" si="20"/>
        <v>moyenne</v>
      </c>
      <c r="W424" t="str">
        <f>_xlfn.XLOOKUP(VentesMagasins!$B424,Clients!ClientID,Région)</f>
        <v>Nord</v>
      </c>
      <c r="X424" t="str">
        <f>INDEX(TypeClient,MATCH(VentesMagasins!$B424,Clients!ClientID))</f>
        <v>Fidèle</v>
      </c>
      <c r="Y424" t="str">
        <v>oct</v>
      </c>
    </row>
    <row r="425" spans="1:25" x14ac:dyDescent="0.25">
      <c r="A425" s="2">
        <v>424</v>
      </c>
      <c r="B425" s="12" t="s">
        <v>247</v>
      </c>
      <c r="C425" s="13">
        <v>46003</v>
      </c>
      <c r="D425" s="12" t="s">
        <v>333</v>
      </c>
      <c r="E425" s="14" t="s">
        <v>329</v>
      </c>
      <c r="F425" s="12" t="s">
        <v>330</v>
      </c>
      <c r="G425" s="2">
        <v>1</v>
      </c>
      <c r="H425" s="3">
        <v>494</v>
      </c>
      <c r="I425" s="14" t="s">
        <v>335</v>
      </c>
      <c r="J425" s="12" t="s">
        <v>748</v>
      </c>
      <c r="K425" s="2">
        <v>0</v>
      </c>
      <c r="L425" s="12" t="s">
        <v>327</v>
      </c>
      <c r="M425">
        <f>YEAR(VentesMagasins!$C425)</f>
        <v>2025</v>
      </c>
      <c r="N425" t="e" cm="1" vm="1">
        <f t="array" aca="1" ref="N425" ca="1">MONTH(DateVente)</f>
        <v>#VALUE!</v>
      </c>
      <c r="O425" t="str">
        <f>PROPER(VentesMagasins!$F425)</f>
        <v>Décoration</v>
      </c>
      <c r="P425">
        <f>VALUE(CLEAN(TRIM(SUBSTITUTE(VentesMagasins!$I425,".",","))))</f>
        <v>0</v>
      </c>
      <c r="Q425">
        <f>VALUE(TRIM(SUBSTITUTE(VentesMagasins!$J425,".",",")))</f>
        <v>444.6</v>
      </c>
      <c r="R425">
        <f t="shared" si="18"/>
        <v>444.6</v>
      </c>
      <c r="S425">
        <f>IF(VentesMagasins!$K425=1,(-1)*R425,R425)</f>
        <v>444.6</v>
      </c>
      <c r="T425">
        <f>IFERROR(VALUE(TRIM(SUBSTITUTE(VentesMagasins!$L425,".",","))),0)</f>
        <v>5</v>
      </c>
      <c r="U425">
        <f t="shared" si="19"/>
        <v>5</v>
      </c>
      <c r="V425" t="str">
        <f t="shared" si="20"/>
        <v>élévé</v>
      </c>
      <c r="W425" t="str">
        <f>_xlfn.XLOOKUP(VentesMagasins!$B425,Clients!ClientID,Région)</f>
        <v>Ouest</v>
      </c>
      <c r="X425" t="str">
        <f>INDEX(TypeClient,MATCH(VentesMagasins!$B425,Clients!ClientID))</f>
        <v>Fidèle</v>
      </c>
      <c r="Y425" t="str">
        <v>déc</v>
      </c>
    </row>
    <row r="426" spans="1:25" x14ac:dyDescent="0.25">
      <c r="A426" s="2">
        <v>425</v>
      </c>
      <c r="B426" s="12" t="s">
        <v>148</v>
      </c>
      <c r="C426" s="13">
        <v>45511</v>
      </c>
      <c r="D426" s="12" t="s">
        <v>350</v>
      </c>
      <c r="E426" s="14" t="s">
        <v>339</v>
      </c>
      <c r="F426" s="12" t="s">
        <v>330</v>
      </c>
      <c r="G426" s="2">
        <v>3</v>
      </c>
      <c r="H426" s="3">
        <v>290</v>
      </c>
      <c r="I426" s="14" t="s">
        <v>342</v>
      </c>
      <c r="J426" s="12" t="s">
        <v>749</v>
      </c>
      <c r="K426" s="2">
        <v>0</v>
      </c>
      <c r="L426" s="12" t="s">
        <v>332</v>
      </c>
      <c r="M426">
        <f>YEAR(VentesMagasins!$C426)</f>
        <v>2024</v>
      </c>
      <c r="N426" t="e" cm="1" vm="1">
        <f t="array" aca="1" ref="N426" ca="1">MONTH(DateVente)</f>
        <v>#VALUE!</v>
      </c>
      <c r="O426" t="str">
        <f>PROPER(VentesMagasins!$F426)</f>
        <v>Décoration</v>
      </c>
      <c r="P426">
        <f>VALUE(CLEAN(TRIM(SUBSTITUTE(VentesMagasins!$I426,".",","))))</f>
        <v>0.05</v>
      </c>
      <c r="Q426">
        <f>VALUE(TRIM(SUBSTITUTE(VentesMagasins!$J426,".",",")))</f>
        <v>826.5</v>
      </c>
      <c r="R426">
        <f t="shared" si="18"/>
        <v>785.17499999999995</v>
      </c>
      <c r="S426">
        <f>IF(VentesMagasins!$K426=1,(-1)*R426,R426)</f>
        <v>785.17499999999995</v>
      </c>
      <c r="T426">
        <f>IFERROR(VALUE(TRIM(SUBSTITUTE(VentesMagasins!$L426,".",","))),0)</f>
        <v>4</v>
      </c>
      <c r="U426">
        <f t="shared" si="19"/>
        <v>4</v>
      </c>
      <c r="V426" t="str">
        <f t="shared" si="20"/>
        <v>moyenne</v>
      </c>
      <c r="W426" t="str">
        <f>_xlfn.XLOOKUP(VentesMagasins!$B426,Clients!ClientID,Région)</f>
        <v>Sud</v>
      </c>
      <c r="X426" t="str">
        <f>INDEX(TypeClient,MATCH(VentesMagasins!$B426,Clients!ClientID))</f>
        <v>Nouveau</v>
      </c>
      <c r="Y426" t="str">
        <v>août</v>
      </c>
    </row>
    <row r="427" spans="1:25" x14ac:dyDescent="0.25">
      <c r="A427" s="2">
        <v>426</v>
      </c>
      <c r="B427" s="12" t="s">
        <v>264</v>
      </c>
      <c r="C427" s="13">
        <v>45856</v>
      </c>
      <c r="D427" s="12" t="s">
        <v>333</v>
      </c>
      <c r="E427" s="14" t="s">
        <v>339</v>
      </c>
      <c r="F427" s="12" t="s">
        <v>341</v>
      </c>
      <c r="G427" s="2">
        <v>3</v>
      </c>
      <c r="H427" s="3">
        <v>246</v>
      </c>
      <c r="I427" s="14" t="s">
        <v>342</v>
      </c>
      <c r="J427" s="12" t="s">
        <v>750</v>
      </c>
      <c r="K427" s="2">
        <v>0</v>
      </c>
      <c r="L427" s="12" t="s">
        <v>327</v>
      </c>
      <c r="M427">
        <f>YEAR(VentesMagasins!$C427)</f>
        <v>2025</v>
      </c>
      <c r="N427" t="e" cm="1" vm="1">
        <f t="array" aca="1" ref="N427" ca="1">MONTH(DateVente)</f>
        <v>#VALUE!</v>
      </c>
      <c r="O427" t="str">
        <f>PROPER(VentesMagasins!$F427)</f>
        <v>Meuble</v>
      </c>
      <c r="P427">
        <f>VALUE(CLEAN(TRIM(SUBSTITUTE(VentesMagasins!$I427,".",","))))</f>
        <v>0.05</v>
      </c>
      <c r="Q427">
        <f>VALUE(TRIM(SUBSTITUTE(VentesMagasins!$J427,".",",")))</f>
        <v>701.1</v>
      </c>
      <c r="R427">
        <f t="shared" si="18"/>
        <v>666.04499999999996</v>
      </c>
      <c r="S427">
        <f>IF(VentesMagasins!$K427=1,(-1)*R427,R427)</f>
        <v>666.04499999999996</v>
      </c>
      <c r="T427">
        <f>IFERROR(VALUE(TRIM(SUBSTITUTE(VentesMagasins!$L427,".",","))),0)</f>
        <v>5</v>
      </c>
      <c r="U427">
        <f t="shared" si="19"/>
        <v>5</v>
      </c>
      <c r="V427" t="str">
        <f t="shared" si="20"/>
        <v>élévé</v>
      </c>
      <c r="W427" t="str">
        <f>_xlfn.XLOOKUP(VentesMagasins!$B427,Clients!ClientID,Région)</f>
        <v>Ouest</v>
      </c>
      <c r="X427" t="str">
        <f>INDEX(TypeClient,MATCH(VentesMagasins!$B427,Clients!ClientID))</f>
        <v>Nouveau</v>
      </c>
      <c r="Y427" t="str">
        <v>juil</v>
      </c>
    </row>
    <row r="428" spans="1:25" x14ac:dyDescent="0.25">
      <c r="A428" s="2">
        <v>427</v>
      </c>
      <c r="B428" s="12" t="s">
        <v>305</v>
      </c>
      <c r="C428" s="13">
        <v>44935</v>
      </c>
      <c r="D428" s="12" t="s">
        <v>350</v>
      </c>
      <c r="E428" s="14" t="s">
        <v>362</v>
      </c>
      <c r="F428" s="12" t="s">
        <v>324</v>
      </c>
      <c r="G428" s="2">
        <v>1</v>
      </c>
      <c r="H428" s="3">
        <v>370</v>
      </c>
      <c r="I428" s="14" t="s">
        <v>342</v>
      </c>
      <c r="J428" s="12" t="s">
        <v>751</v>
      </c>
      <c r="K428" s="2">
        <v>0</v>
      </c>
      <c r="L428" s="12" t="s">
        <v>344</v>
      </c>
      <c r="M428">
        <f>YEAR(VentesMagasins!$C428)</f>
        <v>2023</v>
      </c>
      <c r="N428" t="e" cm="1" vm="1">
        <f t="array" aca="1" ref="N428" ca="1">MONTH(DateVente)</f>
        <v>#VALUE!</v>
      </c>
      <c r="O428" t="str">
        <f>PROPER(VentesMagasins!$F428)</f>
        <v>Électronique</v>
      </c>
      <c r="P428">
        <f>VALUE(CLEAN(TRIM(SUBSTITUTE(VentesMagasins!$I428,".",","))))</f>
        <v>0.05</v>
      </c>
      <c r="Q428">
        <f>VALUE(TRIM(SUBSTITUTE(VentesMagasins!$J428,".",",")))</f>
        <v>351.5</v>
      </c>
      <c r="R428">
        <f t="shared" si="18"/>
        <v>333.92500000000001</v>
      </c>
      <c r="S428">
        <f>IF(VentesMagasins!$K428=1,(-1)*R428,R428)</f>
        <v>333.92500000000001</v>
      </c>
      <c r="T428">
        <f>IFERROR(VALUE(TRIM(SUBSTITUTE(VentesMagasins!$L428,".",","))),0)</f>
        <v>2</v>
      </c>
      <c r="U428">
        <f t="shared" si="19"/>
        <v>2</v>
      </c>
      <c r="V428" t="str">
        <f t="shared" si="20"/>
        <v>faible</v>
      </c>
      <c r="W428" t="str">
        <f>_xlfn.XLOOKUP(VentesMagasins!$B428,Clients!ClientID,Région)</f>
        <v>Est</v>
      </c>
      <c r="X428" t="str">
        <f>INDEX(TypeClient,MATCH(VentesMagasins!$B428,Clients!ClientID))</f>
        <v>Fidèle</v>
      </c>
      <c r="Y428" t="str">
        <v>janv</v>
      </c>
    </row>
    <row r="429" spans="1:25" x14ac:dyDescent="0.25">
      <c r="A429" s="2">
        <v>428</v>
      </c>
      <c r="B429" s="12" t="s">
        <v>155</v>
      </c>
      <c r="C429" s="13">
        <v>45348</v>
      </c>
      <c r="D429" s="12" t="s">
        <v>322</v>
      </c>
      <c r="E429" s="14" t="s">
        <v>329</v>
      </c>
      <c r="F429" s="12" t="s">
        <v>341</v>
      </c>
      <c r="G429" s="2">
        <v>5</v>
      </c>
      <c r="H429" s="3">
        <v>413</v>
      </c>
      <c r="I429" s="14" t="s">
        <v>355</v>
      </c>
      <c r="J429" s="12" t="s">
        <v>752</v>
      </c>
      <c r="K429" s="2">
        <v>0</v>
      </c>
      <c r="L429" s="12" t="s">
        <v>332</v>
      </c>
      <c r="M429">
        <f>YEAR(VentesMagasins!$C429)</f>
        <v>2024</v>
      </c>
      <c r="N429" t="e" cm="1" vm="1">
        <f t="array" aca="1" ref="N429" ca="1">MONTH(DateVente)</f>
        <v>#VALUE!</v>
      </c>
      <c r="O429" t="str">
        <f>PROPER(VentesMagasins!$F429)</f>
        <v>Meuble</v>
      </c>
      <c r="P429">
        <f>VALUE(CLEAN(TRIM(SUBSTITUTE(VentesMagasins!$I429,".",","))))</f>
        <v>0.1</v>
      </c>
      <c r="Q429">
        <f>VALUE(TRIM(SUBSTITUTE(VentesMagasins!$J429,".",",")))</f>
        <v>2044.35</v>
      </c>
      <c r="R429">
        <f t="shared" si="18"/>
        <v>1839.915</v>
      </c>
      <c r="S429">
        <f>IF(VentesMagasins!$K429=1,(-1)*R429,R429)</f>
        <v>1839.915</v>
      </c>
      <c r="T429">
        <f>IFERROR(VALUE(TRIM(SUBSTITUTE(VentesMagasins!$L429,".",","))),0)</f>
        <v>4</v>
      </c>
      <c r="U429">
        <f t="shared" si="19"/>
        <v>4</v>
      </c>
      <c r="V429" t="str">
        <f t="shared" si="20"/>
        <v>moyenne</v>
      </c>
      <c r="W429" t="str">
        <f>_xlfn.XLOOKUP(VentesMagasins!$B429,Clients!ClientID,Région)</f>
        <v>Sud</v>
      </c>
      <c r="X429" t="str">
        <f>INDEX(TypeClient,MATCH(VentesMagasins!$B429,Clients!ClientID))</f>
        <v>Nouveau</v>
      </c>
      <c r="Y429" t="str">
        <v>févr</v>
      </c>
    </row>
    <row r="430" spans="1:25" x14ac:dyDescent="0.25">
      <c r="A430" s="2">
        <v>429</v>
      </c>
      <c r="B430" s="12" t="s">
        <v>196</v>
      </c>
      <c r="C430" s="13">
        <v>45015</v>
      </c>
      <c r="D430" s="12" t="s">
        <v>322</v>
      </c>
      <c r="E430" s="14" t="s">
        <v>334</v>
      </c>
      <c r="F430" s="12" t="s">
        <v>330</v>
      </c>
      <c r="G430" s="2">
        <v>4</v>
      </c>
      <c r="H430" s="3">
        <v>224</v>
      </c>
      <c r="I430" s="14" t="s">
        <v>335</v>
      </c>
      <c r="J430" s="12" t="s">
        <v>753</v>
      </c>
      <c r="K430" s="2">
        <v>0</v>
      </c>
      <c r="L430" s="12" t="s">
        <v>327</v>
      </c>
      <c r="M430">
        <f>YEAR(VentesMagasins!$C430)</f>
        <v>2023</v>
      </c>
      <c r="N430" t="e" cm="1" vm="1">
        <f t="array" aca="1" ref="N430" ca="1">MONTH(DateVente)</f>
        <v>#VALUE!</v>
      </c>
      <c r="O430" t="str">
        <f>PROPER(VentesMagasins!$F430)</f>
        <v>Décoration</v>
      </c>
      <c r="P430">
        <f>VALUE(CLEAN(TRIM(SUBSTITUTE(VentesMagasins!$I430,".",","))))</f>
        <v>0</v>
      </c>
      <c r="Q430">
        <f>VALUE(TRIM(SUBSTITUTE(VentesMagasins!$J430,".",",")))</f>
        <v>896</v>
      </c>
      <c r="R430">
        <f t="shared" si="18"/>
        <v>896</v>
      </c>
      <c r="S430">
        <f>IF(VentesMagasins!$K430=1,(-1)*R430,R430)</f>
        <v>896</v>
      </c>
      <c r="T430">
        <f>IFERROR(VALUE(TRIM(SUBSTITUTE(VentesMagasins!$L430,".",","))),0)</f>
        <v>5</v>
      </c>
      <c r="U430">
        <f t="shared" si="19"/>
        <v>5</v>
      </c>
      <c r="V430" t="str">
        <f t="shared" si="20"/>
        <v>élévé</v>
      </c>
      <c r="W430" t="str">
        <f>_xlfn.XLOOKUP(VentesMagasins!$B430,Clients!ClientID,Région)</f>
        <v>Centre</v>
      </c>
      <c r="X430" t="str">
        <f>INDEX(TypeClient,MATCH(VentesMagasins!$B430,Clients!ClientID))</f>
        <v>Nouveau</v>
      </c>
      <c r="Y430" t="str">
        <v>mars</v>
      </c>
    </row>
    <row r="431" spans="1:25" x14ac:dyDescent="0.25">
      <c r="A431" s="2">
        <v>430</v>
      </c>
      <c r="B431" s="12" t="s">
        <v>235</v>
      </c>
      <c r="C431" s="13">
        <v>45869</v>
      </c>
      <c r="D431" s="12" t="s">
        <v>338</v>
      </c>
      <c r="E431" s="14" t="s">
        <v>348</v>
      </c>
      <c r="F431" s="12" t="s">
        <v>688</v>
      </c>
      <c r="G431" s="2">
        <v>5</v>
      </c>
      <c r="H431" s="3">
        <v>270</v>
      </c>
      <c r="I431" s="14" t="s">
        <v>335</v>
      </c>
      <c r="J431" s="12" t="s">
        <v>460</v>
      </c>
      <c r="K431" s="2">
        <v>0</v>
      </c>
      <c r="L431" s="12" t="s">
        <v>332</v>
      </c>
      <c r="M431">
        <f>YEAR(VentesMagasins!$C431)</f>
        <v>2025</v>
      </c>
      <c r="N431" t="e" cm="1" vm="1">
        <f t="array" aca="1" ref="N431" ca="1">MONTH(DateVente)</f>
        <v>#VALUE!</v>
      </c>
      <c r="O431" t="str">
        <f>PROPER(VentesMagasins!$F431)</f>
        <v>Décoration</v>
      </c>
      <c r="P431">
        <f>VALUE(CLEAN(TRIM(SUBSTITUTE(VentesMagasins!$I431,".",","))))</f>
        <v>0</v>
      </c>
      <c r="Q431">
        <f>VALUE(TRIM(SUBSTITUTE(VentesMagasins!$J431,".",",")))</f>
        <v>1350</v>
      </c>
      <c r="R431">
        <f t="shared" si="18"/>
        <v>1350</v>
      </c>
      <c r="S431">
        <f>IF(VentesMagasins!$K431=1,(-1)*R431,R431)</f>
        <v>1350</v>
      </c>
      <c r="T431">
        <f>IFERROR(VALUE(TRIM(SUBSTITUTE(VentesMagasins!$L431,".",","))),0)</f>
        <v>4</v>
      </c>
      <c r="U431">
        <f t="shared" si="19"/>
        <v>4</v>
      </c>
      <c r="V431" t="str">
        <f t="shared" si="20"/>
        <v>moyenne</v>
      </c>
      <c r="W431" t="str">
        <f>_xlfn.XLOOKUP(VentesMagasins!$B431,Clients!ClientID,Région)</f>
        <v>Sud</v>
      </c>
      <c r="X431" t="str">
        <f>INDEX(TypeClient,MATCH(VentesMagasins!$B431,Clients!ClientID))</f>
        <v>Fidèle</v>
      </c>
      <c r="Y431" t="str">
        <v>juil</v>
      </c>
    </row>
    <row r="432" spans="1:25" x14ac:dyDescent="0.25">
      <c r="A432" s="2">
        <v>431</v>
      </c>
      <c r="B432" s="12" t="s">
        <v>54</v>
      </c>
      <c r="C432" s="13">
        <v>45658</v>
      </c>
      <c r="D432" s="12" t="s">
        <v>322</v>
      </c>
      <c r="E432" s="14" t="s">
        <v>329</v>
      </c>
      <c r="F432" s="12" t="s">
        <v>341</v>
      </c>
      <c r="G432" s="2">
        <v>1</v>
      </c>
      <c r="H432" s="3">
        <v>455</v>
      </c>
      <c r="I432" s="14" t="s">
        <v>325</v>
      </c>
      <c r="J432" s="12" t="s">
        <v>754</v>
      </c>
      <c r="K432" s="2">
        <v>0</v>
      </c>
      <c r="L432" s="12" t="s">
        <v>337</v>
      </c>
      <c r="M432">
        <f>YEAR(VentesMagasins!$C432)</f>
        <v>2025</v>
      </c>
      <c r="N432" t="e" cm="1" vm="1">
        <f t="array" aca="1" ref="N432" ca="1">MONTH(DateVente)</f>
        <v>#VALUE!</v>
      </c>
      <c r="O432" t="str">
        <f>PROPER(VentesMagasins!$F432)</f>
        <v>Meuble</v>
      </c>
      <c r="P432">
        <f>VALUE(CLEAN(TRIM(SUBSTITUTE(VentesMagasins!$I432,".",","))))</f>
        <v>0.15</v>
      </c>
      <c r="Q432">
        <f>VALUE(TRIM(SUBSTITUTE(VentesMagasins!$J432,".",",")))</f>
        <v>386.75</v>
      </c>
      <c r="R432">
        <f t="shared" si="18"/>
        <v>328.73750000000001</v>
      </c>
      <c r="S432">
        <f>IF(VentesMagasins!$K432=1,(-1)*R432,R432)</f>
        <v>328.73750000000001</v>
      </c>
      <c r="T432">
        <f>IFERROR(VALUE(TRIM(SUBSTITUTE(VentesMagasins!$L432,".",","))),0)</f>
        <v>3</v>
      </c>
      <c r="U432">
        <f t="shared" si="19"/>
        <v>3</v>
      </c>
      <c r="V432" t="str">
        <f t="shared" si="20"/>
        <v>moyenne</v>
      </c>
      <c r="W432" t="str">
        <f>_xlfn.XLOOKUP(VentesMagasins!$B432,Clients!ClientID,Région)</f>
        <v>Centre</v>
      </c>
      <c r="X432" t="str">
        <f>INDEX(TypeClient,MATCH(VentesMagasins!$B432,Clients!ClientID))</f>
        <v>Nouveau</v>
      </c>
      <c r="Y432" t="str">
        <v>janv</v>
      </c>
    </row>
    <row r="433" spans="1:25" x14ac:dyDescent="0.25">
      <c r="A433" s="2">
        <v>432</v>
      </c>
      <c r="B433" s="12" t="s">
        <v>63</v>
      </c>
      <c r="C433" s="13">
        <v>45261</v>
      </c>
      <c r="D433" s="12" t="s">
        <v>338</v>
      </c>
      <c r="E433" s="14" t="s">
        <v>364</v>
      </c>
      <c r="F433" s="12" t="s">
        <v>324</v>
      </c>
      <c r="G433" s="2">
        <v>1</v>
      </c>
      <c r="H433" s="3">
        <v>351</v>
      </c>
      <c r="I433" s="14" t="s">
        <v>325</v>
      </c>
      <c r="J433" s="12" t="s">
        <v>755</v>
      </c>
      <c r="K433" s="2">
        <v>0</v>
      </c>
      <c r="L433" s="12" t="s">
        <v>327</v>
      </c>
      <c r="M433">
        <f>YEAR(VentesMagasins!$C433)</f>
        <v>2023</v>
      </c>
      <c r="N433" t="e" cm="1" vm="1">
        <f t="array" aca="1" ref="N433" ca="1">MONTH(DateVente)</f>
        <v>#VALUE!</v>
      </c>
      <c r="O433" t="str">
        <f>PROPER(VentesMagasins!$F433)</f>
        <v>Électronique</v>
      </c>
      <c r="P433">
        <f>VALUE(CLEAN(TRIM(SUBSTITUTE(VentesMagasins!$I433,".",","))))</f>
        <v>0.15</v>
      </c>
      <c r="Q433">
        <f>VALUE(TRIM(SUBSTITUTE(VentesMagasins!$J433,".",",")))</f>
        <v>298.349999999999</v>
      </c>
      <c r="R433">
        <f t="shared" si="18"/>
        <v>253.59749999999914</v>
      </c>
      <c r="S433">
        <f>IF(VentesMagasins!$K433=1,(-1)*R433,R433)</f>
        <v>253.59749999999914</v>
      </c>
      <c r="T433">
        <f>IFERROR(VALUE(TRIM(SUBSTITUTE(VentesMagasins!$L433,".",","))),0)</f>
        <v>5</v>
      </c>
      <c r="U433">
        <f t="shared" si="19"/>
        <v>5</v>
      </c>
      <c r="V433" t="str">
        <f t="shared" si="20"/>
        <v>élévé</v>
      </c>
      <c r="W433" t="str">
        <f>_xlfn.XLOOKUP(VentesMagasins!$B433,Clients!ClientID,Région)</f>
        <v>Sud</v>
      </c>
      <c r="X433" t="str">
        <f>INDEX(TypeClient,MATCH(VentesMagasins!$B433,Clients!ClientID))</f>
        <v>Occasionnel</v>
      </c>
      <c r="Y433" t="str">
        <v>déc</v>
      </c>
    </row>
    <row r="434" spans="1:25" x14ac:dyDescent="0.25">
      <c r="A434" s="2">
        <v>433</v>
      </c>
      <c r="B434" s="12" t="s">
        <v>213</v>
      </c>
      <c r="C434" s="13">
        <v>45525</v>
      </c>
      <c r="D434" s="12" t="s">
        <v>333</v>
      </c>
      <c r="E434" s="14" t="s">
        <v>364</v>
      </c>
      <c r="F434" s="12" t="s">
        <v>341</v>
      </c>
      <c r="G434" s="2">
        <v>5</v>
      </c>
      <c r="H434" s="3">
        <v>234</v>
      </c>
      <c r="I434" s="14" t="s">
        <v>325</v>
      </c>
      <c r="J434" s="12" t="s">
        <v>756</v>
      </c>
      <c r="K434" s="2">
        <v>0</v>
      </c>
      <c r="L434" s="12" t="s">
        <v>352</v>
      </c>
      <c r="M434">
        <f>YEAR(VentesMagasins!$C434)</f>
        <v>2024</v>
      </c>
      <c r="N434" t="e" cm="1" vm="1">
        <f t="array" aca="1" ref="N434" ca="1">MONTH(DateVente)</f>
        <v>#VALUE!</v>
      </c>
      <c r="O434" t="str">
        <f>PROPER(VentesMagasins!$F434)</f>
        <v>Meuble</v>
      </c>
      <c r="P434">
        <f>VALUE(CLEAN(TRIM(SUBSTITUTE(VentesMagasins!$I434,".",","))))</f>
        <v>0.15</v>
      </c>
      <c r="Q434">
        <f>VALUE(TRIM(SUBSTITUTE(VentesMagasins!$J434,".",",")))</f>
        <v>994.5</v>
      </c>
      <c r="R434">
        <f t="shared" si="18"/>
        <v>845.32499999999993</v>
      </c>
      <c r="S434">
        <f>IF(VentesMagasins!$K434=1,(-1)*R434,R434)</f>
        <v>845.32499999999993</v>
      </c>
      <c r="T434">
        <f>IFERROR(VALUE(TRIM(SUBSTITUTE(VentesMagasins!$L434,".",","))),0)</f>
        <v>0</v>
      </c>
      <c r="U434">
        <f t="shared" si="19"/>
        <v>2</v>
      </c>
      <c r="V434" t="str">
        <f t="shared" si="20"/>
        <v>faible</v>
      </c>
      <c r="W434" t="str">
        <f>_xlfn.XLOOKUP(VentesMagasins!$B434,Clients!ClientID,Région)</f>
        <v>Centre</v>
      </c>
      <c r="X434" t="str">
        <f>INDEX(TypeClient,MATCH(VentesMagasins!$B434,Clients!ClientID))</f>
        <v>Fidèle</v>
      </c>
      <c r="Y434" t="str">
        <v>août</v>
      </c>
    </row>
    <row r="435" spans="1:25" x14ac:dyDescent="0.25">
      <c r="A435" s="2">
        <v>434</v>
      </c>
      <c r="B435" s="12" t="s">
        <v>270</v>
      </c>
      <c r="C435" s="13">
        <v>45290</v>
      </c>
      <c r="D435" s="12" t="s">
        <v>328</v>
      </c>
      <c r="E435" s="14" t="s">
        <v>348</v>
      </c>
      <c r="F435" s="12" t="s">
        <v>324</v>
      </c>
      <c r="G435" s="2">
        <v>1</v>
      </c>
      <c r="H435" s="3">
        <v>313</v>
      </c>
      <c r="I435" s="14" t="s">
        <v>335</v>
      </c>
      <c r="J435" s="12" t="s">
        <v>757</v>
      </c>
      <c r="K435" s="2">
        <v>0</v>
      </c>
      <c r="L435" s="12" t="s">
        <v>332</v>
      </c>
      <c r="M435">
        <f>YEAR(VentesMagasins!$C435)</f>
        <v>2023</v>
      </c>
      <c r="N435" t="e" cm="1" vm="1">
        <f t="array" aca="1" ref="N435" ca="1">MONTH(DateVente)</f>
        <v>#VALUE!</v>
      </c>
      <c r="O435" t="str">
        <f>PROPER(VentesMagasins!$F435)</f>
        <v>Électronique</v>
      </c>
      <c r="P435">
        <f>VALUE(CLEAN(TRIM(SUBSTITUTE(VentesMagasins!$I435,".",","))))</f>
        <v>0</v>
      </c>
      <c r="Q435">
        <f>VALUE(TRIM(SUBSTITUTE(VentesMagasins!$J435,".",",")))</f>
        <v>313</v>
      </c>
      <c r="R435">
        <f t="shared" si="18"/>
        <v>313</v>
      </c>
      <c r="S435">
        <f>IF(VentesMagasins!$K435=1,(-1)*R435,R435)</f>
        <v>313</v>
      </c>
      <c r="T435">
        <f>IFERROR(VALUE(TRIM(SUBSTITUTE(VentesMagasins!$L435,".",","))),0)</f>
        <v>4</v>
      </c>
      <c r="U435">
        <f t="shared" si="19"/>
        <v>4</v>
      </c>
      <c r="V435" t="str">
        <f t="shared" si="20"/>
        <v>moyenne</v>
      </c>
      <c r="W435" t="str">
        <f>_xlfn.XLOOKUP(VentesMagasins!$B435,Clients!ClientID,Région)</f>
        <v>Centre</v>
      </c>
      <c r="X435" t="str">
        <f>INDEX(TypeClient,MATCH(VentesMagasins!$B435,Clients!ClientID))</f>
        <v>Nouveau</v>
      </c>
      <c r="Y435" t="str">
        <v>déc</v>
      </c>
    </row>
    <row r="436" spans="1:25" x14ac:dyDescent="0.25">
      <c r="A436" s="2">
        <v>435</v>
      </c>
      <c r="B436" s="12" t="s">
        <v>98</v>
      </c>
      <c r="C436" s="13">
        <v>45615</v>
      </c>
      <c r="D436" s="12" t="s">
        <v>338</v>
      </c>
      <c r="E436" s="14" t="s">
        <v>339</v>
      </c>
      <c r="F436" s="12" t="s">
        <v>341</v>
      </c>
      <c r="G436" s="2">
        <v>2</v>
      </c>
      <c r="H436" s="3">
        <v>495</v>
      </c>
      <c r="I436" s="14" t="s">
        <v>335</v>
      </c>
      <c r="J436" s="12" t="s">
        <v>758</v>
      </c>
      <c r="K436" s="2">
        <v>0</v>
      </c>
      <c r="L436" s="12" t="s">
        <v>337</v>
      </c>
      <c r="M436">
        <f>YEAR(VentesMagasins!$C436)</f>
        <v>2024</v>
      </c>
      <c r="N436" t="e" cm="1" vm="1">
        <f t="array" aca="1" ref="N436" ca="1">MONTH(DateVente)</f>
        <v>#VALUE!</v>
      </c>
      <c r="O436" t="str">
        <f>PROPER(VentesMagasins!$F436)</f>
        <v>Meuble</v>
      </c>
      <c r="P436">
        <f>VALUE(CLEAN(TRIM(SUBSTITUTE(VentesMagasins!$I436,".",","))))</f>
        <v>0</v>
      </c>
      <c r="Q436">
        <f>VALUE(TRIM(SUBSTITUTE(VentesMagasins!$J436,".",",")))</f>
        <v>990</v>
      </c>
      <c r="R436">
        <f t="shared" si="18"/>
        <v>990</v>
      </c>
      <c r="S436">
        <f>IF(VentesMagasins!$K436=1,(-1)*R436,R436)</f>
        <v>990</v>
      </c>
      <c r="T436">
        <f>IFERROR(VALUE(TRIM(SUBSTITUTE(VentesMagasins!$L436,".",","))),0)</f>
        <v>3</v>
      </c>
      <c r="U436">
        <f t="shared" si="19"/>
        <v>3</v>
      </c>
      <c r="V436" t="str">
        <f t="shared" si="20"/>
        <v>moyenne</v>
      </c>
      <c r="W436" t="str">
        <f>_xlfn.XLOOKUP(VentesMagasins!$B436,Clients!ClientID,Région)</f>
        <v>Nord</v>
      </c>
      <c r="X436" t="str">
        <f>INDEX(TypeClient,MATCH(VentesMagasins!$B436,Clients!ClientID))</f>
        <v>Nouveau</v>
      </c>
      <c r="Y436" t="str">
        <v>nov</v>
      </c>
    </row>
    <row r="437" spans="1:25" x14ac:dyDescent="0.25">
      <c r="A437" s="2">
        <v>436</v>
      </c>
      <c r="B437" s="12" t="s">
        <v>148</v>
      </c>
      <c r="C437" s="13">
        <v>45766</v>
      </c>
      <c r="D437" s="12" t="s">
        <v>328</v>
      </c>
      <c r="E437" s="14" t="s">
        <v>329</v>
      </c>
      <c r="F437" s="12" t="s">
        <v>341</v>
      </c>
      <c r="G437" s="2">
        <v>1</v>
      </c>
      <c r="H437" s="3">
        <v>346</v>
      </c>
      <c r="I437" s="14" t="s">
        <v>342</v>
      </c>
      <c r="J437" s="12" t="s">
        <v>759</v>
      </c>
      <c r="K437" s="2">
        <v>0</v>
      </c>
      <c r="L437" s="12" t="s">
        <v>352</v>
      </c>
      <c r="M437">
        <f>YEAR(VentesMagasins!$C437)</f>
        <v>2025</v>
      </c>
      <c r="N437" t="e" cm="1" vm="1">
        <f t="array" aca="1" ref="N437" ca="1">MONTH(DateVente)</f>
        <v>#VALUE!</v>
      </c>
      <c r="O437" t="str">
        <f>PROPER(VentesMagasins!$F437)</f>
        <v>Meuble</v>
      </c>
      <c r="P437">
        <f>VALUE(CLEAN(TRIM(SUBSTITUTE(VentesMagasins!$I437,".",","))))</f>
        <v>0.05</v>
      </c>
      <c r="Q437">
        <f>VALUE(TRIM(SUBSTITUTE(VentesMagasins!$J437,".",",")))</f>
        <v>328.7</v>
      </c>
      <c r="R437">
        <f t="shared" si="18"/>
        <v>312.26499999999999</v>
      </c>
      <c r="S437">
        <f>IF(VentesMagasins!$K437=1,(-1)*R437,R437)</f>
        <v>312.26499999999999</v>
      </c>
      <c r="T437">
        <f>IFERROR(VALUE(TRIM(SUBSTITUTE(VentesMagasins!$L437,".",","))),0)</f>
        <v>0</v>
      </c>
      <c r="U437">
        <f t="shared" si="19"/>
        <v>2</v>
      </c>
      <c r="V437" t="str">
        <f t="shared" si="20"/>
        <v>faible</v>
      </c>
      <c r="W437" t="str">
        <f>_xlfn.XLOOKUP(VentesMagasins!$B437,Clients!ClientID,Région)</f>
        <v>Sud</v>
      </c>
      <c r="X437" t="str">
        <f>INDEX(TypeClient,MATCH(VentesMagasins!$B437,Clients!ClientID))</f>
        <v>Nouveau</v>
      </c>
      <c r="Y437" t="str">
        <v>avr</v>
      </c>
    </row>
    <row r="438" spans="1:25" x14ac:dyDescent="0.25">
      <c r="A438" s="2">
        <v>437</v>
      </c>
      <c r="B438" s="12" t="s">
        <v>112</v>
      </c>
      <c r="C438" s="13">
        <v>45718</v>
      </c>
      <c r="D438" s="12" t="s">
        <v>338</v>
      </c>
      <c r="E438" s="14" t="s">
        <v>329</v>
      </c>
      <c r="F438" s="12" t="s">
        <v>341</v>
      </c>
      <c r="G438" s="2">
        <v>4</v>
      </c>
      <c r="H438" s="3">
        <v>144</v>
      </c>
      <c r="I438" s="14" t="s">
        <v>335</v>
      </c>
      <c r="J438" s="12" t="s">
        <v>760</v>
      </c>
      <c r="K438" s="2">
        <v>0</v>
      </c>
      <c r="L438" s="12" t="s">
        <v>352</v>
      </c>
      <c r="M438">
        <f>YEAR(VentesMagasins!$C438)</f>
        <v>2025</v>
      </c>
      <c r="N438" t="e" cm="1" vm="1">
        <f t="array" aca="1" ref="N438" ca="1">MONTH(DateVente)</f>
        <v>#VALUE!</v>
      </c>
      <c r="O438" t="str">
        <f>PROPER(VentesMagasins!$F438)</f>
        <v>Meuble</v>
      </c>
      <c r="P438">
        <f>VALUE(CLEAN(TRIM(SUBSTITUTE(VentesMagasins!$I438,".",","))))</f>
        <v>0</v>
      </c>
      <c r="Q438">
        <f>VALUE(TRIM(SUBSTITUTE(VentesMagasins!$J438,".",",")))</f>
        <v>576</v>
      </c>
      <c r="R438">
        <f t="shared" si="18"/>
        <v>576</v>
      </c>
      <c r="S438">
        <f>IF(VentesMagasins!$K438=1,(-1)*R438,R438)</f>
        <v>576</v>
      </c>
      <c r="T438">
        <f>IFERROR(VALUE(TRIM(SUBSTITUTE(VentesMagasins!$L438,".",","))),0)</f>
        <v>0</v>
      </c>
      <c r="U438">
        <f t="shared" si="19"/>
        <v>2</v>
      </c>
      <c r="V438" t="str">
        <f t="shared" si="20"/>
        <v>faible</v>
      </c>
      <c r="W438" t="str">
        <f>_xlfn.XLOOKUP(VentesMagasins!$B438,Clients!ClientID,Région)</f>
        <v>Sud</v>
      </c>
      <c r="X438" t="str">
        <f>INDEX(TypeClient,MATCH(VentesMagasins!$B438,Clients!ClientID))</f>
        <v>Occasionnel</v>
      </c>
      <c r="Y438" t="str">
        <v>mars</v>
      </c>
    </row>
    <row r="439" spans="1:25" x14ac:dyDescent="0.25">
      <c r="A439" s="2">
        <v>438</v>
      </c>
      <c r="B439" s="12" t="s">
        <v>74</v>
      </c>
      <c r="C439" s="13">
        <v>45440</v>
      </c>
      <c r="D439" s="12" t="s">
        <v>333</v>
      </c>
      <c r="E439" s="14" t="s">
        <v>323</v>
      </c>
      <c r="F439" s="12" t="s">
        <v>341</v>
      </c>
      <c r="G439" s="2">
        <v>4</v>
      </c>
      <c r="H439" s="3">
        <v>413</v>
      </c>
      <c r="I439" s="14" t="s">
        <v>335</v>
      </c>
      <c r="J439" s="12" t="s">
        <v>761</v>
      </c>
      <c r="K439" s="2">
        <v>0</v>
      </c>
      <c r="L439" s="12" t="s">
        <v>344</v>
      </c>
      <c r="M439">
        <f>YEAR(VentesMagasins!$C439)</f>
        <v>2024</v>
      </c>
      <c r="N439" t="e" cm="1" vm="1">
        <f t="array" aca="1" ref="N439" ca="1">MONTH(DateVente)</f>
        <v>#VALUE!</v>
      </c>
      <c r="O439" t="str">
        <f>PROPER(VentesMagasins!$F439)</f>
        <v>Meuble</v>
      </c>
      <c r="P439">
        <f>VALUE(CLEAN(TRIM(SUBSTITUTE(VentesMagasins!$I439,".",","))))</f>
        <v>0</v>
      </c>
      <c r="Q439">
        <f>VALUE(TRIM(SUBSTITUTE(VentesMagasins!$J439,".",",")))</f>
        <v>1652</v>
      </c>
      <c r="R439">
        <f t="shared" si="18"/>
        <v>1652</v>
      </c>
      <c r="S439">
        <f>IF(VentesMagasins!$K439=1,(-1)*R439,R439)</f>
        <v>1652</v>
      </c>
      <c r="T439">
        <f>IFERROR(VALUE(TRIM(SUBSTITUTE(VentesMagasins!$L439,".",","))),0)</f>
        <v>2</v>
      </c>
      <c r="U439">
        <f t="shared" si="19"/>
        <v>2</v>
      </c>
      <c r="V439" t="str">
        <f t="shared" si="20"/>
        <v>faible</v>
      </c>
      <c r="W439" t="str">
        <f>_xlfn.XLOOKUP(VentesMagasins!$B439,Clients!ClientID,Région)</f>
        <v>Centre</v>
      </c>
      <c r="X439" t="str">
        <f>INDEX(TypeClient,MATCH(VentesMagasins!$B439,Clients!ClientID))</f>
        <v>Fidèle</v>
      </c>
      <c r="Y439" t="str">
        <v>mai</v>
      </c>
    </row>
    <row r="440" spans="1:25" x14ac:dyDescent="0.25">
      <c r="A440" s="2">
        <v>439</v>
      </c>
      <c r="B440" s="12" t="s">
        <v>218</v>
      </c>
      <c r="C440" s="13">
        <v>45977</v>
      </c>
      <c r="D440" s="12" t="s">
        <v>333</v>
      </c>
      <c r="E440" s="14" t="s">
        <v>323</v>
      </c>
      <c r="F440" s="12" t="s">
        <v>324</v>
      </c>
      <c r="G440" s="2">
        <v>4</v>
      </c>
      <c r="H440" s="3">
        <v>403</v>
      </c>
      <c r="I440" s="14" t="s">
        <v>355</v>
      </c>
      <c r="J440" s="12" t="s">
        <v>762</v>
      </c>
      <c r="K440" s="2">
        <v>0</v>
      </c>
      <c r="L440" s="12" t="s">
        <v>352</v>
      </c>
      <c r="M440">
        <f>YEAR(VentesMagasins!$C440)</f>
        <v>2025</v>
      </c>
      <c r="N440" t="e" cm="1" vm="1">
        <f t="array" aca="1" ref="N440" ca="1">MONTH(DateVente)</f>
        <v>#VALUE!</v>
      </c>
      <c r="O440" t="str">
        <f>PROPER(VentesMagasins!$F440)</f>
        <v>Électronique</v>
      </c>
      <c r="P440">
        <f>VALUE(CLEAN(TRIM(SUBSTITUTE(VentesMagasins!$I440,".",","))))</f>
        <v>0.1</v>
      </c>
      <c r="Q440">
        <f>VALUE(TRIM(SUBSTITUTE(VentesMagasins!$J440,".",",")))</f>
        <v>1450.8</v>
      </c>
      <c r="R440">
        <f t="shared" si="18"/>
        <v>1305.72</v>
      </c>
      <c r="S440">
        <f>IF(VentesMagasins!$K440=1,(-1)*R440,R440)</f>
        <v>1305.72</v>
      </c>
      <c r="T440">
        <f>IFERROR(VALUE(TRIM(SUBSTITUTE(VentesMagasins!$L440,".",","))),0)</f>
        <v>0</v>
      </c>
      <c r="U440">
        <f t="shared" si="19"/>
        <v>2</v>
      </c>
      <c r="V440" t="str">
        <f t="shared" si="20"/>
        <v>faible</v>
      </c>
      <c r="W440" t="str">
        <f>_xlfn.XLOOKUP(VentesMagasins!$B440,Clients!ClientID,Région)</f>
        <v>Est</v>
      </c>
      <c r="X440" t="str">
        <f>INDEX(TypeClient,MATCH(VentesMagasins!$B440,Clients!ClientID))</f>
        <v>Fidèle</v>
      </c>
      <c r="Y440" t="str">
        <v>nov</v>
      </c>
    </row>
    <row r="441" spans="1:25" x14ac:dyDescent="0.25">
      <c r="A441" s="2">
        <v>440</v>
      </c>
      <c r="B441" s="12" t="s">
        <v>262</v>
      </c>
      <c r="C441" s="13">
        <v>45374</v>
      </c>
      <c r="D441" s="12" t="s">
        <v>322</v>
      </c>
      <c r="E441" s="14" t="s">
        <v>364</v>
      </c>
      <c r="F441" s="12" t="s">
        <v>324</v>
      </c>
      <c r="G441" s="2">
        <v>3</v>
      </c>
      <c r="H441" s="3">
        <v>429</v>
      </c>
      <c r="I441" s="14" t="s">
        <v>342</v>
      </c>
      <c r="J441" s="12" t="s">
        <v>763</v>
      </c>
      <c r="K441" s="2">
        <v>0</v>
      </c>
      <c r="L441" s="12" t="s">
        <v>332</v>
      </c>
      <c r="M441">
        <f>YEAR(VentesMagasins!$C441)</f>
        <v>2024</v>
      </c>
      <c r="N441" t="e" cm="1" vm="1">
        <f t="array" aca="1" ref="N441" ca="1">MONTH(DateVente)</f>
        <v>#VALUE!</v>
      </c>
      <c r="O441" t="str">
        <f>PROPER(VentesMagasins!$F441)</f>
        <v>Électronique</v>
      </c>
      <c r="P441">
        <f>VALUE(CLEAN(TRIM(SUBSTITUTE(VentesMagasins!$I441,".",","))))</f>
        <v>0.05</v>
      </c>
      <c r="Q441">
        <f>VALUE(TRIM(SUBSTITUTE(VentesMagasins!$J441,".",",")))</f>
        <v>1222.6499999999901</v>
      </c>
      <c r="R441">
        <f t="shared" si="18"/>
        <v>1161.5174999999906</v>
      </c>
      <c r="S441">
        <f>IF(VentesMagasins!$K441=1,(-1)*R441,R441)</f>
        <v>1161.5174999999906</v>
      </c>
      <c r="T441">
        <f>IFERROR(VALUE(TRIM(SUBSTITUTE(VentesMagasins!$L441,".",","))),0)</f>
        <v>4</v>
      </c>
      <c r="U441">
        <f t="shared" si="19"/>
        <v>4</v>
      </c>
      <c r="V441" t="str">
        <f t="shared" si="20"/>
        <v>moyenne</v>
      </c>
      <c r="W441" t="str">
        <f>_xlfn.XLOOKUP(VentesMagasins!$B441,Clients!ClientID,Région)</f>
        <v>Nord</v>
      </c>
      <c r="X441" t="str">
        <f>INDEX(TypeClient,MATCH(VentesMagasins!$B441,Clients!ClientID))</f>
        <v>Fidèle</v>
      </c>
      <c r="Y441" t="str">
        <v>mars</v>
      </c>
    </row>
    <row r="442" spans="1:25" x14ac:dyDescent="0.25">
      <c r="A442" s="2">
        <v>441</v>
      </c>
      <c r="B442" s="12" t="s">
        <v>23</v>
      </c>
      <c r="C442" s="13">
        <v>45820</v>
      </c>
      <c r="D442" s="12" t="s">
        <v>333</v>
      </c>
      <c r="E442" s="14" t="s">
        <v>323</v>
      </c>
      <c r="F442" s="12" t="s">
        <v>324</v>
      </c>
      <c r="G442" s="2">
        <v>5</v>
      </c>
      <c r="H442" s="3">
        <v>137</v>
      </c>
      <c r="I442" s="14" t="s">
        <v>325</v>
      </c>
      <c r="J442" s="12" t="s">
        <v>764</v>
      </c>
      <c r="K442" s="2">
        <v>0</v>
      </c>
      <c r="L442" s="12" t="s">
        <v>352</v>
      </c>
      <c r="M442">
        <f>YEAR(VentesMagasins!$C442)</f>
        <v>2025</v>
      </c>
      <c r="N442" t="e" cm="1" vm="1">
        <f t="array" aca="1" ref="N442" ca="1">MONTH(DateVente)</f>
        <v>#VALUE!</v>
      </c>
      <c r="O442" t="str">
        <f>PROPER(VentesMagasins!$F442)</f>
        <v>Électronique</v>
      </c>
      <c r="P442">
        <f>VALUE(CLEAN(TRIM(SUBSTITUTE(VentesMagasins!$I442,".",","))))</f>
        <v>0.15</v>
      </c>
      <c r="Q442">
        <f>VALUE(TRIM(SUBSTITUTE(VentesMagasins!$J442,".",",")))</f>
        <v>582.25</v>
      </c>
      <c r="R442">
        <f t="shared" si="18"/>
        <v>494.91249999999997</v>
      </c>
      <c r="S442">
        <f>IF(VentesMagasins!$K442=1,(-1)*R442,R442)</f>
        <v>494.91249999999997</v>
      </c>
      <c r="T442">
        <f>IFERROR(VALUE(TRIM(SUBSTITUTE(VentesMagasins!$L442,".",","))),0)</f>
        <v>0</v>
      </c>
      <c r="U442">
        <f t="shared" si="19"/>
        <v>2</v>
      </c>
      <c r="V442" t="str">
        <f t="shared" si="20"/>
        <v>faible</v>
      </c>
      <c r="W442" t="str">
        <f>_xlfn.XLOOKUP(VentesMagasins!$B442,Clients!ClientID,Région)</f>
        <v>Nord</v>
      </c>
      <c r="X442" t="str">
        <f>INDEX(TypeClient,MATCH(VentesMagasins!$B442,Clients!ClientID))</f>
        <v>Nouveau</v>
      </c>
      <c r="Y442" t="str">
        <v>juin</v>
      </c>
    </row>
    <row r="443" spans="1:25" x14ac:dyDescent="0.25">
      <c r="A443" s="2">
        <v>442</v>
      </c>
      <c r="B443" s="12" t="s">
        <v>88</v>
      </c>
      <c r="C443" s="13">
        <v>45550</v>
      </c>
      <c r="D443" s="12" t="s">
        <v>449</v>
      </c>
      <c r="E443" s="14" t="s">
        <v>348</v>
      </c>
      <c r="F443" s="12" t="s">
        <v>341</v>
      </c>
      <c r="G443" s="2">
        <v>2</v>
      </c>
      <c r="H443" s="3">
        <v>114</v>
      </c>
      <c r="I443" s="14" t="s">
        <v>325</v>
      </c>
      <c r="J443" s="12" t="s">
        <v>765</v>
      </c>
      <c r="K443" s="2">
        <v>0</v>
      </c>
      <c r="L443" s="12" t="s">
        <v>369</v>
      </c>
      <c r="M443">
        <f>YEAR(VentesMagasins!$C443)</f>
        <v>2024</v>
      </c>
      <c r="N443" t="e" cm="1" vm="1">
        <f t="array" aca="1" ref="N443" ca="1">MONTH(DateVente)</f>
        <v>#VALUE!</v>
      </c>
      <c r="O443" t="str">
        <f>PROPER(VentesMagasins!$F443)</f>
        <v>Meuble</v>
      </c>
      <c r="P443">
        <f>VALUE(CLEAN(TRIM(SUBSTITUTE(VentesMagasins!$I443,".",","))))</f>
        <v>0.15</v>
      </c>
      <c r="Q443">
        <f>VALUE(TRIM(SUBSTITUTE(VentesMagasins!$J443,".",",")))</f>
        <v>174.42</v>
      </c>
      <c r="R443">
        <f t="shared" si="18"/>
        <v>148.25699999999998</v>
      </c>
      <c r="S443">
        <f>IF(VentesMagasins!$K443=1,(-1)*R443,R443)</f>
        <v>148.25699999999998</v>
      </c>
      <c r="T443">
        <f>IFERROR(VALUE(TRIM(SUBSTITUTE(VentesMagasins!$L443,".",","))),0)</f>
        <v>1</v>
      </c>
      <c r="U443">
        <f t="shared" si="19"/>
        <v>1</v>
      </c>
      <c r="V443" t="str">
        <f t="shared" si="20"/>
        <v>faible</v>
      </c>
      <c r="W443" t="str">
        <f>_xlfn.XLOOKUP(VentesMagasins!$B443,Clients!ClientID,Région)</f>
        <v>Centre</v>
      </c>
      <c r="X443" t="str">
        <f>INDEX(TypeClient,MATCH(VentesMagasins!$B443,Clients!ClientID))</f>
        <v>Nouveau</v>
      </c>
      <c r="Y443" t="str">
        <v>sept</v>
      </c>
    </row>
    <row r="444" spans="1:25" x14ac:dyDescent="0.25">
      <c r="A444" s="2">
        <v>443</v>
      </c>
      <c r="B444" s="12" t="s">
        <v>185</v>
      </c>
      <c r="C444" s="13">
        <v>45128</v>
      </c>
      <c r="D444" s="12" t="s">
        <v>338</v>
      </c>
      <c r="E444" s="14" t="s">
        <v>362</v>
      </c>
      <c r="F444" s="12" t="s">
        <v>330</v>
      </c>
      <c r="G444" s="2">
        <v>4</v>
      </c>
      <c r="H444" s="3">
        <v>490</v>
      </c>
      <c r="I444" s="14" t="s">
        <v>325</v>
      </c>
      <c r="J444" s="12" t="s">
        <v>766</v>
      </c>
      <c r="K444" s="2">
        <v>0</v>
      </c>
      <c r="L444" s="12" t="s">
        <v>337</v>
      </c>
      <c r="M444">
        <f>YEAR(VentesMagasins!$C444)</f>
        <v>2023</v>
      </c>
      <c r="N444" t="e" cm="1" vm="1">
        <f t="array" aca="1" ref="N444" ca="1">MONTH(DateVente)</f>
        <v>#VALUE!</v>
      </c>
      <c r="O444" t="str">
        <f>PROPER(VentesMagasins!$F444)</f>
        <v>Décoration</v>
      </c>
      <c r="P444">
        <f>VALUE(CLEAN(TRIM(SUBSTITUTE(VentesMagasins!$I444,".",","))))</f>
        <v>0.15</v>
      </c>
      <c r="Q444">
        <f>VALUE(TRIM(SUBSTITUTE(VentesMagasins!$J444,".",",")))</f>
        <v>1499.4</v>
      </c>
      <c r="R444">
        <f t="shared" si="18"/>
        <v>1274.49</v>
      </c>
      <c r="S444">
        <f>IF(VentesMagasins!$K444=1,(-1)*R444,R444)</f>
        <v>1274.49</v>
      </c>
      <c r="T444">
        <f>IFERROR(VALUE(TRIM(SUBSTITUTE(VentesMagasins!$L444,".",","))),0)</f>
        <v>3</v>
      </c>
      <c r="U444">
        <f t="shared" si="19"/>
        <v>3</v>
      </c>
      <c r="V444" t="str">
        <f t="shared" si="20"/>
        <v>moyenne</v>
      </c>
      <c r="W444" t="str">
        <f>_xlfn.XLOOKUP(VentesMagasins!$B444,Clients!ClientID,Région)</f>
        <v>Centre</v>
      </c>
      <c r="X444" t="str">
        <f>INDEX(TypeClient,MATCH(VentesMagasins!$B444,Clients!ClientID))</f>
        <v>Occasionnel</v>
      </c>
      <c r="Y444" t="str">
        <v>juil</v>
      </c>
    </row>
    <row r="445" spans="1:25" x14ac:dyDescent="0.25">
      <c r="A445" s="2">
        <v>444</v>
      </c>
      <c r="B445" s="12" t="s">
        <v>64</v>
      </c>
      <c r="C445" s="13">
        <v>45356</v>
      </c>
      <c r="D445" s="12" t="s">
        <v>328</v>
      </c>
      <c r="E445" s="14" t="s">
        <v>334</v>
      </c>
      <c r="F445" s="12" t="s">
        <v>330</v>
      </c>
      <c r="G445" s="2">
        <v>1</v>
      </c>
      <c r="H445" s="3">
        <v>456</v>
      </c>
      <c r="I445" s="14" t="s">
        <v>335</v>
      </c>
      <c r="J445" s="12" t="s">
        <v>767</v>
      </c>
      <c r="K445" s="2">
        <v>0</v>
      </c>
      <c r="L445" s="12" t="s">
        <v>344</v>
      </c>
      <c r="M445">
        <f>YEAR(VentesMagasins!$C445)</f>
        <v>2024</v>
      </c>
      <c r="N445" t="e" cm="1" vm="1">
        <f t="array" aca="1" ref="N445" ca="1">MONTH(DateVente)</f>
        <v>#VALUE!</v>
      </c>
      <c r="O445" t="str">
        <f>PROPER(VentesMagasins!$F445)</f>
        <v>Décoration</v>
      </c>
      <c r="P445">
        <f>VALUE(CLEAN(TRIM(SUBSTITUTE(VentesMagasins!$I445,".",","))))</f>
        <v>0</v>
      </c>
      <c r="Q445">
        <f>VALUE(TRIM(SUBSTITUTE(VentesMagasins!$J445,".",",")))</f>
        <v>456</v>
      </c>
      <c r="R445">
        <f t="shared" si="18"/>
        <v>456</v>
      </c>
      <c r="S445">
        <f>IF(VentesMagasins!$K445=1,(-1)*R445,R445)</f>
        <v>456</v>
      </c>
      <c r="T445">
        <f>IFERROR(VALUE(TRIM(SUBSTITUTE(VentesMagasins!$L445,".",","))),0)</f>
        <v>2</v>
      </c>
      <c r="U445">
        <f t="shared" si="19"/>
        <v>2</v>
      </c>
      <c r="V445" t="str">
        <f t="shared" si="20"/>
        <v>faible</v>
      </c>
      <c r="W445" t="str">
        <f>_xlfn.XLOOKUP(VentesMagasins!$B445,Clients!ClientID,Région)</f>
        <v>Sud</v>
      </c>
      <c r="X445" t="str">
        <f>INDEX(TypeClient,MATCH(VentesMagasins!$B445,Clients!ClientID))</f>
        <v>Nouveau</v>
      </c>
      <c r="Y445" t="str">
        <v>mars</v>
      </c>
    </row>
    <row r="446" spans="1:25" x14ac:dyDescent="0.25">
      <c r="A446" s="2">
        <v>445</v>
      </c>
      <c r="B446" s="12" t="s">
        <v>178</v>
      </c>
      <c r="C446" s="13">
        <v>45762</v>
      </c>
      <c r="D446" s="12" t="s">
        <v>338</v>
      </c>
      <c r="E446" s="14" t="s">
        <v>364</v>
      </c>
      <c r="F446" s="12" t="s">
        <v>330</v>
      </c>
      <c r="G446" s="2">
        <v>5</v>
      </c>
      <c r="H446" s="3">
        <v>65</v>
      </c>
      <c r="I446" s="14" t="s">
        <v>335</v>
      </c>
      <c r="J446" s="12" t="s">
        <v>768</v>
      </c>
      <c r="K446" s="2">
        <v>0</v>
      </c>
      <c r="L446" s="12" t="s">
        <v>332</v>
      </c>
      <c r="M446">
        <f>YEAR(VentesMagasins!$C446)</f>
        <v>2025</v>
      </c>
      <c r="N446" t="e" cm="1" vm="1">
        <f t="array" aca="1" ref="N446" ca="1">MONTH(DateVente)</f>
        <v>#VALUE!</v>
      </c>
      <c r="O446" t="str">
        <f>PROPER(VentesMagasins!$F446)</f>
        <v>Décoration</v>
      </c>
      <c r="P446">
        <f>VALUE(CLEAN(TRIM(SUBSTITUTE(VentesMagasins!$I446,".",","))))</f>
        <v>0</v>
      </c>
      <c r="Q446">
        <f>VALUE(TRIM(SUBSTITUTE(VentesMagasins!$J446,".",",")))</f>
        <v>325</v>
      </c>
      <c r="R446">
        <f t="shared" si="18"/>
        <v>325</v>
      </c>
      <c r="S446">
        <f>IF(VentesMagasins!$K446=1,(-1)*R446,R446)</f>
        <v>325</v>
      </c>
      <c r="T446">
        <f>IFERROR(VALUE(TRIM(SUBSTITUTE(VentesMagasins!$L446,".",","))),0)</f>
        <v>4</v>
      </c>
      <c r="U446">
        <f t="shared" si="19"/>
        <v>4</v>
      </c>
      <c r="V446" t="str">
        <f t="shared" si="20"/>
        <v>moyenne</v>
      </c>
      <c r="W446" t="str">
        <f>_xlfn.XLOOKUP(VentesMagasins!$B446,Clients!ClientID,Région)</f>
        <v>Ouest</v>
      </c>
      <c r="X446" t="str">
        <f>INDEX(TypeClient,MATCH(VentesMagasins!$B446,Clients!ClientID))</f>
        <v>Occasionnel</v>
      </c>
      <c r="Y446" t="str">
        <v>avr</v>
      </c>
    </row>
    <row r="447" spans="1:25" x14ac:dyDescent="0.25">
      <c r="A447" s="2">
        <v>446</v>
      </c>
      <c r="B447" s="12" t="s">
        <v>152</v>
      </c>
      <c r="C447" s="13">
        <v>45978</v>
      </c>
      <c r="D447" s="12" t="s">
        <v>333</v>
      </c>
      <c r="E447" s="14" t="s">
        <v>323</v>
      </c>
      <c r="F447" s="12" t="s">
        <v>330</v>
      </c>
      <c r="G447" s="2">
        <v>2</v>
      </c>
      <c r="H447" s="3">
        <v>397</v>
      </c>
      <c r="I447" s="14" t="s">
        <v>355</v>
      </c>
      <c r="J447" s="12" t="s">
        <v>769</v>
      </c>
      <c r="K447" s="2">
        <v>1</v>
      </c>
      <c r="L447" s="12" t="s">
        <v>332</v>
      </c>
      <c r="M447">
        <f>YEAR(VentesMagasins!$C447)</f>
        <v>2025</v>
      </c>
      <c r="N447" t="e" cm="1" vm="1">
        <f t="array" aca="1" ref="N447" ca="1">MONTH(DateVente)</f>
        <v>#VALUE!</v>
      </c>
      <c r="O447" t="str">
        <f>PROPER(VentesMagasins!$F447)</f>
        <v>Décoration</v>
      </c>
      <c r="P447">
        <f>VALUE(CLEAN(TRIM(SUBSTITUTE(VentesMagasins!$I447,".",","))))</f>
        <v>0.1</v>
      </c>
      <c r="Q447">
        <f>VALUE(TRIM(SUBSTITUTE(VentesMagasins!$J447,".",",")))</f>
        <v>714.6</v>
      </c>
      <c r="R447">
        <f t="shared" si="18"/>
        <v>643.14</v>
      </c>
      <c r="S447">
        <f>IF(VentesMagasins!$K447=1,(-1)*R447,R447)</f>
        <v>-643.14</v>
      </c>
      <c r="T447">
        <f>IFERROR(VALUE(TRIM(SUBSTITUTE(VentesMagasins!$L447,".",","))),0)</f>
        <v>4</v>
      </c>
      <c r="U447">
        <f t="shared" si="19"/>
        <v>4</v>
      </c>
      <c r="V447" t="str">
        <f t="shared" si="20"/>
        <v>moyenne</v>
      </c>
      <c r="W447" t="str">
        <f>_xlfn.XLOOKUP(VentesMagasins!$B447,Clients!ClientID,Région)</f>
        <v>Est</v>
      </c>
      <c r="X447" t="str">
        <f>INDEX(TypeClient,MATCH(VentesMagasins!$B447,Clients!ClientID))</f>
        <v>Fidèle</v>
      </c>
      <c r="Y447" t="str">
        <v>nov</v>
      </c>
    </row>
    <row r="448" spans="1:25" x14ac:dyDescent="0.25">
      <c r="A448" s="2">
        <v>447</v>
      </c>
      <c r="B448" s="12" t="s">
        <v>96</v>
      </c>
      <c r="C448" s="13">
        <v>45545</v>
      </c>
      <c r="D448" s="12" t="s">
        <v>328</v>
      </c>
      <c r="E448" s="14" t="s">
        <v>364</v>
      </c>
      <c r="F448" s="12" t="s">
        <v>324</v>
      </c>
      <c r="G448" s="2">
        <v>2</v>
      </c>
      <c r="H448" s="3">
        <v>472</v>
      </c>
      <c r="I448" s="14" t="s">
        <v>325</v>
      </c>
      <c r="J448" s="12" t="s">
        <v>770</v>
      </c>
      <c r="K448" s="2">
        <v>0</v>
      </c>
      <c r="L448" s="12" t="s">
        <v>337</v>
      </c>
      <c r="M448">
        <f>YEAR(VentesMagasins!$C448)</f>
        <v>2024</v>
      </c>
      <c r="N448" t="e" cm="1" vm="1">
        <f t="array" aca="1" ref="N448" ca="1">MONTH(DateVente)</f>
        <v>#VALUE!</v>
      </c>
      <c r="O448" t="str">
        <f>PROPER(VentesMagasins!$F448)</f>
        <v>Électronique</v>
      </c>
      <c r="P448">
        <f>VALUE(CLEAN(TRIM(SUBSTITUTE(VentesMagasins!$I448,".",","))))</f>
        <v>0.15</v>
      </c>
      <c r="Q448">
        <f>VALUE(TRIM(SUBSTITUTE(VentesMagasins!$J448,".",",")))</f>
        <v>802.4</v>
      </c>
      <c r="R448">
        <f t="shared" si="18"/>
        <v>682.04</v>
      </c>
      <c r="S448">
        <f>IF(VentesMagasins!$K448=1,(-1)*R448,R448)</f>
        <v>682.04</v>
      </c>
      <c r="T448">
        <f>IFERROR(VALUE(TRIM(SUBSTITUTE(VentesMagasins!$L448,".",","))),0)</f>
        <v>3</v>
      </c>
      <c r="U448">
        <f t="shared" si="19"/>
        <v>3</v>
      </c>
      <c r="V448" t="str">
        <f t="shared" si="20"/>
        <v>moyenne</v>
      </c>
      <c r="W448" t="str">
        <f>_xlfn.XLOOKUP(VentesMagasins!$B448,Clients!ClientID,Région)</f>
        <v>Nord</v>
      </c>
      <c r="X448" t="str">
        <f>INDEX(TypeClient,MATCH(VentesMagasins!$B448,Clients!ClientID))</f>
        <v>Nouveau</v>
      </c>
      <c r="Y448" t="str">
        <v>sept</v>
      </c>
    </row>
    <row r="449" spans="1:25" x14ac:dyDescent="0.25">
      <c r="A449" s="2">
        <v>448</v>
      </c>
      <c r="B449" s="12" t="s">
        <v>181</v>
      </c>
      <c r="C449" s="13">
        <v>45469</v>
      </c>
      <c r="D449" s="12" t="s">
        <v>328</v>
      </c>
      <c r="E449" s="14" t="s">
        <v>364</v>
      </c>
      <c r="F449" s="12" t="s">
        <v>324</v>
      </c>
      <c r="G449" s="2">
        <v>2</v>
      </c>
      <c r="H449" s="3">
        <v>218</v>
      </c>
      <c r="I449" s="14" t="s">
        <v>335</v>
      </c>
      <c r="J449" s="12" t="s">
        <v>639</v>
      </c>
      <c r="K449" s="2">
        <v>1</v>
      </c>
      <c r="L449" s="12" t="s">
        <v>344</v>
      </c>
      <c r="M449">
        <f>YEAR(VentesMagasins!$C449)</f>
        <v>2024</v>
      </c>
      <c r="N449" t="e" cm="1" vm="1">
        <f t="array" aca="1" ref="N449" ca="1">MONTH(DateVente)</f>
        <v>#VALUE!</v>
      </c>
      <c r="O449" t="str">
        <f>PROPER(VentesMagasins!$F449)</f>
        <v>Électronique</v>
      </c>
      <c r="P449">
        <f>VALUE(CLEAN(TRIM(SUBSTITUTE(VentesMagasins!$I449,".",","))))</f>
        <v>0</v>
      </c>
      <c r="Q449">
        <f>VALUE(TRIM(SUBSTITUTE(VentesMagasins!$J449,".",",")))</f>
        <v>436</v>
      </c>
      <c r="R449">
        <f t="shared" si="18"/>
        <v>436</v>
      </c>
      <c r="S449">
        <f>IF(VentesMagasins!$K449=1,(-1)*R449,R449)</f>
        <v>-436</v>
      </c>
      <c r="T449">
        <f>IFERROR(VALUE(TRIM(SUBSTITUTE(VentesMagasins!$L449,".",","))),0)</f>
        <v>2</v>
      </c>
      <c r="U449">
        <f t="shared" si="19"/>
        <v>2</v>
      </c>
      <c r="V449" t="str">
        <f t="shared" si="20"/>
        <v>faible</v>
      </c>
      <c r="W449" t="str">
        <f>_xlfn.XLOOKUP(VentesMagasins!$B449,Clients!ClientID,Région)</f>
        <v>Est</v>
      </c>
      <c r="X449" t="str">
        <f>INDEX(TypeClient,MATCH(VentesMagasins!$B449,Clients!ClientID))</f>
        <v>Fidèle</v>
      </c>
      <c r="Y449" t="str">
        <v>juin</v>
      </c>
    </row>
    <row r="450" spans="1:25" x14ac:dyDescent="0.25">
      <c r="A450" s="2">
        <v>449</v>
      </c>
      <c r="B450" s="12" t="s">
        <v>190</v>
      </c>
      <c r="C450" s="13">
        <v>45323</v>
      </c>
      <c r="D450" s="12" t="s">
        <v>350</v>
      </c>
      <c r="E450" s="14" t="s">
        <v>334</v>
      </c>
      <c r="F450" s="12" t="s">
        <v>330</v>
      </c>
      <c r="G450" s="2">
        <v>4</v>
      </c>
      <c r="H450" s="3">
        <v>262</v>
      </c>
      <c r="I450" s="14" t="s">
        <v>325</v>
      </c>
      <c r="J450" s="12" t="s">
        <v>771</v>
      </c>
      <c r="K450" s="2">
        <v>0</v>
      </c>
      <c r="L450" s="12" t="s">
        <v>352</v>
      </c>
      <c r="M450">
        <f>YEAR(VentesMagasins!$C450)</f>
        <v>2024</v>
      </c>
      <c r="N450" t="e" cm="1" vm="1">
        <f t="array" aca="1" ref="N450" ca="1">MONTH(DateVente)</f>
        <v>#VALUE!</v>
      </c>
      <c r="O450" t="str">
        <f>PROPER(VentesMagasins!$F450)</f>
        <v>Décoration</v>
      </c>
      <c r="P450">
        <f>VALUE(CLEAN(TRIM(SUBSTITUTE(VentesMagasins!$I450,".",","))))</f>
        <v>0.15</v>
      </c>
      <c r="Q450">
        <f>VALUE(TRIM(SUBSTITUTE(VentesMagasins!$J450,".",",")))</f>
        <v>890.8</v>
      </c>
      <c r="R450">
        <f t="shared" si="18"/>
        <v>757.18</v>
      </c>
      <c r="S450">
        <f>IF(VentesMagasins!$K450=1,(-1)*R450,R450)</f>
        <v>757.18</v>
      </c>
      <c r="T450">
        <f>IFERROR(VALUE(TRIM(SUBSTITUTE(VentesMagasins!$L450,".",","))),0)</f>
        <v>0</v>
      </c>
      <c r="U450">
        <f t="shared" si="19"/>
        <v>2</v>
      </c>
      <c r="V450" t="str">
        <f t="shared" si="20"/>
        <v>faible</v>
      </c>
      <c r="W450" t="str">
        <f>_xlfn.XLOOKUP(VentesMagasins!$B450,Clients!ClientID,Région)</f>
        <v>Ouest</v>
      </c>
      <c r="X450" t="str">
        <f>INDEX(TypeClient,MATCH(VentesMagasins!$B450,Clients!ClientID))</f>
        <v>Fidèle</v>
      </c>
      <c r="Y450" t="str">
        <v>févr</v>
      </c>
    </row>
    <row r="451" spans="1:25" x14ac:dyDescent="0.25">
      <c r="A451" s="2">
        <v>450</v>
      </c>
      <c r="B451" s="12" t="s">
        <v>9</v>
      </c>
      <c r="C451" s="13">
        <v>45578</v>
      </c>
      <c r="D451" s="12" t="s">
        <v>338</v>
      </c>
      <c r="E451" s="14" t="s">
        <v>329</v>
      </c>
      <c r="F451" s="12" t="s">
        <v>324</v>
      </c>
      <c r="G451" s="2">
        <v>3</v>
      </c>
      <c r="H451" s="3">
        <v>481</v>
      </c>
      <c r="I451" s="14" t="s">
        <v>335</v>
      </c>
      <c r="J451" s="12" t="s">
        <v>772</v>
      </c>
      <c r="K451" s="2">
        <v>0</v>
      </c>
      <c r="L451" s="12" t="s">
        <v>352</v>
      </c>
      <c r="M451">
        <f>YEAR(VentesMagasins!$C451)</f>
        <v>2024</v>
      </c>
      <c r="N451" t="e" cm="1" vm="1">
        <f t="array" aca="1" ref="N451" ca="1">MONTH(DateVente)</f>
        <v>#VALUE!</v>
      </c>
      <c r="O451" t="str">
        <f>PROPER(VentesMagasins!$F451)</f>
        <v>Électronique</v>
      </c>
      <c r="P451">
        <f>VALUE(CLEAN(TRIM(SUBSTITUTE(VentesMagasins!$I451,".",","))))</f>
        <v>0</v>
      </c>
      <c r="Q451">
        <f>VALUE(TRIM(SUBSTITUTE(VentesMagasins!$J451,".",",")))</f>
        <v>1443</v>
      </c>
      <c r="R451">
        <f t="shared" ref="R451:R514" si="21">Q451*(1-P451)</f>
        <v>1443</v>
      </c>
      <c r="S451">
        <f>IF(VentesMagasins!$K451=1,(-1)*R451,R451)</f>
        <v>1443</v>
      </c>
      <c r="T451">
        <f>IFERROR(VALUE(TRIM(SUBSTITUTE(VentesMagasins!$L451,".",","))),0)</f>
        <v>0</v>
      </c>
      <c r="U451">
        <f t="shared" ref="U451:U514" si="22">ROUND(IF(T451=0,AVERAGE(T451:T1450),T451),0)</f>
        <v>2</v>
      </c>
      <c r="V451" t="str">
        <f t="shared" ref="V451:V514" si="23">IF(AND(U451&gt;0,U451&lt;=2),"faible",IF(AND(U451&gt;=3,U451&lt;=4),"moyenne",IF(U451=5,"élévé",0)))</f>
        <v>faible</v>
      </c>
      <c r="W451" t="str">
        <f>_xlfn.XLOOKUP(VentesMagasins!$B451,Clients!ClientID,Région)</f>
        <v>Nord</v>
      </c>
      <c r="X451" t="str">
        <f>INDEX(TypeClient,MATCH(VentesMagasins!$B451,Clients!ClientID))</f>
        <v>Occasionnel</v>
      </c>
      <c r="Y451" t="str">
        <v>oct</v>
      </c>
    </row>
    <row r="452" spans="1:25" x14ac:dyDescent="0.25">
      <c r="A452" s="2">
        <v>451</v>
      </c>
      <c r="B452" s="12" t="s">
        <v>99</v>
      </c>
      <c r="C452" s="13">
        <v>45736</v>
      </c>
      <c r="D452" s="12" t="s">
        <v>350</v>
      </c>
      <c r="E452" s="14" t="s">
        <v>339</v>
      </c>
      <c r="F452" s="12" t="s">
        <v>330</v>
      </c>
      <c r="G452" s="2">
        <v>4</v>
      </c>
      <c r="H452" s="3">
        <v>500</v>
      </c>
      <c r="I452" s="14" t="s">
        <v>342</v>
      </c>
      <c r="J452" s="12" t="s">
        <v>773</v>
      </c>
      <c r="K452" s="2">
        <v>0</v>
      </c>
      <c r="L452" s="12" t="s">
        <v>332</v>
      </c>
      <c r="M452">
        <f>YEAR(VentesMagasins!$C452)</f>
        <v>2025</v>
      </c>
      <c r="N452" t="e" cm="1" vm="1">
        <f t="array" aca="1" ref="N452" ca="1">MONTH(DateVente)</f>
        <v>#VALUE!</v>
      </c>
      <c r="O452" t="str">
        <f>PROPER(VentesMagasins!$F452)</f>
        <v>Décoration</v>
      </c>
      <c r="P452">
        <f>VALUE(CLEAN(TRIM(SUBSTITUTE(VentesMagasins!$I452,".",","))))</f>
        <v>0.05</v>
      </c>
      <c r="Q452">
        <f>VALUE(TRIM(SUBSTITUTE(VentesMagasins!$J452,".",",")))</f>
        <v>1900</v>
      </c>
      <c r="R452">
        <f t="shared" si="21"/>
        <v>1805</v>
      </c>
      <c r="S452">
        <f>IF(VentesMagasins!$K452=1,(-1)*R452,R452)</f>
        <v>1805</v>
      </c>
      <c r="T452">
        <f>IFERROR(VALUE(TRIM(SUBSTITUTE(VentesMagasins!$L452,".",","))),0)</f>
        <v>4</v>
      </c>
      <c r="U452">
        <f t="shared" si="22"/>
        <v>4</v>
      </c>
      <c r="V452" t="str">
        <f t="shared" si="23"/>
        <v>moyenne</v>
      </c>
      <c r="W452" t="str">
        <f>_xlfn.XLOOKUP(VentesMagasins!$B452,Clients!ClientID,Région)</f>
        <v>Ouest</v>
      </c>
      <c r="X452" t="str">
        <f>INDEX(TypeClient,MATCH(VentesMagasins!$B452,Clients!ClientID))</f>
        <v>Occasionnel</v>
      </c>
      <c r="Y452" t="str">
        <v>mars</v>
      </c>
    </row>
    <row r="453" spans="1:25" x14ac:dyDescent="0.25">
      <c r="A453" s="2">
        <v>452</v>
      </c>
      <c r="B453" s="12" t="s">
        <v>184</v>
      </c>
      <c r="C453" s="13">
        <v>44973</v>
      </c>
      <c r="D453" s="12" t="s">
        <v>425</v>
      </c>
      <c r="E453" s="14" t="s">
        <v>339</v>
      </c>
      <c r="F453" s="12" t="s">
        <v>330</v>
      </c>
      <c r="G453" s="2">
        <v>5</v>
      </c>
      <c r="H453" s="3">
        <v>296</v>
      </c>
      <c r="I453" s="14" t="s">
        <v>355</v>
      </c>
      <c r="J453" s="12" t="s">
        <v>774</v>
      </c>
      <c r="K453" s="2">
        <v>0</v>
      </c>
      <c r="L453" s="12" t="s">
        <v>337</v>
      </c>
      <c r="M453">
        <f>YEAR(VentesMagasins!$C453)</f>
        <v>2023</v>
      </c>
      <c r="N453" t="e" cm="1" vm="1">
        <f t="array" aca="1" ref="N453" ca="1">MONTH(DateVente)</f>
        <v>#VALUE!</v>
      </c>
      <c r="O453" t="str">
        <f>PROPER(VentesMagasins!$F453)</f>
        <v>Décoration</v>
      </c>
      <c r="P453">
        <f>VALUE(CLEAN(TRIM(SUBSTITUTE(VentesMagasins!$I453,".",","))))</f>
        <v>0.1</v>
      </c>
      <c r="Q453">
        <f>VALUE(TRIM(SUBSTITUTE(VentesMagasins!$J453,".",",")))</f>
        <v>1332</v>
      </c>
      <c r="R453">
        <f t="shared" si="21"/>
        <v>1198.8</v>
      </c>
      <c r="S453">
        <f>IF(VentesMagasins!$K453=1,(-1)*R453,R453)</f>
        <v>1198.8</v>
      </c>
      <c r="T453">
        <f>IFERROR(VALUE(TRIM(SUBSTITUTE(VentesMagasins!$L453,".",","))),0)</f>
        <v>3</v>
      </c>
      <c r="U453">
        <f t="shared" si="22"/>
        <v>3</v>
      </c>
      <c r="V453" t="str">
        <f t="shared" si="23"/>
        <v>moyenne</v>
      </c>
      <c r="W453" t="str">
        <f>_xlfn.XLOOKUP(VentesMagasins!$B453,Clients!ClientID,Région)</f>
        <v>Sud</v>
      </c>
      <c r="X453" t="str">
        <f>INDEX(TypeClient,MATCH(VentesMagasins!$B453,Clients!ClientID))</f>
        <v>Nouveau</v>
      </c>
      <c r="Y453" t="str">
        <v>févr</v>
      </c>
    </row>
    <row r="454" spans="1:25" x14ac:dyDescent="0.25">
      <c r="A454" s="2">
        <v>453</v>
      </c>
      <c r="B454" s="12" t="s">
        <v>142</v>
      </c>
      <c r="C454" s="13">
        <v>45744</v>
      </c>
      <c r="D454" s="12" t="s">
        <v>333</v>
      </c>
      <c r="E454" s="14" t="s">
        <v>362</v>
      </c>
      <c r="F454" s="12" t="s">
        <v>341</v>
      </c>
      <c r="G454" s="2">
        <v>3</v>
      </c>
      <c r="H454" s="3">
        <v>178</v>
      </c>
      <c r="I454" s="14" t="s">
        <v>342</v>
      </c>
      <c r="J454" s="12" t="s">
        <v>775</v>
      </c>
      <c r="K454" s="2">
        <v>0</v>
      </c>
      <c r="L454" s="12" t="s">
        <v>344</v>
      </c>
      <c r="M454">
        <f>YEAR(VentesMagasins!$C454)</f>
        <v>2025</v>
      </c>
      <c r="N454" t="e" cm="1" vm="1">
        <f t="array" aca="1" ref="N454" ca="1">MONTH(DateVente)</f>
        <v>#VALUE!</v>
      </c>
      <c r="O454" t="str">
        <f>PROPER(VentesMagasins!$F454)</f>
        <v>Meuble</v>
      </c>
      <c r="P454">
        <f>VALUE(CLEAN(TRIM(SUBSTITUTE(VentesMagasins!$I454,".",","))))</f>
        <v>0.05</v>
      </c>
      <c r="Q454">
        <f>VALUE(TRIM(SUBSTITUTE(VentesMagasins!$J454,".",",")))</f>
        <v>507.29999999999899</v>
      </c>
      <c r="R454">
        <f t="shared" si="21"/>
        <v>481.93499999999904</v>
      </c>
      <c r="S454">
        <f>IF(VentesMagasins!$K454=1,(-1)*R454,R454)</f>
        <v>481.93499999999904</v>
      </c>
      <c r="T454">
        <f>IFERROR(VALUE(TRIM(SUBSTITUTE(VentesMagasins!$L454,".",","))),0)</f>
        <v>2</v>
      </c>
      <c r="U454">
        <f t="shared" si="22"/>
        <v>2</v>
      </c>
      <c r="V454" t="str">
        <f t="shared" si="23"/>
        <v>faible</v>
      </c>
      <c r="W454" t="str">
        <f>_xlfn.XLOOKUP(VentesMagasins!$B454,Clients!ClientID,Région)</f>
        <v>Nord</v>
      </c>
      <c r="X454" t="str">
        <f>INDEX(TypeClient,MATCH(VentesMagasins!$B454,Clients!ClientID))</f>
        <v>Nouveau</v>
      </c>
      <c r="Y454" t="str">
        <v>mars</v>
      </c>
    </row>
    <row r="455" spans="1:25" x14ac:dyDescent="0.25">
      <c r="A455" s="2">
        <v>454</v>
      </c>
      <c r="B455" s="12" t="s">
        <v>17</v>
      </c>
      <c r="C455" s="13">
        <v>45692</v>
      </c>
      <c r="D455" s="12" t="s">
        <v>350</v>
      </c>
      <c r="E455" s="14" t="s">
        <v>323</v>
      </c>
      <c r="F455" s="12" t="s">
        <v>688</v>
      </c>
      <c r="G455" s="2">
        <v>3</v>
      </c>
      <c r="H455" s="3">
        <v>296</v>
      </c>
      <c r="I455" s="14" t="s">
        <v>325</v>
      </c>
      <c r="J455" s="12" t="s">
        <v>651</v>
      </c>
      <c r="K455" s="2">
        <v>1</v>
      </c>
      <c r="L455" s="12" t="s">
        <v>327</v>
      </c>
      <c r="M455">
        <f>YEAR(VentesMagasins!$C455)</f>
        <v>2025</v>
      </c>
      <c r="N455" t="e" cm="1" vm="1">
        <f t="array" aca="1" ref="N455" ca="1">MONTH(DateVente)</f>
        <v>#VALUE!</v>
      </c>
      <c r="O455" t="str">
        <f>PROPER(VentesMagasins!$F455)</f>
        <v>Décoration</v>
      </c>
      <c r="P455">
        <f>VALUE(CLEAN(TRIM(SUBSTITUTE(VentesMagasins!$I455,".",","))))</f>
        <v>0.15</v>
      </c>
      <c r="Q455">
        <f>VALUE(TRIM(SUBSTITUTE(VentesMagasins!$J455,".",",")))</f>
        <v>754.8</v>
      </c>
      <c r="R455">
        <f t="shared" si="21"/>
        <v>641.57999999999993</v>
      </c>
      <c r="S455">
        <f>IF(VentesMagasins!$K455=1,(-1)*R455,R455)</f>
        <v>-641.57999999999993</v>
      </c>
      <c r="T455">
        <f>IFERROR(VALUE(TRIM(SUBSTITUTE(VentesMagasins!$L455,".",","))),0)</f>
        <v>5</v>
      </c>
      <c r="U455">
        <f t="shared" si="22"/>
        <v>5</v>
      </c>
      <c r="V455" t="str">
        <f t="shared" si="23"/>
        <v>élévé</v>
      </c>
      <c r="W455" t="str">
        <f>_xlfn.XLOOKUP(VentesMagasins!$B455,Clients!ClientID,Région)</f>
        <v>Centre</v>
      </c>
      <c r="X455" t="str">
        <f>INDEX(TypeClient,MATCH(VentesMagasins!$B455,Clients!ClientID))</f>
        <v>Occasionnel</v>
      </c>
      <c r="Y455" t="str">
        <v>févr</v>
      </c>
    </row>
    <row r="456" spans="1:25" x14ac:dyDescent="0.25">
      <c r="A456" s="2">
        <v>455</v>
      </c>
      <c r="B456" s="12" t="s">
        <v>115</v>
      </c>
      <c r="C456" s="13">
        <v>44935</v>
      </c>
      <c r="D456" s="12" t="s">
        <v>328</v>
      </c>
      <c r="E456" s="14" t="s">
        <v>329</v>
      </c>
      <c r="F456" s="12" t="s">
        <v>341</v>
      </c>
      <c r="G456" s="2">
        <v>4</v>
      </c>
      <c r="H456" s="3">
        <v>41</v>
      </c>
      <c r="I456" s="14" t="s">
        <v>335</v>
      </c>
      <c r="J456" s="12" t="s">
        <v>694</v>
      </c>
      <c r="K456" s="2">
        <v>0</v>
      </c>
      <c r="L456" s="12" t="s">
        <v>344</v>
      </c>
      <c r="M456">
        <f>YEAR(VentesMagasins!$C456)</f>
        <v>2023</v>
      </c>
      <c r="N456" t="e" cm="1" vm="1">
        <f t="array" aca="1" ref="N456" ca="1">MONTH(DateVente)</f>
        <v>#VALUE!</v>
      </c>
      <c r="O456" t="str">
        <f>PROPER(VentesMagasins!$F456)</f>
        <v>Meuble</v>
      </c>
      <c r="P456">
        <f>VALUE(CLEAN(TRIM(SUBSTITUTE(VentesMagasins!$I456,".",","))))</f>
        <v>0</v>
      </c>
      <c r="Q456">
        <f>VALUE(TRIM(SUBSTITUTE(VentesMagasins!$J456,".",",")))</f>
        <v>164</v>
      </c>
      <c r="R456">
        <f t="shared" si="21"/>
        <v>164</v>
      </c>
      <c r="S456">
        <f>IF(VentesMagasins!$K456=1,(-1)*R456,R456)</f>
        <v>164</v>
      </c>
      <c r="T456">
        <f>IFERROR(VALUE(TRIM(SUBSTITUTE(VentesMagasins!$L456,".",","))),0)</f>
        <v>2</v>
      </c>
      <c r="U456">
        <f t="shared" si="22"/>
        <v>2</v>
      </c>
      <c r="V456" t="str">
        <f t="shared" si="23"/>
        <v>faible</v>
      </c>
      <c r="W456" t="str">
        <f>_xlfn.XLOOKUP(VentesMagasins!$B456,Clients!ClientID,Région)</f>
        <v>Centre</v>
      </c>
      <c r="X456" t="str">
        <f>INDEX(TypeClient,MATCH(VentesMagasins!$B456,Clients!ClientID))</f>
        <v>Fidèle</v>
      </c>
      <c r="Y456" t="str">
        <v>janv</v>
      </c>
    </row>
    <row r="457" spans="1:25" x14ac:dyDescent="0.25">
      <c r="A457" s="2">
        <v>456</v>
      </c>
      <c r="B457" s="12" t="s">
        <v>216</v>
      </c>
      <c r="C457" s="13">
        <v>45260</v>
      </c>
      <c r="D457" s="12" t="s">
        <v>338</v>
      </c>
      <c r="E457" s="14" t="s">
        <v>362</v>
      </c>
      <c r="F457" s="12" t="s">
        <v>341</v>
      </c>
      <c r="G457" s="2">
        <v>1</v>
      </c>
      <c r="H457" s="3">
        <v>458</v>
      </c>
      <c r="I457" s="14" t="s">
        <v>355</v>
      </c>
      <c r="J457" s="12" t="s">
        <v>776</v>
      </c>
      <c r="K457" s="2">
        <v>1</v>
      </c>
      <c r="L457" s="12" t="s">
        <v>344</v>
      </c>
      <c r="M457">
        <f>YEAR(VentesMagasins!$C457)</f>
        <v>2023</v>
      </c>
      <c r="N457" t="e" cm="1" vm="1">
        <f t="array" aca="1" ref="N457" ca="1">MONTH(DateVente)</f>
        <v>#VALUE!</v>
      </c>
      <c r="O457" t="str">
        <f>PROPER(VentesMagasins!$F457)</f>
        <v>Meuble</v>
      </c>
      <c r="P457">
        <f>VALUE(CLEAN(TRIM(SUBSTITUTE(VentesMagasins!$I457,".",","))))</f>
        <v>0.1</v>
      </c>
      <c r="Q457">
        <f>VALUE(TRIM(SUBSTITUTE(VentesMagasins!$J457,".",",")))</f>
        <v>412.2</v>
      </c>
      <c r="R457">
        <f t="shared" si="21"/>
        <v>370.98</v>
      </c>
      <c r="S457">
        <f>IF(VentesMagasins!$K457=1,(-1)*R457,R457)</f>
        <v>-370.98</v>
      </c>
      <c r="T457">
        <f>IFERROR(VALUE(TRIM(SUBSTITUTE(VentesMagasins!$L457,".",","))),0)</f>
        <v>2</v>
      </c>
      <c r="U457">
        <f t="shared" si="22"/>
        <v>2</v>
      </c>
      <c r="V457" t="str">
        <f t="shared" si="23"/>
        <v>faible</v>
      </c>
      <c r="W457" t="str">
        <f>_xlfn.XLOOKUP(VentesMagasins!$B457,Clients!ClientID,Région)</f>
        <v>Est</v>
      </c>
      <c r="X457" t="str">
        <f>INDEX(TypeClient,MATCH(VentesMagasins!$B457,Clients!ClientID))</f>
        <v>Fidèle</v>
      </c>
      <c r="Y457" t="str">
        <v>nov</v>
      </c>
    </row>
    <row r="458" spans="1:25" x14ac:dyDescent="0.25">
      <c r="A458" s="2">
        <v>457</v>
      </c>
      <c r="B458" s="12" t="s">
        <v>165</v>
      </c>
      <c r="C458" s="13">
        <v>45185</v>
      </c>
      <c r="D458" s="12" t="s">
        <v>333</v>
      </c>
      <c r="E458" s="14" t="s">
        <v>329</v>
      </c>
      <c r="F458" s="12" t="s">
        <v>324</v>
      </c>
      <c r="G458" s="2">
        <v>1</v>
      </c>
      <c r="H458" s="3">
        <v>329</v>
      </c>
      <c r="I458" s="14" t="s">
        <v>355</v>
      </c>
      <c r="J458" s="12" t="s">
        <v>777</v>
      </c>
      <c r="K458" s="2">
        <v>0</v>
      </c>
      <c r="L458" s="12" t="s">
        <v>344</v>
      </c>
      <c r="M458">
        <f>YEAR(VentesMagasins!$C458)</f>
        <v>2023</v>
      </c>
      <c r="N458" t="e" cm="1" vm="1">
        <f t="array" aca="1" ref="N458" ca="1">MONTH(DateVente)</f>
        <v>#VALUE!</v>
      </c>
      <c r="O458" t="str">
        <f>PROPER(VentesMagasins!$F458)</f>
        <v>Électronique</v>
      </c>
      <c r="P458">
        <f>VALUE(CLEAN(TRIM(SUBSTITUTE(VentesMagasins!$I458,".",","))))</f>
        <v>0.1</v>
      </c>
      <c r="Q458">
        <f>VALUE(TRIM(SUBSTITUTE(VentesMagasins!$J458,".",",")))</f>
        <v>296.10000000000002</v>
      </c>
      <c r="R458">
        <f t="shared" si="21"/>
        <v>266.49</v>
      </c>
      <c r="S458">
        <f>IF(VentesMagasins!$K458=1,(-1)*R458,R458)</f>
        <v>266.49</v>
      </c>
      <c r="T458">
        <f>IFERROR(VALUE(TRIM(SUBSTITUTE(VentesMagasins!$L458,".",","))),0)</f>
        <v>2</v>
      </c>
      <c r="U458">
        <f t="shared" si="22"/>
        <v>2</v>
      </c>
      <c r="V458" t="str">
        <f t="shared" si="23"/>
        <v>faible</v>
      </c>
      <c r="W458" t="str">
        <f>_xlfn.XLOOKUP(VentesMagasins!$B458,Clients!ClientID,Région)</f>
        <v>Centre</v>
      </c>
      <c r="X458" t="str">
        <f>INDEX(TypeClient,MATCH(VentesMagasins!$B458,Clients!ClientID))</f>
        <v>Nouveau</v>
      </c>
      <c r="Y458" t="str">
        <v>sept</v>
      </c>
    </row>
    <row r="459" spans="1:25" x14ac:dyDescent="0.25">
      <c r="A459" s="2">
        <v>458</v>
      </c>
      <c r="B459" s="12" t="s">
        <v>261</v>
      </c>
      <c r="C459" s="13">
        <v>45916</v>
      </c>
      <c r="D459" s="12" t="s">
        <v>350</v>
      </c>
      <c r="E459" s="14" t="s">
        <v>362</v>
      </c>
      <c r="F459" s="12" t="s">
        <v>330</v>
      </c>
      <c r="G459" s="2">
        <v>2</v>
      </c>
      <c r="H459" s="3">
        <v>101</v>
      </c>
      <c r="I459" s="14" t="s">
        <v>342</v>
      </c>
      <c r="J459" s="12" t="s">
        <v>778</v>
      </c>
      <c r="K459" s="2">
        <v>0</v>
      </c>
      <c r="L459" s="12" t="s">
        <v>352</v>
      </c>
      <c r="M459">
        <f>YEAR(VentesMagasins!$C459)</f>
        <v>2025</v>
      </c>
      <c r="N459" t="e" cm="1" vm="1">
        <f t="array" aca="1" ref="N459" ca="1">MONTH(DateVente)</f>
        <v>#VALUE!</v>
      </c>
      <c r="O459" t="str">
        <f>PROPER(VentesMagasins!$F459)</f>
        <v>Décoration</v>
      </c>
      <c r="P459">
        <f>VALUE(CLEAN(TRIM(SUBSTITUTE(VentesMagasins!$I459,".",","))))</f>
        <v>0.05</v>
      </c>
      <c r="Q459">
        <f>VALUE(TRIM(SUBSTITUTE(VentesMagasins!$J459,".",",")))</f>
        <v>191.89999999999901</v>
      </c>
      <c r="R459">
        <f t="shared" si="21"/>
        <v>182.30499999999904</v>
      </c>
      <c r="S459">
        <f>IF(VentesMagasins!$K459=1,(-1)*R459,R459)</f>
        <v>182.30499999999904</v>
      </c>
      <c r="T459">
        <f>IFERROR(VALUE(TRIM(SUBSTITUTE(VentesMagasins!$L459,".",","))),0)</f>
        <v>0</v>
      </c>
      <c r="U459">
        <f t="shared" si="22"/>
        <v>2</v>
      </c>
      <c r="V459" t="str">
        <f t="shared" si="23"/>
        <v>faible</v>
      </c>
      <c r="W459" t="str">
        <f>_xlfn.XLOOKUP(VentesMagasins!$B459,Clients!ClientID,Région)</f>
        <v>Sud</v>
      </c>
      <c r="X459" t="str">
        <f>INDEX(TypeClient,MATCH(VentesMagasins!$B459,Clients!ClientID))</f>
        <v>Occasionnel</v>
      </c>
      <c r="Y459" t="str">
        <v>sept</v>
      </c>
    </row>
    <row r="460" spans="1:25" x14ac:dyDescent="0.25">
      <c r="A460" s="2">
        <v>459</v>
      </c>
      <c r="B460" s="12" t="s">
        <v>259</v>
      </c>
      <c r="C460" s="13">
        <v>45165</v>
      </c>
      <c r="D460" s="12" t="s">
        <v>328</v>
      </c>
      <c r="E460" s="14" t="s">
        <v>329</v>
      </c>
      <c r="F460" s="12" t="s">
        <v>341</v>
      </c>
      <c r="G460" s="2">
        <v>4</v>
      </c>
      <c r="H460" s="3">
        <v>67</v>
      </c>
      <c r="I460" s="14" t="s">
        <v>335</v>
      </c>
      <c r="J460" s="12" t="s">
        <v>779</v>
      </c>
      <c r="K460" s="2">
        <v>0</v>
      </c>
      <c r="L460" s="12" t="s">
        <v>344</v>
      </c>
      <c r="M460">
        <f>YEAR(VentesMagasins!$C460)</f>
        <v>2023</v>
      </c>
      <c r="N460" t="e" cm="1" vm="1">
        <f t="array" aca="1" ref="N460" ca="1">MONTH(DateVente)</f>
        <v>#VALUE!</v>
      </c>
      <c r="O460" t="str">
        <f>PROPER(VentesMagasins!$F460)</f>
        <v>Meuble</v>
      </c>
      <c r="P460">
        <f>VALUE(CLEAN(TRIM(SUBSTITUTE(VentesMagasins!$I460,".",","))))</f>
        <v>0</v>
      </c>
      <c r="Q460">
        <f>VALUE(TRIM(SUBSTITUTE(VentesMagasins!$J460,".",",")))</f>
        <v>268</v>
      </c>
      <c r="R460">
        <f t="shared" si="21"/>
        <v>268</v>
      </c>
      <c r="S460">
        <f>IF(VentesMagasins!$K460=1,(-1)*R460,R460)</f>
        <v>268</v>
      </c>
      <c r="T460">
        <f>IFERROR(VALUE(TRIM(SUBSTITUTE(VentesMagasins!$L460,".",","))),0)</f>
        <v>2</v>
      </c>
      <c r="U460">
        <f t="shared" si="22"/>
        <v>2</v>
      </c>
      <c r="V460" t="str">
        <f t="shared" si="23"/>
        <v>faible</v>
      </c>
      <c r="W460" t="str">
        <f>_xlfn.XLOOKUP(VentesMagasins!$B460,Clients!ClientID,Région)</f>
        <v>Ouest</v>
      </c>
      <c r="X460" t="str">
        <f>INDEX(TypeClient,MATCH(VentesMagasins!$B460,Clients!ClientID))</f>
        <v>Fidèle</v>
      </c>
      <c r="Y460" t="str">
        <v>août</v>
      </c>
    </row>
    <row r="461" spans="1:25" x14ac:dyDescent="0.25">
      <c r="A461" s="2">
        <v>460</v>
      </c>
      <c r="B461" s="12" t="s">
        <v>259</v>
      </c>
      <c r="C461" s="13">
        <v>45200</v>
      </c>
      <c r="D461" s="12" t="s">
        <v>333</v>
      </c>
      <c r="E461" s="14" t="s">
        <v>345</v>
      </c>
      <c r="F461" s="12" t="s">
        <v>324</v>
      </c>
      <c r="G461" s="2">
        <v>1</v>
      </c>
      <c r="H461" s="3">
        <v>30</v>
      </c>
      <c r="I461" s="14" t="s">
        <v>342</v>
      </c>
      <c r="J461" s="12" t="s">
        <v>780</v>
      </c>
      <c r="K461" s="2">
        <v>1</v>
      </c>
      <c r="L461" s="12" t="s">
        <v>344</v>
      </c>
      <c r="M461">
        <f>YEAR(VentesMagasins!$C461)</f>
        <v>2023</v>
      </c>
      <c r="N461" t="e" cm="1" vm="1">
        <f t="array" aca="1" ref="N461" ca="1">MONTH(DateVente)</f>
        <v>#VALUE!</v>
      </c>
      <c r="O461" t="str">
        <f>PROPER(VentesMagasins!$F461)</f>
        <v>Électronique</v>
      </c>
      <c r="P461">
        <f>VALUE(CLEAN(TRIM(SUBSTITUTE(VentesMagasins!$I461,".",","))))</f>
        <v>0.05</v>
      </c>
      <c r="Q461">
        <f>VALUE(TRIM(SUBSTITUTE(VentesMagasins!$J461,".",",")))</f>
        <v>28.5</v>
      </c>
      <c r="R461">
        <f t="shared" si="21"/>
        <v>27.074999999999999</v>
      </c>
      <c r="S461">
        <f>IF(VentesMagasins!$K461=1,(-1)*R461,R461)</f>
        <v>-27.074999999999999</v>
      </c>
      <c r="T461">
        <f>IFERROR(VALUE(TRIM(SUBSTITUTE(VentesMagasins!$L461,".",","))),0)</f>
        <v>2</v>
      </c>
      <c r="U461">
        <f t="shared" si="22"/>
        <v>2</v>
      </c>
      <c r="V461" t="str">
        <f t="shared" si="23"/>
        <v>faible</v>
      </c>
      <c r="W461" t="str">
        <f>_xlfn.XLOOKUP(VentesMagasins!$B461,Clients!ClientID,Région)</f>
        <v>Ouest</v>
      </c>
      <c r="X461" t="str">
        <f>INDEX(TypeClient,MATCH(VentesMagasins!$B461,Clients!ClientID))</f>
        <v>Fidèle</v>
      </c>
      <c r="Y461" t="str">
        <v>oct</v>
      </c>
    </row>
    <row r="462" spans="1:25" x14ac:dyDescent="0.25">
      <c r="A462" s="2">
        <v>461</v>
      </c>
      <c r="B462" s="12" t="s">
        <v>30</v>
      </c>
      <c r="C462" s="13">
        <v>45180</v>
      </c>
      <c r="D462" s="12" t="s">
        <v>328</v>
      </c>
      <c r="E462" s="14" t="s">
        <v>362</v>
      </c>
      <c r="F462" s="12" t="s">
        <v>324</v>
      </c>
      <c r="G462" s="2">
        <v>4</v>
      </c>
      <c r="H462" s="3">
        <v>94</v>
      </c>
      <c r="I462" s="14" t="s">
        <v>355</v>
      </c>
      <c r="J462" s="12" t="s">
        <v>781</v>
      </c>
      <c r="K462" s="2">
        <v>1</v>
      </c>
      <c r="L462" s="12" t="s">
        <v>332</v>
      </c>
      <c r="M462">
        <f>YEAR(VentesMagasins!$C462)</f>
        <v>2023</v>
      </c>
      <c r="N462" t="e" cm="1" vm="1">
        <f t="array" aca="1" ref="N462" ca="1">MONTH(DateVente)</f>
        <v>#VALUE!</v>
      </c>
      <c r="O462" t="str">
        <f>PROPER(VentesMagasins!$F462)</f>
        <v>Électronique</v>
      </c>
      <c r="P462">
        <f>VALUE(CLEAN(TRIM(SUBSTITUTE(VentesMagasins!$I462,".",","))))</f>
        <v>0.1</v>
      </c>
      <c r="Q462">
        <f>VALUE(TRIM(SUBSTITUTE(VentesMagasins!$J462,".",",")))</f>
        <v>338.4</v>
      </c>
      <c r="R462">
        <f t="shared" si="21"/>
        <v>304.56</v>
      </c>
      <c r="S462">
        <f>IF(VentesMagasins!$K462=1,(-1)*R462,R462)</f>
        <v>-304.56</v>
      </c>
      <c r="T462">
        <f>IFERROR(VALUE(TRIM(SUBSTITUTE(VentesMagasins!$L462,".",","))),0)</f>
        <v>4</v>
      </c>
      <c r="U462">
        <f t="shared" si="22"/>
        <v>4</v>
      </c>
      <c r="V462" t="str">
        <f t="shared" si="23"/>
        <v>moyenne</v>
      </c>
      <c r="W462" t="str">
        <f>_xlfn.XLOOKUP(VentesMagasins!$B462,Clients!ClientID,Région)</f>
        <v>Centre</v>
      </c>
      <c r="X462" t="str">
        <f>INDEX(TypeClient,MATCH(VentesMagasins!$B462,Clients!ClientID))</f>
        <v>Fidèle</v>
      </c>
      <c r="Y462" t="str">
        <v>sept</v>
      </c>
    </row>
    <row r="463" spans="1:25" x14ac:dyDescent="0.25">
      <c r="A463" s="2">
        <v>462</v>
      </c>
      <c r="B463" s="12" t="s">
        <v>157</v>
      </c>
      <c r="C463" s="13">
        <v>45657</v>
      </c>
      <c r="D463" s="12" t="s">
        <v>350</v>
      </c>
      <c r="E463" s="14" t="s">
        <v>362</v>
      </c>
      <c r="F463" s="12" t="s">
        <v>330</v>
      </c>
      <c r="G463" s="2">
        <v>1</v>
      </c>
      <c r="H463" s="3">
        <v>203</v>
      </c>
      <c r="I463" s="14" t="s">
        <v>325</v>
      </c>
      <c r="J463" s="12" t="s">
        <v>782</v>
      </c>
      <c r="K463" s="2">
        <v>0</v>
      </c>
      <c r="L463" s="12" t="s">
        <v>332</v>
      </c>
      <c r="M463">
        <f>YEAR(VentesMagasins!$C463)</f>
        <v>2024</v>
      </c>
      <c r="N463" t="e" cm="1" vm="1">
        <f t="array" aca="1" ref="N463" ca="1">MONTH(DateVente)</f>
        <v>#VALUE!</v>
      </c>
      <c r="O463" t="str">
        <f>PROPER(VentesMagasins!$F463)</f>
        <v>Décoration</v>
      </c>
      <c r="P463">
        <f>VALUE(CLEAN(TRIM(SUBSTITUTE(VentesMagasins!$I463,".",","))))</f>
        <v>0.15</v>
      </c>
      <c r="Q463">
        <f>VALUE(TRIM(SUBSTITUTE(VentesMagasins!$J463,".",",")))</f>
        <v>172.54999999999899</v>
      </c>
      <c r="R463">
        <f t="shared" si="21"/>
        <v>146.66749999999914</v>
      </c>
      <c r="S463">
        <f>IF(VentesMagasins!$K463=1,(-1)*R463,R463)</f>
        <v>146.66749999999914</v>
      </c>
      <c r="T463">
        <f>IFERROR(VALUE(TRIM(SUBSTITUTE(VentesMagasins!$L463,".",","))),0)</f>
        <v>4</v>
      </c>
      <c r="U463">
        <f t="shared" si="22"/>
        <v>4</v>
      </c>
      <c r="V463" t="str">
        <f t="shared" si="23"/>
        <v>moyenne</v>
      </c>
      <c r="W463" t="str">
        <f>_xlfn.XLOOKUP(VentesMagasins!$B463,Clients!ClientID,Région)</f>
        <v>Nord</v>
      </c>
      <c r="X463" t="str">
        <f>INDEX(TypeClient,MATCH(VentesMagasins!$B463,Clients!ClientID))</f>
        <v>Occasionnel</v>
      </c>
      <c r="Y463" t="str">
        <v>déc</v>
      </c>
    </row>
    <row r="464" spans="1:25" x14ac:dyDescent="0.25">
      <c r="A464" s="2">
        <v>463</v>
      </c>
      <c r="B464" s="12" t="s">
        <v>193</v>
      </c>
      <c r="C464" s="13">
        <v>45708</v>
      </c>
      <c r="D464" s="12" t="s">
        <v>338</v>
      </c>
      <c r="E464" s="14" t="s">
        <v>329</v>
      </c>
      <c r="F464" s="12" t="s">
        <v>330</v>
      </c>
      <c r="G464" s="2">
        <v>3</v>
      </c>
      <c r="H464" s="3">
        <v>406</v>
      </c>
      <c r="I464" s="14" t="s">
        <v>335</v>
      </c>
      <c r="J464" s="12" t="s">
        <v>783</v>
      </c>
      <c r="K464" s="2">
        <v>0</v>
      </c>
      <c r="L464" s="12" t="s">
        <v>327</v>
      </c>
      <c r="M464">
        <f>YEAR(VentesMagasins!$C464)</f>
        <v>2025</v>
      </c>
      <c r="N464" t="e" cm="1" vm="1">
        <f t="array" aca="1" ref="N464" ca="1">MONTH(DateVente)</f>
        <v>#VALUE!</v>
      </c>
      <c r="O464" t="str">
        <f>PROPER(VentesMagasins!$F464)</f>
        <v>Décoration</v>
      </c>
      <c r="P464">
        <f>VALUE(CLEAN(TRIM(SUBSTITUTE(VentesMagasins!$I464,".",","))))</f>
        <v>0</v>
      </c>
      <c r="Q464">
        <f>VALUE(TRIM(SUBSTITUTE(VentesMagasins!$J464,".",",")))</f>
        <v>1218</v>
      </c>
      <c r="R464">
        <f t="shared" si="21"/>
        <v>1218</v>
      </c>
      <c r="S464">
        <f>IF(VentesMagasins!$K464=1,(-1)*R464,R464)</f>
        <v>1218</v>
      </c>
      <c r="T464">
        <f>IFERROR(VALUE(TRIM(SUBSTITUTE(VentesMagasins!$L464,".",","))),0)</f>
        <v>5</v>
      </c>
      <c r="U464">
        <f t="shared" si="22"/>
        <v>5</v>
      </c>
      <c r="V464" t="str">
        <f t="shared" si="23"/>
        <v>élévé</v>
      </c>
      <c r="W464" t="str">
        <f>_xlfn.XLOOKUP(VentesMagasins!$B464,Clients!ClientID,Région)</f>
        <v>Sud</v>
      </c>
      <c r="X464" t="str">
        <f>INDEX(TypeClient,MATCH(VentesMagasins!$B464,Clients!ClientID))</f>
        <v>Occasionnel</v>
      </c>
      <c r="Y464" t="str">
        <v>févr</v>
      </c>
    </row>
    <row r="465" spans="1:25" x14ac:dyDescent="0.25">
      <c r="A465" s="2">
        <v>464</v>
      </c>
      <c r="B465" s="12" t="s">
        <v>281</v>
      </c>
      <c r="C465" s="13">
        <v>45944</v>
      </c>
      <c r="D465" s="12" t="s">
        <v>350</v>
      </c>
      <c r="E465" s="14" t="s">
        <v>345</v>
      </c>
      <c r="F465" s="12" t="s">
        <v>330</v>
      </c>
      <c r="G465" s="2">
        <v>3</v>
      </c>
      <c r="H465" s="3">
        <v>445</v>
      </c>
      <c r="I465" s="14" t="s">
        <v>325</v>
      </c>
      <c r="J465" s="12" t="s">
        <v>784</v>
      </c>
      <c r="K465" s="2">
        <v>0</v>
      </c>
      <c r="L465" s="12" t="s">
        <v>369</v>
      </c>
      <c r="M465">
        <f>YEAR(VentesMagasins!$C465)</f>
        <v>2025</v>
      </c>
      <c r="N465" t="e" cm="1" vm="1">
        <f t="array" aca="1" ref="N465" ca="1">MONTH(DateVente)</f>
        <v>#VALUE!</v>
      </c>
      <c r="O465" t="str">
        <f>PROPER(VentesMagasins!$F465)</f>
        <v>Décoration</v>
      </c>
      <c r="P465">
        <f>VALUE(CLEAN(TRIM(SUBSTITUTE(VentesMagasins!$I465,".",","))))</f>
        <v>0.15</v>
      </c>
      <c r="Q465">
        <f>VALUE(TRIM(SUBSTITUTE(VentesMagasins!$J465,".",",")))</f>
        <v>1134.75</v>
      </c>
      <c r="R465">
        <f t="shared" si="21"/>
        <v>964.53750000000002</v>
      </c>
      <c r="S465">
        <f>IF(VentesMagasins!$K465=1,(-1)*R465,R465)</f>
        <v>964.53750000000002</v>
      </c>
      <c r="T465">
        <f>IFERROR(VALUE(TRIM(SUBSTITUTE(VentesMagasins!$L465,".",","))),0)</f>
        <v>1</v>
      </c>
      <c r="U465">
        <f t="shared" si="22"/>
        <v>1</v>
      </c>
      <c r="V465" t="str">
        <f t="shared" si="23"/>
        <v>faible</v>
      </c>
      <c r="W465" t="str">
        <f>_xlfn.XLOOKUP(VentesMagasins!$B465,Clients!ClientID,Région)</f>
        <v>Est</v>
      </c>
      <c r="X465" t="str">
        <f>INDEX(TypeClient,MATCH(VentesMagasins!$B465,Clients!ClientID))</f>
        <v>Occasionnel</v>
      </c>
      <c r="Y465" t="str">
        <v>oct</v>
      </c>
    </row>
    <row r="466" spans="1:25" x14ac:dyDescent="0.25">
      <c r="A466" s="2">
        <v>465</v>
      </c>
      <c r="B466" s="12" t="s">
        <v>303</v>
      </c>
      <c r="C466" s="13">
        <v>44984</v>
      </c>
      <c r="D466" s="12" t="s">
        <v>322</v>
      </c>
      <c r="E466" s="14" t="s">
        <v>362</v>
      </c>
      <c r="F466" s="12" t="s">
        <v>341</v>
      </c>
      <c r="G466" s="2">
        <v>1</v>
      </c>
      <c r="H466" s="3">
        <v>275</v>
      </c>
      <c r="I466" s="14" t="s">
        <v>325</v>
      </c>
      <c r="J466" s="12" t="s">
        <v>785</v>
      </c>
      <c r="K466" s="2">
        <v>0</v>
      </c>
      <c r="L466" s="12" t="s">
        <v>369</v>
      </c>
      <c r="M466">
        <f>YEAR(VentesMagasins!$C466)</f>
        <v>2023</v>
      </c>
      <c r="N466" t="e" cm="1" vm="1">
        <f t="array" aca="1" ref="N466" ca="1">MONTH(DateVente)</f>
        <v>#VALUE!</v>
      </c>
      <c r="O466" t="str">
        <f>PROPER(VentesMagasins!$F466)</f>
        <v>Meuble</v>
      </c>
      <c r="P466">
        <f>VALUE(CLEAN(TRIM(SUBSTITUTE(VentesMagasins!$I466,".",","))))</f>
        <v>0.15</v>
      </c>
      <c r="Q466">
        <f>VALUE(TRIM(SUBSTITUTE(VentesMagasins!$J466,".",",")))</f>
        <v>233.75</v>
      </c>
      <c r="R466">
        <f t="shared" si="21"/>
        <v>198.6875</v>
      </c>
      <c r="S466">
        <f>IF(VentesMagasins!$K466=1,(-1)*R466,R466)</f>
        <v>198.6875</v>
      </c>
      <c r="T466">
        <f>IFERROR(VALUE(TRIM(SUBSTITUTE(VentesMagasins!$L466,".",","))),0)</f>
        <v>1</v>
      </c>
      <c r="U466">
        <f t="shared" si="22"/>
        <v>1</v>
      </c>
      <c r="V466" t="str">
        <f t="shared" si="23"/>
        <v>faible</v>
      </c>
      <c r="W466" t="str">
        <f>_xlfn.XLOOKUP(VentesMagasins!$B466,Clients!ClientID,Région)</f>
        <v>Est</v>
      </c>
      <c r="X466" t="str">
        <f>INDEX(TypeClient,MATCH(VentesMagasins!$B466,Clients!ClientID))</f>
        <v>Fidèle</v>
      </c>
      <c r="Y466" t="str">
        <v>févr</v>
      </c>
    </row>
    <row r="467" spans="1:25" x14ac:dyDescent="0.25">
      <c r="A467" s="2">
        <v>466</v>
      </c>
      <c r="B467" s="12" t="s">
        <v>38</v>
      </c>
      <c r="C467" s="13">
        <v>45683</v>
      </c>
      <c r="D467" s="12" t="s">
        <v>328</v>
      </c>
      <c r="E467" s="14" t="s">
        <v>329</v>
      </c>
      <c r="F467" s="12" t="s">
        <v>324</v>
      </c>
      <c r="G467" s="2">
        <v>2</v>
      </c>
      <c r="H467" s="3">
        <v>84</v>
      </c>
      <c r="I467" s="14" t="s">
        <v>342</v>
      </c>
      <c r="J467" s="12" t="s">
        <v>786</v>
      </c>
      <c r="K467" s="2">
        <v>0</v>
      </c>
      <c r="L467" s="12" t="s">
        <v>327</v>
      </c>
      <c r="M467">
        <f>YEAR(VentesMagasins!$C467)</f>
        <v>2025</v>
      </c>
      <c r="N467" t="e" cm="1" vm="1">
        <f t="array" aca="1" ref="N467" ca="1">MONTH(DateVente)</f>
        <v>#VALUE!</v>
      </c>
      <c r="O467" t="str">
        <f>PROPER(VentesMagasins!$F467)</f>
        <v>Électronique</v>
      </c>
      <c r="P467">
        <f>VALUE(CLEAN(TRIM(SUBSTITUTE(VentesMagasins!$I467,".",","))))</f>
        <v>0.05</v>
      </c>
      <c r="Q467">
        <f>VALUE(TRIM(SUBSTITUTE(VentesMagasins!$J467,".",",")))</f>
        <v>159.6</v>
      </c>
      <c r="R467">
        <f t="shared" si="21"/>
        <v>151.61999999999998</v>
      </c>
      <c r="S467">
        <f>IF(VentesMagasins!$K467=1,(-1)*R467,R467)</f>
        <v>151.61999999999998</v>
      </c>
      <c r="T467">
        <f>IFERROR(VALUE(TRIM(SUBSTITUTE(VentesMagasins!$L467,".",","))),0)</f>
        <v>5</v>
      </c>
      <c r="U467">
        <f t="shared" si="22"/>
        <v>5</v>
      </c>
      <c r="V467" t="str">
        <f t="shared" si="23"/>
        <v>élévé</v>
      </c>
      <c r="W467" t="str">
        <f>_xlfn.XLOOKUP(VentesMagasins!$B467,Clients!ClientID,Région)</f>
        <v>Est</v>
      </c>
      <c r="X467" t="str">
        <f>INDEX(TypeClient,MATCH(VentesMagasins!$B467,Clients!ClientID))</f>
        <v>Occasionnel</v>
      </c>
      <c r="Y467" t="str">
        <v>janv</v>
      </c>
    </row>
    <row r="468" spans="1:25" x14ac:dyDescent="0.25">
      <c r="A468" s="2">
        <v>467</v>
      </c>
      <c r="B468" s="12" t="s">
        <v>194</v>
      </c>
      <c r="C468" s="13">
        <v>45798</v>
      </c>
      <c r="D468" s="12" t="s">
        <v>350</v>
      </c>
      <c r="E468" s="14" t="s">
        <v>323</v>
      </c>
      <c r="F468" s="12" t="s">
        <v>341</v>
      </c>
      <c r="G468" s="2">
        <v>1</v>
      </c>
      <c r="H468" s="3">
        <v>343</v>
      </c>
      <c r="I468" s="14" t="s">
        <v>342</v>
      </c>
      <c r="J468" s="12" t="s">
        <v>787</v>
      </c>
      <c r="K468" s="2">
        <v>0</v>
      </c>
      <c r="L468" s="12" t="s">
        <v>332</v>
      </c>
      <c r="M468">
        <f>YEAR(VentesMagasins!$C468)</f>
        <v>2025</v>
      </c>
      <c r="N468" t="e" cm="1" vm="1">
        <f t="array" aca="1" ref="N468" ca="1">MONTH(DateVente)</f>
        <v>#VALUE!</v>
      </c>
      <c r="O468" t="str">
        <f>PROPER(VentesMagasins!$F468)</f>
        <v>Meuble</v>
      </c>
      <c r="P468">
        <f>VALUE(CLEAN(TRIM(SUBSTITUTE(VentesMagasins!$I468,".",","))))</f>
        <v>0.05</v>
      </c>
      <c r="Q468">
        <f>VALUE(TRIM(SUBSTITUTE(VentesMagasins!$J468,".",",")))</f>
        <v>325.849999999999</v>
      </c>
      <c r="R468">
        <f t="shared" si="21"/>
        <v>309.55749999999904</v>
      </c>
      <c r="S468">
        <f>IF(VentesMagasins!$K468=1,(-1)*R468,R468)</f>
        <v>309.55749999999904</v>
      </c>
      <c r="T468">
        <f>IFERROR(VALUE(TRIM(SUBSTITUTE(VentesMagasins!$L468,".",","))),0)</f>
        <v>4</v>
      </c>
      <c r="U468">
        <f t="shared" si="22"/>
        <v>4</v>
      </c>
      <c r="V468" t="str">
        <f t="shared" si="23"/>
        <v>moyenne</v>
      </c>
      <c r="W468" t="str">
        <f>_xlfn.XLOOKUP(VentesMagasins!$B468,Clients!ClientID,Région)</f>
        <v>Centre</v>
      </c>
      <c r="X468" t="str">
        <f>INDEX(TypeClient,MATCH(VentesMagasins!$B468,Clients!ClientID))</f>
        <v>Fidèle</v>
      </c>
      <c r="Y468" t="str">
        <v>mai</v>
      </c>
    </row>
    <row r="469" spans="1:25" x14ac:dyDescent="0.25">
      <c r="A469" s="2">
        <v>468</v>
      </c>
      <c r="B469" s="12" t="s">
        <v>202</v>
      </c>
      <c r="C469" s="13">
        <v>46008</v>
      </c>
      <c r="D469" s="12" t="s">
        <v>333</v>
      </c>
      <c r="E469" s="14" t="s">
        <v>334</v>
      </c>
      <c r="F469" s="12" t="s">
        <v>324</v>
      </c>
      <c r="G469" s="2">
        <v>3</v>
      </c>
      <c r="H469" s="3">
        <v>279</v>
      </c>
      <c r="I469" s="14" t="s">
        <v>355</v>
      </c>
      <c r="J469" s="12" t="s">
        <v>788</v>
      </c>
      <c r="K469" s="2">
        <v>0</v>
      </c>
      <c r="L469" s="12" t="s">
        <v>332</v>
      </c>
      <c r="M469">
        <f>YEAR(VentesMagasins!$C469)</f>
        <v>2025</v>
      </c>
      <c r="N469" t="e" cm="1" vm="1">
        <f t="array" aca="1" ref="N469" ca="1">MONTH(DateVente)</f>
        <v>#VALUE!</v>
      </c>
      <c r="O469" t="str">
        <f>PROPER(VentesMagasins!$F469)</f>
        <v>Électronique</v>
      </c>
      <c r="P469">
        <f>VALUE(CLEAN(TRIM(SUBSTITUTE(VentesMagasins!$I469,".",","))))</f>
        <v>0.1</v>
      </c>
      <c r="Q469">
        <f>VALUE(TRIM(SUBSTITUTE(VentesMagasins!$J469,".",",")))</f>
        <v>677.97</v>
      </c>
      <c r="R469">
        <f t="shared" si="21"/>
        <v>610.173</v>
      </c>
      <c r="S469">
        <f>IF(VentesMagasins!$K469=1,(-1)*R469,R469)</f>
        <v>610.173</v>
      </c>
      <c r="T469">
        <f>IFERROR(VALUE(TRIM(SUBSTITUTE(VentesMagasins!$L469,".",","))),0)</f>
        <v>4</v>
      </c>
      <c r="U469">
        <f t="shared" si="22"/>
        <v>4</v>
      </c>
      <c r="V469" t="str">
        <f t="shared" si="23"/>
        <v>moyenne</v>
      </c>
      <c r="W469" t="str">
        <f>_xlfn.XLOOKUP(VentesMagasins!$B469,Clients!ClientID,Région)</f>
        <v>Nord</v>
      </c>
      <c r="X469" t="str">
        <f>INDEX(TypeClient,MATCH(VentesMagasins!$B469,Clients!ClientID))</f>
        <v>Fidèle</v>
      </c>
      <c r="Y469" t="str">
        <v>déc</v>
      </c>
    </row>
    <row r="470" spans="1:25" x14ac:dyDescent="0.25">
      <c r="A470" s="2">
        <v>469</v>
      </c>
      <c r="B470" s="12" t="s">
        <v>152</v>
      </c>
      <c r="C470" s="13">
        <v>45819</v>
      </c>
      <c r="D470" s="12" t="s">
        <v>322</v>
      </c>
      <c r="E470" s="14" t="s">
        <v>339</v>
      </c>
      <c r="F470" s="12" t="s">
        <v>341</v>
      </c>
      <c r="G470" s="2">
        <v>2</v>
      </c>
      <c r="H470" s="3">
        <v>74</v>
      </c>
      <c r="I470" s="14" t="s">
        <v>325</v>
      </c>
      <c r="J470" s="12" t="s">
        <v>789</v>
      </c>
      <c r="K470" s="2">
        <v>0</v>
      </c>
      <c r="L470" s="12" t="s">
        <v>344</v>
      </c>
      <c r="M470">
        <f>YEAR(VentesMagasins!$C470)</f>
        <v>2025</v>
      </c>
      <c r="N470" t="e" cm="1" vm="1">
        <f t="array" aca="1" ref="N470" ca="1">MONTH(DateVente)</f>
        <v>#VALUE!</v>
      </c>
      <c r="O470" t="str">
        <f>PROPER(VentesMagasins!$F470)</f>
        <v>Meuble</v>
      </c>
      <c r="P470">
        <f>VALUE(CLEAN(TRIM(SUBSTITUTE(VentesMagasins!$I470,".",","))))</f>
        <v>0.15</v>
      </c>
      <c r="Q470">
        <f>VALUE(TRIM(SUBSTITUTE(VentesMagasins!$J470,".",",")))</f>
        <v>125.8</v>
      </c>
      <c r="R470">
        <f t="shared" si="21"/>
        <v>106.92999999999999</v>
      </c>
      <c r="S470">
        <f>IF(VentesMagasins!$K470=1,(-1)*R470,R470)</f>
        <v>106.92999999999999</v>
      </c>
      <c r="T470">
        <f>IFERROR(VALUE(TRIM(SUBSTITUTE(VentesMagasins!$L470,".",","))),0)</f>
        <v>2</v>
      </c>
      <c r="U470">
        <f t="shared" si="22"/>
        <v>2</v>
      </c>
      <c r="V470" t="str">
        <f t="shared" si="23"/>
        <v>faible</v>
      </c>
      <c r="W470" t="str">
        <f>_xlfn.XLOOKUP(VentesMagasins!$B470,Clients!ClientID,Région)</f>
        <v>Est</v>
      </c>
      <c r="X470" t="str">
        <f>INDEX(TypeClient,MATCH(VentesMagasins!$B470,Clients!ClientID))</f>
        <v>Fidèle</v>
      </c>
      <c r="Y470" t="str">
        <v>juin</v>
      </c>
    </row>
    <row r="471" spans="1:25" x14ac:dyDescent="0.25">
      <c r="A471" s="2">
        <v>470</v>
      </c>
      <c r="B471" s="12" t="s">
        <v>267</v>
      </c>
      <c r="C471" s="13">
        <v>45391</v>
      </c>
      <c r="D471" s="12" t="s">
        <v>425</v>
      </c>
      <c r="E471" s="14" t="s">
        <v>334</v>
      </c>
      <c r="F471" s="12" t="s">
        <v>324</v>
      </c>
      <c r="G471" s="2">
        <v>4</v>
      </c>
      <c r="H471" s="3">
        <v>98</v>
      </c>
      <c r="I471" s="14" t="s">
        <v>355</v>
      </c>
      <c r="J471" s="12" t="s">
        <v>652</v>
      </c>
      <c r="K471" s="2">
        <v>0</v>
      </c>
      <c r="L471" s="12" t="s">
        <v>327</v>
      </c>
      <c r="M471">
        <f>YEAR(VentesMagasins!$C471)</f>
        <v>2024</v>
      </c>
      <c r="N471" t="e" cm="1" vm="1">
        <f t="array" aca="1" ref="N471" ca="1">MONTH(DateVente)</f>
        <v>#VALUE!</v>
      </c>
      <c r="O471" t="str">
        <f>PROPER(VentesMagasins!$F471)</f>
        <v>Électronique</v>
      </c>
      <c r="P471">
        <f>VALUE(CLEAN(TRIM(SUBSTITUTE(VentesMagasins!$I471,".",","))))</f>
        <v>0.1</v>
      </c>
      <c r="Q471">
        <f>VALUE(TRIM(SUBSTITUTE(VentesMagasins!$J471,".",",")))</f>
        <v>352.8</v>
      </c>
      <c r="R471">
        <f t="shared" si="21"/>
        <v>317.52000000000004</v>
      </c>
      <c r="S471">
        <f>IF(VentesMagasins!$K471=1,(-1)*R471,R471)</f>
        <v>317.52000000000004</v>
      </c>
      <c r="T471">
        <f>IFERROR(VALUE(TRIM(SUBSTITUTE(VentesMagasins!$L471,".",","))),0)</f>
        <v>5</v>
      </c>
      <c r="U471">
        <f t="shared" si="22"/>
        <v>5</v>
      </c>
      <c r="V471" t="str">
        <f t="shared" si="23"/>
        <v>élévé</v>
      </c>
      <c r="W471" t="str">
        <f>_xlfn.XLOOKUP(VentesMagasins!$B471,Clients!ClientID,Région)</f>
        <v>Est</v>
      </c>
      <c r="X471" t="str">
        <f>INDEX(TypeClient,MATCH(VentesMagasins!$B471,Clients!ClientID))</f>
        <v>Nouveau</v>
      </c>
      <c r="Y471" t="str">
        <v>avr</v>
      </c>
    </row>
    <row r="472" spans="1:25" x14ac:dyDescent="0.25">
      <c r="A472" s="2">
        <v>471</v>
      </c>
      <c r="B472" s="12" t="s">
        <v>88</v>
      </c>
      <c r="C472" s="13">
        <v>45724</v>
      </c>
      <c r="D472" s="12" t="s">
        <v>350</v>
      </c>
      <c r="E472" s="14" t="s">
        <v>329</v>
      </c>
      <c r="F472" s="12" t="s">
        <v>330</v>
      </c>
      <c r="G472" s="2">
        <v>4</v>
      </c>
      <c r="H472" s="3">
        <v>39</v>
      </c>
      <c r="I472" s="14" t="s">
        <v>335</v>
      </c>
      <c r="J472" s="12" t="s">
        <v>462</v>
      </c>
      <c r="K472" s="2">
        <v>0</v>
      </c>
      <c r="L472" s="12" t="s">
        <v>327</v>
      </c>
      <c r="M472">
        <f>YEAR(VentesMagasins!$C472)</f>
        <v>2025</v>
      </c>
      <c r="N472" t="e" cm="1" vm="1">
        <f t="array" aca="1" ref="N472" ca="1">MONTH(DateVente)</f>
        <v>#VALUE!</v>
      </c>
      <c r="O472" t="str">
        <f>PROPER(VentesMagasins!$F472)</f>
        <v>Décoration</v>
      </c>
      <c r="P472">
        <f>VALUE(CLEAN(TRIM(SUBSTITUTE(VentesMagasins!$I472,".",","))))</f>
        <v>0</v>
      </c>
      <c r="Q472">
        <f>VALUE(TRIM(SUBSTITUTE(VentesMagasins!$J472,".",",")))</f>
        <v>156</v>
      </c>
      <c r="R472">
        <f t="shared" si="21"/>
        <v>156</v>
      </c>
      <c r="S472">
        <f>IF(VentesMagasins!$K472=1,(-1)*R472,R472)</f>
        <v>156</v>
      </c>
      <c r="T472">
        <f>IFERROR(VALUE(TRIM(SUBSTITUTE(VentesMagasins!$L472,".",","))),0)</f>
        <v>5</v>
      </c>
      <c r="U472">
        <f t="shared" si="22"/>
        <v>5</v>
      </c>
      <c r="V472" t="str">
        <f t="shared" si="23"/>
        <v>élévé</v>
      </c>
      <c r="W472" t="str">
        <f>_xlfn.XLOOKUP(VentesMagasins!$B472,Clients!ClientID,Région)</f>
        <v>Centre</v>
      </c>
      <c r="X472" t="str">
        <f>INDEX(TypeClient,MATCH(VentesMagasins!$B472,Clients!ClientID))</f>
        <v>Nouveau</v>
      </c>
      <c r="Y472" t="str">
        <v>mars</v>
      </c>
    </row>
    <row r="473" spans="1:25" x14ac:dyDescent="0.25">
      <c r="A473" s="2">
        <v>472</v>
      </c>
      <c r="B473" s="12" t="s">
        <v>16</v>
      </c>
      <c r="C473" s="13">
        <v>44980</v>
      </c>
      <c r="D473" s="12" t="s">
        <v>333</v>
      </c>
      <c r="E473" s="14" t="s">
        <v>345</v>
      </c>
      <c r="F473" s="12" t="s">
        <v>330</v>
      </c>
      <c r="G473" s="2">
        <v>4</v>
      </c>
      <c r="H473" s="3">
        <v>392</v>
      </c>
      <c r="I473" s="14" t="s">
        <v>335</v>
      </c>
      <c r="J473" s="12" t="s">
        <v>790</v>
      </c>
      <c r="K473" s="2">
        <v>0</v>
      </c>
      <c r="L473" s="12" t="s">
        <v>352</v>
      </c>
      <c r="M473">
        <f>YEAR(VentesMagasins!$C473)</f>
        <v>2023</v>
      </c>
      <c r="N473" t="e" cm="1" vm="1">
        <f t="array" aca="1" ref="N473" ca="1">MONTH(DateVente)</f>
        <v>#VALUE!</v>
      </c>
      <c r="O473" t="str">
        <f>PROPER(VentesMagasins!$F473)</f>
        <v>Décoration</v>
      </c>
      <c r="P473">
        <f>VALUE(CLEAN(TRIM(SUBSTITUTE(VentesMagasins!$I473,".",","))))</f>
        <v>0</v>
      </c>
      <c r="Q473">
        <f>VALUE(TRIM(SUBSTITUTE(VentesMagasins!$J473,".",",")))</f>
        <v>1568</v>
      </c>
      <c r="R473">
        <f t="shared" si="21"/>
        <v>1568</v>
      </c>
      <c r="S473">
        <f>IF(VentesMagasins!$K473=1,(-1)*R473,R473)</f>
        <v>1568</v>
      </c>
      <c r="T473">
        <f>IFERROR(VALUE(TRIM(SUBSTITUTE(VentesMagasins!$L473,".",","))),0)</f>
        <v>0</v>
      </c>
      <c r="U473">
        <f t="shared" si="22"/>
        <v>2</v>
      </c>
      <c r="V473" t="str">
        <f t="shared" si="23"/>
        <v>faible</v>
      </c>
      <c r="W473" t="str">
        <f>_xlfn.XLOOKUP(VentesMagasins!$B473,Clients!ClientID,Région)</f>
        <v>Sud</v>
      </c>
      <c r="X473" t="str">
        <f>INDEX(TypeClient,MATCH(VentesMagasins!$B473,Clients!ClientID))</f>
        <v>Nouveau</v>
      </c>
      <c r="Y473" t="str">
        <v>févr</v>
      </c>
    </row>
    <row r="474" spans="1:25" x14ac:dyDescent="0.25">
      <c r="A474" s="2">
        <v>473</v>
      </c>
      <c r="B474" s="12" t="s">
        <v>147</v>
      </c>
      <c r="C474" s="13">
        <v>46000</v>
      </c>
      <c r="D474" s="12" t="s">
        <v>449</v>
      </c>
      <c r="E474" s="14" t="s">
        <v>339</v>
      </c>
      <c r="F474" s="12" t="s">
        <v>688</v>
      </c>
      <c r="G474" s="2">
        <v>3</v>
      </c>
      <c r="H474" s="3">
        <v>72</v>
      </c>
      <c r="I474" s="14" t="s">
        <v>342</v>
      </c>
      <c r="J474" s="12" t="s">
        <v>791</v>
      </c>
      <c r="K474" s="2">
        <v>1</v>
      </c>
      <c r="L474" s="12" t="s">
        <v>327</v>
      </c>
      <c r="M474">
        <f>YEAR(VentesMagasins!$C474)</f>
        <v>2025</v>
      </c>
      <c r="N474" t="e" cm="1" vm="1">
        <f t="array" aca="1" ref="N474" ca="1">MONTH(DateVente)</f>
        <v>#VALUE!</v>
      </c>
      <c r="O474" t="str">
        <f>PROPER(VentesMagasins!$F474)</f>
        <v>Décoration</v>
      </c>
      <c r="P474">
        <f>VALUE(CLEAN(TRIM(SUBSTITUTE(VentesMagasins!$I474,".",","))))</f>
        <v>0.05</v>
      </c>
      <c r="Q474">
        <f>VALUE(TRIM(SUBSTITUTE(VentesMagasins!$J474,".",",")))</f>
        <v>205.2</v>
      </c>
      <c r="R474">
        <f t="shared" si="21"/>
        <v>194.93999999999997</v>
      </c>
      <c r="S474">
        <f>IF(VentesMagasins!$K474=1,(-1)*R474,R474)</f>
        <v>-194.93999999999997</v>
      </c>
      <c r="T474">
        <f>IFERROR(VALUE(TRIM(SUBSTITUTE(VentesMagasins!$L474,".",","))),0)</f>
        <v>5</v>
      </c>
      <c r="U474">
        <f t="shared" si="22"/>
        <v>5</v>
      </c>
      <c r="V474" t="str">
        <f t="shared" si="23"/>
        <v>élévé</v>
      </c>
      <c r="W474" t="str">
        <f>_xlfn.XLOOKUP(VentesMagasins!$B474,Clients!ClientID,Région)</f>
        <v>Ouest</v>
      </c>
      <c r="X474" t="str">
        <f>INDEX(TypeClient,MATCH(VentesMagasins!$B474,Clients!ClientID))</f>
        <v>Fidèle</v>
      </c>
      <c r="Y474" t="str">
        <v>déc</v>
      </c>
    </row>
    <row r="475" spans="1:25" x14ac:dyDescent="0.25">
      <c r="A475" s="2">
        <v>474</v>
      </c>
      <c r="B475" s="12" t="s">
        <v>172</v>
      </c>
      <c r="C475" s="13">
        <v>45815</v>
      </c>
      <c r="D475" s="12" t="s">
        <v>350</v>
      </c>
      <c r="E475" s="14" t="s">
        <v>362</v>
      </c>
      <c r="F475" s="12" t="s">
        <v>324</v>
      </c>
      <c r="G475" s="2">
        <v>2</v>
      </c>
      <c r="H475" s="3">
        <v>443</v>
      </c>
      <c r="I475" s="14" t="s">
        <v>355</v>
      </c>
      <c r="J475" s="12" t="s">
        <v>792</v>
      </c>
      <c r="K475" s="2">
        <v>0</v>
      </c>
      <c r="L475" s="12" t="s">
        <v>344</v>
      </c>
      <c r="M475">
        <f>YEAR(VentesMagasins!$C475)</f>
        <v>2025</v>
      </c>
      <c r="N475" t="e" cm="1" vm="1">
        <f t="array" aca="1" ref="N475" ca="1">MONTH(DateVente)</f>
        <v>#VALUE!</v>
      </c>
      <c r="O475" t="str">
        <f>PROPER(VentesMagasins!$F475)</f>
        <v>Électronique</v>
      </c>
      <c r="P475">
        <f>VALUE(CLEAN(TRIM(SUBSTITUTE(VentesMagasins!$I475,".",","))))</f>
        <v>0.1</v>
      </c>
      <c r="Q475">
        <f>VALUE(TRIM(SUBSTITUTE(VentesMagasins!$J475,".",",")))</f>
        <v>797.4</v>
      </c>
      <c r="R475">
        <f t="shared" si="21"/>
        <v>717.66</v>
      </c>
      <c r="S475">
        <f>IF(VentesMagasins!$K475=1,(-1)*R475,R475)</f>
        <v>717.66</v>
      </c>
      <c r="T475">
        <f>IFERROR(VALUE(TRIM(SUBSTITUTE(VentesMagasins!$L475,".",","))),0)</f>
        <v>2</v>
      </c>
      <c r="U475">
        <f t="shared" si="22"/>
        <v>2</v>
      </c>
      <c r="V475" t="str">
        <f t="shared" si="23"/>
        <v>faible</v>
      </c>
      <c r="W475" t="str">
        <f>_xlfn.XLOOKUP(VentesMagasins!$B475,Clients!ClientID,Région)</f>
        <v>Centre</v>
      </c>
      <c r="X475" t="str">
        <f>INDEX(TypeClient,MATCH(VentesMagasins!$B475,Clients!ClientID))</f>
        <v>Nouveau</v>
      </c>
      <c r="Y475" t="str">
        <v>juin</v>
      </c>
    </row>
    <row r="476" spans="1:25" x14ac:dyDescent="0.25">
      <c r="A476" s="2">
        <v>475</v>
      </c>
      <c r="B476" s="12" t="s">
        <v>197</v>
      </c>
      <c r="C476" s="13">
        <v>45182</v>
      </c>
      <c r="D476" s="12" t="s">
        <v>328</v>
      </c>
      <c r="E476" s="14" t="s">
        <v>329</v>
      </c>
      <c r="F476" s="12" t="s">
        <v>341</v>
      </c>
      <c r="G476" s="2">
        <v>5</v>
      </c>
      <c r="H476" s="3">
        <v>396</v>
      </c>
      <c r="I476" s="14" t="s">
        <v>342</v>
      </c>
      <c r="J476" s="12" t="s">
        <v>793</v>
      </c>
      <c r="K476" s="2">
        <v>0</v>
      </c>
      <c r="L476" s="12" t="s">
        <v>344</v>
      </c>
      <c r="M476">
        <f>YEAR(VentesMagasins!$C476)</f>
        <v>2023</v>
      </c>
      <c r="N476" t="e" cm="1" vm="1">
        <f t="array" aca="1" ref="N476" ca="1">MONTH(DateVente)</f>
        <v>#VALUE!</v>
      </c>
      <c r="O476" t="str">
        <f>PROPER(VentesMagasins!$F476)</f>
        <v>Meuble</v>
      </c>
      <c r="P476">
        <f>VALUE(CLEAN(TRIM(SUBSTITUTE(VentesMagasins!$I476,".",","))))</f>
        <v>0.05</v>
      </c>
      <c r="Q476">
        <f>VALUE(TRIM(SUBSTITUTE(VentesMagasins!$J476,".",",")))</f>
        <v>1881</v>
      </c>
      <c r="R476">
        <f t="shared" si="21"/>
        <v>1786.9499999999998</v>
      </c>
      <c r="S476">
        <f>IF(VentesMagasins!$K476=1,(-1)*R476,R476)</f>
        <v>1786.9499999999998</v>
      </c>
      <c r="T476">
        <f>IFERROR(VALUE(TRIM(SUBSTITUTE(VentesMagasins!$L476,".",","))),0)</f>
        <v>2</v>
      </c>
      <c r="U476">
        <f t="shared" si="22"/>
        <v>2</v>
      </c>
      <c r="V476" t="str">
        <f t="shared" si="23"/>
        <v>faible</v>
      </c>
      <c r="W476" t="str">
        <f>_xlfn.XLOOKUP(VentesMagasins!$B476,Clients!ClientID,Région)</f>
        <v>Nord</v>
      </c>
      <c r="X476" t="str">
        <f>INDEX(TypeClient,MATCH(VentesMagasins!$B476,Clients!ClientID))</f>
        <v>Nouveau</v>
      </c>
      <c r="Y476" t="str">
        <v>sept</v>
      </c>
    </row>
    <row r="477" spans="1:25" x14ac:dyDescent="0.25">
      <c r="A477" s="2">
        <v>476</v>
      </c>
      <c r="B477" s="12" t="s">
        <v>32</v>
      </c>
      <c r="C477" s="13">
        <v>44974</v>
      </c>
      <c r="D477" s="12" t="s">
        <v>350</v>
      </c>
      <c r="E477" s="14" t="s">
        <v>345</v>
      </c>
      <c r="F477" s="12" t="s">
        <v>330</v>
      </c>
      <c r="G477" s="2">
        <v>1</v>
      </c>
      <c r="H477" s="3">
        <v>432</v>
      </c>
      <c r="I477" s="14" t="s">
        <v>342</v>
      </c>
      <c r="J477" s="12" t="s">
        <v>794</v>
      </c>
      <c r="K477" s="2">
        <v>0</v>
      </c>
      <c r="L477" s="12" t="s">
        <v>327</v>
      </c>
      <c r="M477">
        <f>YEAR(VentesMagasins!$C477)</f>
        <v>2023</v>
      </c>
      <c r="N477" t="e" cm="1" vm="1">
        <f t="array" aca="1" ref="N477" ca="1">MONTH(DateVente)</f>
        <v>#VALUE!</v>
      </c>
      <c r="O477" t="str">
        <f>PROPER(VentesMagasins!$F477)</f>
        <v>Décoration</v>
      </c>
      <c r="P477">
        <f>VALUE(CLEAN(TRIM(SUBSTITUTE(VentesMagasins!$I477,".",","))))</f>
        <v>0.05</v>
      </c>
      <c r="Q477">
        <f>VALUE(TRIM(SUBSTITUTE(VentesMagasins!$J477,".",",")))</f>
        <v>410.4</v>
      </c>
      <c r="R477">
        <f t="shared" si="21"/>
        <v>389.87999999999994</v>
      </c>
      <c r="S477">
        <f>IF(VentesMagasins!$K477=1,(-1)*R477,R477)</f>
        <v>389.87999999999994</v>
      </c>
      <c r="T477">
        <f>IFERROR(VALUE(TRIM(SUBSTITUTE(VentesMagasins!$L477,".",","))),0)</f>
        <v>5</v>
      </c>
      <c r="U477">
        <f t="shared" si="22"/>
        <v>5</v>
      </c>
      <c r="V477" t="str">
        <f t="shared" si="23"/>
        <v>élévé</v>
      </c>
      <c r="W477" t="str">
        <f>_xlfn.XLOOKUP(VentesMagasins!$B477,Clients!ClientID,Région)</f>
        <v>Ouest</v>
      </c>
      <c r="X477" t="str">
        <f>INDEX(TypeClient,MATCH(VentesMagasins!$B477,Clients!ClientID))</f>
        <v>Occasionnel</v>
      </c>
      <c r="Y477" t="str">
        <v>févr</v>
      </c>
    </row>
    <row r="478" spans="1:25" x14ac:dyDescent="0.25">
      <c r="A478" s="2">
        <v>477</v>
      </c>
      <c r="B478" s="12" t="s">
        <v>205</v>
      </c>
      <c r="C478" s="13">
        <v>45324</v>
      </c>
      <c r="D478" s="12" t="s">
        <v>322</v>
      </c>
      <c r="E478" s="14" t="s">
        <v>345</v>
      </c>
      <c r="F478" s="12" t="s">
        <v>341</v>
      </c>
      <c r="G478" s="2">
        <v>3</v>
      </c>
      <c r="H478" s="3">
        <v>375</v>
      </c>
      <c r="I478" s="14" t="s">
        <v>325</v>
      </c>
      <c r="J478" s="12" t="s">
        <v>795</v>
      </c>
      <c r="K478" s="2">
        <v>0</v>
      </c>
      <c r="L478" s="12" t="s">
        <v>352</v>
      </c>
      <c r="M478">
        <f>YEAR(VentesMagasins!$C478)</f>
        <v>2024</v>
      </c>
      <c r="N478" t="e" cm="1" vm="1">
        <f t="array" aca="1" ref="N478" ca="1">MONTH(DateVente)</f>
        <v>#VALUE!</v>
      </c>
      <c r="O478" t="str">
        <f>PROPER(VentesMagasins!$F478)</f>
        <v>Meuble</v>
      </c>
      <c r="P478">
        <f>VALUE(CLEAN(TRIM(SUBSTITUTE(VentesMagasins!$I478,".",","))))</f>
        <v>0.15</v>
      </c>
      <c r="Q478">
        <f>VALUE(TRIM(SUBSTITUTE(VentesMagasins!$J478,".",",")))</f>
        <v>860.625</v>
      </c>
      <c r="R478">
        <f t="shared" si="21"/>
        <v>731.53125</v>
      </c>
      <c r="S478">
        <f>IF(VentesMagasins!$K478=1,(-1)*R478,R478)</f>
        <v>731.53125</v>
      </c>
      <c r="T478">
        <f>IFERROR(VALUE(TRIM(SUBSTITUTE(VentesMagasins!$L478,".",","))),0)</f>
        <v>0</v>
      </c>
      <c r="U478">
        <f t="shared" si="22"/>
        <v>2</v>
      </c>
      <c r="V478" t="str">
        <f t="shared" si="23"/>
        <v>faible</v>
      </c>
      <c r="W478" t="str">
        <f>_xlfn.XLOOKUP(VentesMagasins!$B478,Clients!ClientID,Région)</f>
        <v>Centre</v>
      </c>
      <c r="X478" t="str">
        <f>INDEX(TypeClient,MATCH(VentesMagasins!$B478,Clients!ClientID))</f>
        <v>Nouveau</v>
      </c>
      <c r="Y478" t="str">
        <v>févr</v>
      </c>
    </row>
    <row r="479" spans="1:25" x14ac:dyDescent="0.25">
      <c r="A479" s="2">
        <v>478</v>
      </c>
      <c r="B479" s="12" t="s">
        <v>232</v>
      </c>
      <c r="C479" s="13">
        <v>44979</v>
      </c>
      <c r="D479" s="12" t="s">
        <v>350</v>
      </c>
      <c r="E479" s="14" t="s">
        <v>364</v>
      </c>
      <c r="F479" s="12" t="s">
        <v>324</v>
      </c>
      <c r="G479" s="2">
        <v>3</v>
      </c>
      <c r="H479" s="3">
        <v>314</v>
      </c>
      <c r="I479" s="14" t="s">
        <v>335</v>
      </c>
      <c r="J479" s="12" t="s">
        <v>796</v>
      </c>
      <c r="K479" s="2">
        <v>0</v>
      </c>
      <c r="L479" s="12" t="s">
        <v>344</v>
      </c>
      <c r="M479">
        <f>YEAR(VentesMagasins!$C479)</f>
        <v>2023</v>
      </c>
      <c r="N479" t="e" cm="1" vm="1">
        <f t="array" aca="1" ref="N479" ca="1">MONTH(DateVente)</f>
        <v>#VALUE!</v>
      </c>
      <c r="O479" t="str">
        <f>PROPER(VentesMagasins!$F479)</f>
        <v>Électronique</v>
      </c>
      <c r="P479">
        <f>VALUE(CLEAN(TRIM(SUBSTITUTE(VentesMagasins!$I479,".",","))))</f>
        <v>0</v>
      </c>
      <c r="Q479">
        <f>VALUE(TRIM(SUBSTITUTE(VentesMagasins!$J479,".",",")))</f>
        <v>942</v>
      </c>
      <c r="R479">
        <f t="shared" si="21"/>
        <v>942</v>
      </c>
      <c r="S479">
        <f>IF(VentesMagasins!$K479=1,(-1)*R479,R479)</f>
        <v>942</v>
      </c>
      <c r="T479">
        <f>IFERROR(VALUE(TRIM(SUBSTITUTE(VentesMagasins!$L479,".",","))),0)</f>
        <v>2</v>
      </c>
      <c r="U479">
        <f t="shared" si="22"/>
        <v>2</v>
      </c>
      <c r="V479" t="str">
        <f t="shared" si="23"/>
        <v>faible</v>
      </c>
      <c r="W479" t="str">
        <f>_xlfn.XLOOKUP(VentesMagasins!$B479,Clients!ClientID,Région)</f>
        <v>Centre</v>
      </c>
      <c r="X479" t="str">
        <f>INDEX(TypeClient,MATCH(VentesMagasins!$B479,Clients!ClientID))</f>
        <v>Fidèle</v>
      </c>
      <c r="Y479" t="str">
        <v>févr</v>
      </c>
    </row>
    <row r="480" spans="1:25" x14ac:dyDescent="0.25">
      <c r="A480" s="2">
        <v>479</v>
      </c>
      <c r="B480" s="12" t="s">
        <v>164</v>
      </c>
      <c r="C480" s="13">
        <v>45330</v>
      </c>
      <c r="D480" s="12" t="s">
        <v>333</v>
      </c>
      <c r="E480" s="14" t="s">
        <v>339</v>
      </c>
      <c r="F480" s="12" t="s">
        <v>324</v>
      </c>
      <c r="G480" s="2">
        <v>4</v>
      </c>
      <c r="H480" s="3">
        <v>124</v>
      </c>
      <c r="I480" s="14" t="s">
        <v>355</v>
      </c>
      <c r="J480" s="12" t="s">
        <v>797</v>
      </c>
      <c r="K480" s="2">
        <v>0</v>
      </c>
      <c r="L480" s="12" t="s">
        <v>332</v>
      </c>
      <c r="M480">
        <f>YEAR(VentesMagasins!$C480)</f>
        <v>2024</v>
      </c>
      <c r="N480" t="e" cm="1" vm="1">
        <f t="array" aca="1" ref="N480" ca="1">MONTH(DateVente)</f>
        <v>#VALUE!</v>
      </c>
      <c r="O480" t="str">
        <f>PROPER(VentesMagasins!$F480)</f>
        <v>Électronique</v>
      </c>
      <c r="P480">
        <f>VALUE(CLEAN(TRIM(SUBSTITUTE(VentesMagasins!$I480,".",","))))</f>
        <v>0.1</v>
      </c>
      <c r="Q480">
        <f>VALUE(TRIM(SUBSTITUTE(VentesMagasins!$J480,".",",")))</f>
        <v>446.4</v>
      </c>
      <c r="R480">
        <f t="shared" si="21"/>
        <v>401.76</v>
      </c>
      <c r="S480">
        <f>IF(VentesMagasins!$K480=1,(-1)*R480,R480)</f>
        <v>401.76</v>
      </c>
      <c r="T480">
        <f>IFERROR(VALUE(TRIM(SUBSTITUTE(VentesMagasins!$L480,".",","))),0)</f>
        <v>4</v>
      </c>
      <c r="U480">
        <f t="shared" si="22"/>
        <v>4</v>
      </c>
      <c r="V480" t="str">
        <f t="shared" si="23"/>
        <v>moyenne</v>
      </c>
      <c r="W480" t="str">
        <f>_xlfn.XLOOKUP(VentesMagasins!$B480,Clients!ClientID,Région)</f>
        <v>Est</v>
      </c>
      <c r="X480" t="str">
        <f>INDEX(TypeClient,MATCH(VentesMagasins!$B480,Clients!ClientID))</f>
        <v>Occasionnel</v>
      </c>
      <c r="Y480" t="str">
        <v>févr</v>
      </c>
    </row>
    <row r="481" spans="1:25" x14ac:dyDescent="0.25">
      <c r="A481" s="2">
        <v>480</v>
      </c>
      <c r="B481" s="12" t="s">
        <v>36</v>
      </c>
      <c r="C481" s="13">
        <v>45385</v>
      </c>
      <c r="D481" s="12" t="s">
        <v>338</v>
      </c>
      <c r="E481" s="14" t="s">
        <v>323</v>
      </c>
      <c r="F481" s="12" t="s">
        <v>330</v>
      </c>
      <c r="G481" s="2">
        <v>3</v>
      </c>
      <c r="H481" s="3">
        <v>319</v>
      </c>
      <c r="I481" s="14" t="s">
        <v>325</v>
      </c>
      <c r="J481" s="12" t="s">
        <v>428</v>
      </c>
      <c r="K481" s="2">
        <v>0</v>
      </c>
      <c r="L481" s="12" t="s">
        <v>344</v>
      </c>
      <c r="M481">
        <f>YEAR(VentesMagasins!$C481)</f>
        <v>2024</v>
      </c>
      <c r="N481" t="e" cm="1" vm="1">
        <f t="array" aca="1" ref="N481" ca="1">MONTH(DateVente)</f>
        <v>#VALUE!</v>
      </c>
      <c r="O481" t="str">
        <f>PROPER(VentesMagasins!$F481)</f>
        <v>Décoration</v>
      </c>
      <c r="P481">
        <f>VALUE(CLEAN(TRIM(SUBSTITUTE(VentesMagasins!$I481,".",","))))</f>
        <v>0.15</v>
      </c>
      <c r="Q481">
        <f>VALUE(TRIM(SUBSTITUTE(VentesMagasins!$J481,".",",")))</f>
        <v>813.44999999999902</v>
      </c>
      <c r="R481">
        <f t="shared" si="21"/>
        <v>691.4324999999991</v>
      </c>
      <c r="S481">
        <f>IF(VentesMagasins!$K481=1,(-1)*R481,R481)</f>
        <v>691.4324999999991</v>
      </c>
      <c r="T481">
        <f>IFERROR(VALUE(TRIM(SUBSTITUTE(VentesMagasins!$L481,".",","))),0)</f>
        <v>2</v>
      </c>
      <c r="U481">
        <f t="shared" si="22"/>
        <v>2</v>
      </c>
      <c r="V481" t="str">
        <f t="shared" si="23"/>
        <v>faible</v>
      </c>
      <c r="W481" t="str">
        <f>_xlfn.XLOOKUP(VentesMagasins!$B481,Clients!ClientID,Région)</f>
        <v>Est</v>
      </c>
      <c r="X481" t="str">
        <f>INDEX(TypeClient,MATCH(VentesMagasins!$B481,Clients!ClientID))</f>
        <v>Fidèle</v>
      </c>
      <c r="Y481" t="str">
        <v>avr</v>
      </c>
    </row>
    <row r="482" spans="1:25" x14ac:dyDescent="0.25">
      <c r="A482" s="2">
        <v>481</v>
      </c>
      <c r="B482" s="12" t="s">
        <v>102</v>
      </c>
      <c r="C482" s="13">
        <v>45943</v>
      </c>
      <c r="D482" s="12" t="s">
        <v>328</v>
      </c>
      <c r="E482" s="14" t="s">
        <v>339</v>
      </c>
      <c r="F482" s="12" t="s">
        <v>341</v>
      </c>
      <c r="G482" s="2">
        <v>3</v>
      </c>
      <c r="H482" s="3">
        <v>65</v>
      </c>
      <c r="I482" s="14" t="s">
        <v>335</v>
      </c>
      <c r="J482" s="12" t="s">
        <v>798</v>
      </c>
      <c r="K482" s="2">
        <v>0</v>
      </c>
      <c r="L482" s="12" t="s">
        <v>344</v>
      </c>
      <c r="M482">
        <f>YEAR(VentesMagasins!$C482)</f>
        <v>2025</v>
      </c>
      <c r="N482" t="e" cm="1" vm="1">
        <f t="array" aca="1" ref="N482" ca="1">MONTH(DateVente)</f>
        <v>#VALUE!</v>
      </c>
      <c r="O482" t="str">
        <f>PROPER(VentesMagasins!$F482)</f>
        <v>Meuble</v>
      </c>
      <c r="P482">
        <f>VALUE(CLEAN(TRIM(SUBSTITUTE(VentesMagasins!$I482,".",","))))</f>
        <v>0</v>
      </c>
      <c r="Q482">
        <f>VALUE(TRIM(SUBSTITUTE(VentesMagasins!$J482,".",",")))</f>
        <v>195</v>
      </c>
      <c r="R482">
        <f t="shared" si="21"/>
        <v>195</v>
      </c>
      <c r="S482">
        <f>IF(VentesMagasins!$K482=1,(-1)*R482,R482)</f>
        <v>195</v>
      </c>
      <c r="T482">
        <f>IFERROR(VALUE(TRIM(SUBSTITUTE(VentesMagasins!$L482,".",","))),0)</f>
        <v>2</v>
      </c>
      <c r="U482">
        <f t="shared" si="22"/>
        <v>2</v>
      </c>
      <c r="V482" t="str">
        <f t="shared" si="23"/>
        <v>faible</v>
      </c>
      <c r="W482" t="str">
        <f>_xlfn.XLOOKUP(VentesMagasins!$B482,Clients!ClientID,Région)</f>
        <v>Centre</v>
      </c>
      <c r="X482" t="str">
        <f>INDEX(TypeClient,MATCH(VentesMagasins!$B482,Clients!ClientID))</f>
        <v>Nouveau</v>
      </c>
      <c r="Y482" t="str">
        <v>oct</v>
      </c>
    </row>
    <row r="483" spans="1:25" x14ac:dyDescent="0.25">
      <c r="A483" s="2">
        <v>482</v>
      </c>
      <c r="B483" s="12" t="s">
        <v>262</v>
      </c>
      <c r="C483" s="13">
        <v>46019</v>
      </c>
      <c r="D483" s="12" t="s">
        <v>333</v>
      </c>
      <c r="E483" s="14" t="s">
        <v>362</v>
      </c>
      <c r="F483" s="12" t="s">
        <v>324</v>
      </c>
      <c r="G483" s="2">
        <v>2</v>
      </c>
      <c r="H483" s="3">
        <v>29</v>
      </c>
      <c r="I483" s="14" t="s">
        <v>342</v>
      </c>
      <c r="J483" s="12" t="s">
        <v>799</v>
      </c>
      <c r="K483" s="2">
        <v>1</v>
      </c>
      <c r="L483" s="12" t="s">
        <v>327</v>
      </c>
      <c r="M483">
        <f>YEAR(VentesMagasins!$C483)</f>
        <v>2025</v>
      </c>
      <c r="N483" t="e" cm="1" vm="1">
        <f t="array" aca="1" ref="N483" ca="1">MONTH(DateVente)</f>
        <v>#VALUE!</v>
      </c>
      <c r="O483" t="str">
        <f>PROPER(VentesMagasins!$F483)</f>
        <v>Électronique</v>
      </c>
      <c r="P483">
        <f>VALUE(CLEAN(TRIM(SUBSTITUTE(VentesMagasins!$I483,".",","))))</f>
        <v>0.05</v>
      </c>
      <c r="Q483">
        <f>VALUE(TRIM(SUBSTITUTE(VentesMagasins!$J483,".",",")))</f>
        <v>55.099999999999902</v>
      </c>
      <c r="R483">
        <f t="shared" si="21"/>
        <v>52.344999999999906</v>
      </c>
      <c r="S483">
        <f>IF(VentesMagasins!$K483=1,(-1)*R483,R483)</f>
        <v>-52.344999999999906</v>
      </c>
      <c r="T483">
        <f>IFERROR(VALUE(TRIM(SUBSTITUTE(VentesMagasins!$L483,".",","))),0)</f>
        <v>5</v>
      </c>
      <c r="U483">
        <f t="shared" si="22"/>
        <v>5</v>
      </c>
      <c r="V483" t="str">
        <f t="shared" si="23"/>
        <v>élévé</v>
      </c>
      <c r="W483" t="str">
        <f>_xlfn.XLOOKUP(VentesMagasins!$B483,Clients!ClientID,Région)</f>
        <v>Nord</v>
      </c>
      <c r="X483" t="str">
        <f>INDEX(TypeClient,MATCH(VentesMagasins!$B483,Clients!ClientID))</f>
        <v>Fidèle</v>
      </c>
      <c r="Y483" t="str">
        <v>déc</v>
      </c>
    </row>
    <row r="484" spans="1:25" x14ac:dyDescent="0.25">
      <c r="A484" s="2">
        <v>483</v>
      </c>
      <c r="B484" s="12" t="s">
        <v>11</v>
      </c>
      <c r="C484" s="13">
        <v>45579</v>
      </c>
      <c r="D484" s="12" t="s">
        <v>328</v>
      </c>
      <c r="E484" s="14" t="s">
        <v>329</v>
      </c>
      <c r="F484" s="12" t="s">
        <v>324</v>
      </c>
      <c r="G484" s="2">
        <v>5</v>
      </c>
      <c r="H484" s="3">
        <v>368</v>
      </c>
      <c r="I484" s="14" t="s">
        <v>342</v>
      </c>
      <c r="J484" s="12" t="s">
        <v>800</v>
      </c>
      <c r="K484" s="2">
        <v>0</v>
      </c>
      <c r="L484" s="12" t="s">
        <v>332</v>
      </c>
      <c r="M484">
        <f>YEAR(VentesMagasins!$C484)</f>
        <v>2024</v>
      </c>
      <c r="N484" t="e" cm="1" vm="1">
        <f t="array" aca="1" ref="N484" ca="1">MONTH(DateVente)</f>
        <v>#VALUE!</v>
      </c>
      <c r="O484" t="str">
        <f>PROPER(VentesMagasins!$F484)</f>
        <v>Électronique</v>
      </c>
      <c r="P484">
        <f>VALUE(CLEAN(TRIM(SUBSTITUTE(VentesMagasins!$I484,".",","))))</f>
        <v>0.05</v>
      </c>
      <c r="Q484">
        <f>VALUE(TRIM(SUBSTITUTE(VentesMagasins!$J484,".",",")))</f>
        <v>1748</v>
      </c>
      <c r="R484">
        <f t="shared" si="21"/>
        <v>1660.6</v>
      </c>
      <c r="S484">
        <f>IF(VentesMagasins!$K484=1,(-1)*R484,R484)</f>
        <v>1660.6</v>
      </c>
      <c r="T484">
        <f>IFERROR(VALUE(TRIM(SUBSTITUTE(VentesMagasins!$L484,".",","))),0)</f>
        <v>4</v>
      </c>
      <c r="U484">
        <f t="shared" si="22"/>
        <v>4</v>
      </c>
      <c r="V484" t="str">
        <f t="shared" si="23"/>
        <v>moyenne</v>
      </c>
      <c r="W484" t="str">
        <f>_xlfn.XLOOKUP(VentesMagasins!$B484,Clients!ClientID,Région)</f>
        <v>Centre</v>
      </c>
      <c r="X484" t="str">
        <f>INDEX(TypeClient,MATCH(VentesMagasins!$B484,Clients!ClientID))</f>
        <v>Fidèle</v>
      </c>
      <c r="Y484" t="str">
        <v>oct</v>
      </c>
    </row>
    <row r="485" spans="1:25" x14ac:dyDescent="0.25">
      <c r="A485" s="2">
        <v>484</v>
      </c>
      <c r="B485" s="12" t="s">
        <v>193</v>
      </c>
      <c r="C485" s="13">
        <v>45806</v>
      </c>
      <c r="D485" s="12" t="s">
        <v>328</v>
      </c>
      <c r="E485" s="14" t="s">
        <v>323</v>
      </c>
      <c r="F485" s="12" t="s">
        <v>330</v>
      </c>
      <c r="G485" s="2">
        <v>1</v>
      </c>
      <c r="H485" s="3">
        <v>96</v>
      </c>
      <c r="I485" s="14" t="s">
        <v>335</v>
      </c>
      <c r="J485" s="12" t="s">
        <v>801</v>
      </c>
      <c r="K485" s="2">
        <v>0</v>
      </c>
      <c r="L485" s="12" t="s">
        <v>327</v>
      </c>
      <c r="M485">
        <f>YEAR(VentesMagasins!$C485)</f>
        <v>2025</v>
      </c>
      <c r="N485" t="e" cm="1" vm="1">
        <f t="array" aca="1" ref="N485" ca="1">MONTH(DateVente)</f>
        <v>#VALUE!</v>
      </c>
      <c r="O485" t="str">
        <f>PROPER(VentesMagasins!$F485)</f>
        <v>Décoration</v>
      </c>
      <c r="P485">
        <f>VALUE(CLEAN(TRIM(SUBSTITUTE(VentesMagasins!$I485,".",","))))</f>
        <v>0</v>
      </c>
      <c r="Q485">
        <f>VALUE(TRIM(SUBSTITUTE(VentesMagasins!$J485,".",",")))</f>
        <v>96</v>
      </c>
      <c r="R485">
        <f t="shared" si="21"/>
        <v>96</v>
      </c>
      <c r="S485">
        <f>IF(VentesMagasins!$K485=1,(-1)*R485,R485)</f>
        <v>96</v>
      </c>
      <c r="T485">
        <f>IFERROR(VALUE(TRIM(SUBSTITUTE(VentesMagasins!$L485,".",","))),0)</f>
        <v>5</v>
      </c>
      <c r="U485">
        <f t="shared" si="22"/>
        <v>5</v>
      </c>
      <c r="V485" t="str">
        <f t="shared" si="23"/>
        <v>élévé</v>
      </c>
      <c r="W485" t="str">
        <f>_xlfn.XLOOKUP(VentesMagasins!$B485,Clients!ClientID,Région)</f>
        <v>Sud</v>
      </c>
      <c r="X485" t="str">
        <f>INDEX(TypeClient,MATCH(VentesMagasins!$B485,Clients!ClientID))</f>
        <v>Occasionnel</v>
      </c>
      <c r="Y485" t="str">
        <v>mai</v>
      </c>
    </row>
    <row r="486" spans="1:25" x14ac:dyDescent="0.25">
      <c r="A486" s="2">
        <v>485</v>
      </c>
      <c r="B486" s="12" t="s">
        <v>134</v>
      </c>
      <c r="C486" s="13">
        <v>45419</v>
      </c>
      <c r="D486" s="12" t="s">
        <v>322</v>
      </c>
      <c r="E486" s="14" t="s">
        <v>339</v>
      </c>
      <c r="F486" s="12" t="s">
        <v>330</v>
      </c>
      <c r="G486" s="2">
        <v>3</v>
      </c>
      <c r="H486" s="3">
        <v>206</v>
      </c>
      <c r="I486" s="14" t="s">
        <v>342</v>
      </c>
      <c r="J486" s="12" t="s">
        <v>802</v>
      </c>
      <c r="K486" s="2">
        <v>1</v>
      </c>
      <c r="L486" s="12" t="s">
        <v>369</v>
      </c>
      <c r="M486">
        <f>YEAR(VentesMagasins!$C486)</f>
        <v>2024</v>
      </c>
      <c r="N486" t="e" cm="1" vm="1">
        <f t="array" aca="1" ref="N486" ca="1">MONTH(DateVente)</f>
        <v>#VALUE!</v>
      </c>
      <c r="O486" t="str">
        <f>PROPER(VentesMagasins!$F486)</f>
        <v>Décoration</v>
      </c>
      <c r="P486">
        <f>VALUE(CLEAN(TRIM(SUBSTITUTE(VentesMagasins!$I486,".",","))))</f>
        <v>0.05</v>
      </c>
      <c r="Q486">
        <f>VALUE(TRIM(SUBSTITUTE(VentesMagasins!$J486,".",",")))</f>
        <v>587.1</v>
      </c>
      <c r="R486">
        <f t="shared" si="21"/>
        <v>557.745</v>
      </c>
      <c r="S486">
        <f>IF(VentesMagasins!$K486=1,(-1)*R486,R486)</f>
        <v>-557.745</v>
      </c>
      <c r="T486">
        <f>IFERROR(VALUE(TRIM(SUBSTITUTE(VentesMagasins!$L486,".",","))),0)</f>
        <v>1</v>
      </c>
      <c r="U486">
        <f t="shared" si="22"/>
        <v>1</v>
      </c>
      <c r="V486" t="str">
        <f t="shared" si="23"/>
        <v>faible</v>
      </c>
      <c r="W486" t="str">
        <f>_xlfn.XLOOKUP(VentesMagasins!$B486,Clients!ClientID,Région)</f>
        <v>Est</v>
      </c>
      <c r="X486" t="str">
        <f>INDEX(TypeClient,MATCH(VentesMagasins!$B486,Clients!ClientID))</f>
        <v>Nouveau</v>
      </c>
      <c r="Y486" t="str">
        <v>mai</v>
      </c>
    </row>
    <row r="487" spans="1:25" x14ac:dyDescent="0.25">
      <c r="A487" s="2">
        <v>486</v>
      </c>
      <c r="B487" s="12" t="s">
        <v>233</v>
      </c>
      <c r="C487" s="13">
        <v>45324</v>
      </c>
      <c r="D487" s="12" t="s">
        <v>328</v>
      </c>
      <c r="E487" s="14" t="s">
        <v>323</v>
      </c>
      <c r="F487" s="12" t="s">
        <v>341</v>
      </c>
      <c r="G487" s="2">
        <v>1</v>
      </c>
      <c r="H487" s="3">
        <v>372</v>
      </c>
      <c r="I487" s="14" t="s">
        <v>325</v>
      </c>
      <c r="J487" s="12" t="s">
        <v>803</v>
      </c>
      <c r="K487" s="2">
        <v>0</v>
      </c>
      <c r="L487" s="12" t="s">
        <v>327</v>
      </c>
      <c r="M487">
        <f>YEAR(VentesMagasins!$C487)</f>
        <v>2024</v>
      </c>
      <c r="N487" t="e" cm="1" vm="1">
        <f t="array" aca="1" ref="N487" ca="1">MONTH(DateVente)</f>
        <v>#VALUE!</v>
      </c>
      <c r="O487" t="str">
        <f>PROPER(VentesMagasins!$F487)</f>
        <v>Meuble</v>
      </c>
      <c r="P487">
        <f>VALUE(CLEAN(TRIM(SUBSTITUTE(VentesMagasins!$I487,".",","))))</f>
        <v>0.15</v>
      </c>
      <c r="Q487">
        <f>VALUE(TRIM(SUBSTITUTE(VentesMagasins!$J487,".",",")))</f>
        <v>316.2</v>
      </c>
      <c r="R487">
        <f t="shared" si="21"/>
        <v>268.77</v>
      </c>
      <c r="S487">
        <f>IF(VentesMagasins!$K487=1,(-1)*R487,R487)</f>
        <v>268.77</v>
      </c>
      <c r="T487">
        <f>IFERROR(VALUE(TRIM(SUBSTITUTE(VentesMagasins!$L487,".",","))),0)</f>
        <v>5</v>
      </c>
      <c r="U487">
        <f t="shared" si="22"/>
        <v>5</v>
      </c>
      <c r="V487" t="str">
        <f t="shared" si="23"/>
        <v>élévé</v>
      </c>
      <c r="W487" t="str">
        <f>_xlfn.XLOOKUP(VentesMagasins!$B487,Clients!ClientID,Région)</f>
        <v>Est</v>
      </c>
      <c r="X487" t="str">
        <f>INDEX(TypeClient,MATCH(VentesMagasins!$B487,Clients!ClientID))</f>
        <v>Fidèle</v>
      </c>
      <c r="Y487" t="str">
        <v>févr</v>
      </c>
    </row>
    <row r="488" spans="1:25" x14ac:dyDescent="0.25">
      <c r="A488" s="2">
        <v>487</v>
      </c>
      <c r="B488" s="12" t="s">
        <v>77</v>
      </c>
      <c r="C488" s="13">
        <v>45182</v>
      </c>
      <c r="D488" s="12" t="s">
        <v>401</v>
      </c>
      <c r="E488" s="14" t="s">
        <v>364</v>
      </c>
      <c r="F488" s="12" t="s">
        <v>416</v>
      </c>
      <c r="G488" s="2">
        <v>3</v>
      </c>
      <c r="H488" s="3">
        <v>383</v>
      </c>
      <c r="I488" s="14" t="s">
        <v>355</v>
      </c>
      <c r="J488" s="12" t="s">
        <v>804</v>
      </c>
      <c r="K488" s="2">
        <v>1</v>
      </c>
      <c r="L488" s="12" t="s">
        <v>369</v>
      </c>
      <c r="M488">
        <f>YEAR(VentesMagasins!$C488)</f>
        <v>2023</v>
      </c>
      <c r="N488" t="e" cm="1" vm="1">
        <f t="array" aca="1" ref="N488" ca="1">MONTH(DateVente)</f>
        <v>#VALUE!</v>
      </c>
      <c r="O488" t="str">
        <f>PROPER(VentesMagasins!$F488)</f>
        <v>Meuble</v>
      </c>
      <c r="P488">
        <f>VALUE(CLEAN(TRIM(SUBSTITUTE(VentesMagasins!$I488,".",","))))</f>
        <v>0.1</v>
      </c>
      <c r="Q488">
        <f>VALUE(TRIM(SUBSTITUTE(VentesMagasins!$J488,".",",")))</f>
        <v>1034.0999999999999</v>
      </c>
      <c r="R488">
        <f t="shared" si="21"/>
        <v>930.68999999999994</v>
      </c>
      <c r="S488">
        <f>IF(VentesMagasins!$K488=1,(-1)*R488,R488)</f>
        <v>-930.68999999999994</v>
      </c>
      <c r="T488">
        <f>IFERROR(VALUE(TRIM(SUBSTITUTE(VentesMagasins!$L488,".",","))),0)</f>
        <v>1</v>
      </c>
      <c r="U488">
        <f t="shared" si="22"/>
        <v>1</v>
      </c>
      <c r="V488" t="str">
        <f t="shared" si="23"/>
        <v>faible</v>
      </c>
      <c r="W488" t="str">
        <f>_xlfn.XLOOKUP(VentesMagasins!$B488,Clients!ClientID,Région)</f>
        <v>Nord</v>
      </c>
      <c r="X488" t="str">
        <f>INDEX(TypeClient,MATCH(VentesMagasins!$B488,Clients!ClientID))</f>
        <v>Occasionnel</v>
      </c>
      <c r="Y488" t="str">
        <v>sept</v>
      </c>
    </row>
    <row r="489" spans="1:25" x14ac:dyDescent="0.25">
      <c r="A489" s="2">
        <v>488</v>
      </c>
      <c r="B489" s="12" t="s">
        <v>55</v>
      </c>
      <c r="C489" s="13">
        <v>45068</v>
      </c>
      <c r="D489" s="12" t="s">
        <v>350</v>
      </c>
      <c r="E489" s="14" t="s">
        <v>345</v>
      </c>
      <c r="F489" s="12" t="s">
        <v>341</v>
      </c>
      <c r="G489" s="2">
        <v>1</v>
      </c>
      <c r="H489" s="3">
        <v>219</v>
      </c>
      <c r="I489" s="14" t="s">
        <v>325</v>
      </c>
      <c r="J489" s="12" t="s">
        <v>805</v>
      </c>
      <c r="K489" s="2">
        <v>1</v>
      </c>
      <c r="L489" s="12" t="s">
        <v>369</v>
      </c>
      <c r="M489">
        <f>YEAR(VentesMagasins!$C489)</f>
        <v>2023</v>
      </c>
      <c r="N489" t="e" cm="1" vm="1">
        <f t="array" aca="1" ref="N489" ca="1">MONTH(DateVente)</f>
        <v>#VALUE!</v>
      </c>
      <c r="O489" t="str">
        <f>PROPER(VentesMagasins!$F489)</f>
        <v>Meuble</v>
      </c>
      <c r="P489">
        <f>VALUE(CLEAN(TRIM(SUBSTITUTE(VentesMagasins!$I489,".",","))))</f>
        <v>0.15</v>
      </c>
      <c r="Q489">
        <f>VALUE(TRIM(SUBSTITUTE(VentesMagasins!$J489,".",",")))</f>
        <v>186.15</v>
      </c>
      <c r="R489">
        <f t="shared" si="21"/>
        <v>158.22749999999999</v>
      </c>
      <c r="S489">
        <f>IF(VentesMagasins!$K489=1,(-1)*R489,R489)</f>
        <v>-158.22749999999999</v>
      </c>
      <c r="T489">
        <f>IFERROR(VALUE(TRIM(SUBSTITUTE(VentesMagasins!$L489,".",","))),0)</f>
        <v>1</v>
      </c>
      <c r="U489">
        <f t="shared" si="22"/>
        <v>1</v>
      </c>
      <c r="V489" t="str">
        <f t="shared" si="23"/>
        <v>faible</v>
      </c>
      <c r="W489" t="str">
        <f>_xlfn.XLOOKUP(VentesMagasins!$B489,Clients!ClientID,Région)</f>
        <v>Nord</v>
      </c>
      <c r="X489" t="str">
        <f>INDEX(TypeClient,MATCH(VentesMagasins!$B489,Clients!ClientID))</f>
        <v>Fidèle</v>
      </c>
      <c r="Y489" t="str">
        <v>mai</v>
      </c>
    </row>
    <row r="490" spans="1:25" x14ac:dyDescent="0.25">
      <c r="A490" s="2">
        <v>489</v>
      </c>
      <c r="B490" s="12" t="s">
        <v>160</v>
      </c>
      <c r="C490" s="13">
        <v>45900</v>
      </c>
      <c r="D490" s="12" t="s">
        <v>328</v>
      </c>
      <c r="E490" s="14" t="s">
        <v>362</v>
      </c>
      <c r="F490" s="12" t="s">
        <v>324</v>
      </c>
      <c r="G490" s="2">
        <v>3</v>
      </c>
      <c r="H490" s="3">
        <v>45</v>
      </c>
      <c r="I490" s="14" t="s">
        <v>325</v>
      </c>
      <c r="J490" s="12" t="s">
        <v>806</v>
      </c>
      <c r="K490" s="2">
        <v>1</v>
      </c>
      <c r="L490" s="12" t="s">
        <v>332</v>
      </c>
      <c r="M490">
        <f>YEAR(VentesMagasins!$C490)</f>
        <v>2025</v>
      </c>
      <c r="N490" t="e" cm="1" vm="1">
        <f t="array" aca="1" ref="N490" ca="1">MONTH(DateVente)</f>
        <v>#VALUE!</v>
      </c>
      <c r="O490" t="str">
        <f>PROPER(VentesMagasins!$F490)</f>
        <v>Électronique</v>
      </c>
      <c r="P490">
        <f>VALUE(CLEAN(TRIM(SUBSTITUTE(VentesMagasins!$I490,".",","))))</f>
        <v>0.15</v>
      </c>
      <c r="Q490">
        <f>VALUE(TRIM(SUBSTITUTE(VentesMagasins!$J490,".",",")))</f>
        <v>114.75</v>
      </c>
      <c r="R490">
        <f t="shared" si="21"/>
        <v>97.537499999999994</v>
      </c>
      <c r="S490">
        <f>IF(VentesMagasins!$K490=1,(-1)*R490,R490)</f>
        <v>-97.537499999999994</v>
      </c>
      <c r="T490">
        <f>IFERROR(VALUE(TRIM(SUBSTITUTE(VentesMagasins!$L490,".",","))),0)</f>
        <v>4</v>
      </c>
      <c r="U490">
        <f t="shared" si="22"/>
        <v>4</v>
      </c>
      <c r="V490" t="str">
        <f t="shared" si="23"/>
        <v>moyenne</v>
      </c>
      <c r="W490" t="str">
        <f>_xlfn.XLOOKUP(VentesMagasins!$B490,Clients!ClientID,Région)</f>
        <v>Centre</v>
      </c>
      <c r="X490" t="str">
        <f>INDEX(TypeClient,MATCH(VentesMagasins!$B490,Clients!ClientID))</f>
        <v>Nouveau</v>
      </c>
      <c r="Y490" t="str">
        <v>août</v>
      </c>
    </row>
    <row r="491" spans="1:25" x14ac:dyDescent="0.25">
      <c r="A491" s="2">
        <v>490</v>
      </c>
      <c r="B491" s="12" t="s">
        <v>192</v>
      </c>
      <c r="C491" s="13">
        <v>44965</v>
      </c>
      <c r="D491" s="12" t="s">
        <v>333</v>
      </c>
      <c r="E491" s="14" t="s">
        <v>339</v>
      </c>
      <c r="F491" s="12" t="s">
        <v>341</v>
      </c>
      <c r="G491" s="2">
        <v>3</v>
      </c>
      <c r="H491" s="3">
        <v>320</v>
      </c>
      <c r="I491" s="14" t="s">
        <v>325</v>
      </c>
      <c r="J491" s="12" t="s">
        <v>807</v>
      </c>
      <c r="K491" s="2">
        <v>0</v>
      </c>
      <c r="L491" s="12" t="s">
        <v>344</v>
      </c>
      <c r="M491">
        <f>YEAR(VentesMagasins!$C491)</f>
        <v>2023</v>
      </c>
      <c r="N491" t="e" cm="1" vm="1">
        <f t="array" aca="1" ref="N491" ca="1">MONTH(DateVente)</f>
        <v>#VALUE!</v>
      </c>
      <c r="O491" t="str">
        <f>PROPER(VentesMagasins!$F491)</f>
        <v>Meuble</v>
      </c>
      <c r="P491">
        <f>VALUE(CLEAN(TRIM(SUBSTITUTE(VentesMagasins!$I491,".",","))))</f>
        <v>0.15</v>
      </c>
      <c r="Q491">
        <f>VALUE(TRIM(SUBSTITUTE(VentesMagasins!$J491,".",",")))</f>
        <v>816</v>
      </c>
      <c r="R491">
        <f t="shared" si="21"/>
        <v>693.6</v>
      </c>
      <c r="S491">
        <f>IF(VentesMagasins!$K491=1,(-1)*R491,R491)</f>
        <v>693.6</v>
      </c>
      <c r="T491">
        <f>IFERROR(VALUE(TRIM(SUBSTITUTE(VentesMagasins!$L491,".",","))),0)</f>
        <v>2</v>
      </c>
      <c r="U491">
        <f t="shared" si="22"/>
        <v>2</v>
      </c>
      <c r="V491" t="str">
        <f t="shared" si="23"/>
        <v>faible</v>
      </c>
      <c r="W491" t="str">
        <f>_xlfn.XLOOKUP(VentesMagasins!$B491,Clients!ClientID,Région)</f>
        <v>Ouest</v>
      </c>
      <c r="X491" t="str">
        <f>INDEX(TypeClient,MATCH(VentesMagasins!$B491,Clients!ClientID))</f>
        <v>Fidèle</v>
      </c>
      <c r="Y491" t="str">
        <v>févr</v>
      </c>
    </row>
    <row r="492" spans="1:25" x14ac:dyDescent="0.25">
      <c r="A492" s="2">
        <v>491</v>
      </c>
      <c r="B492" s="12" t="s">
        <v>45</v>
      </c>
      <c r="C492" s="13">
        <v>45040</v>
      </c>
      <c r="D492" s="12" t="s">
        <v>338</v>
      </c>
      <c r="E492" s="14" t="s">
        <v>339</v>
      </c>
      <c r="F492" s="12" t="s">
        <v>330</v>
      </c>
      <c r="G492" s="2">
        <v>2</v>
      </c>
      <c r="H492" s="3">
        <v>378</v>
      </c>
      <c r="I492" s="14" t="s">
        <v>355</v>
      </c>
      <c r="J492" s="12" t="s">
        <v>808</v>
      </c>
      <c r="K492" s="2">
        <v>0</v>
      </c>
      <c r="L492" s="12" t="s">
        <v>369</v>
      </c>
      <c r="M492">
        <f>YEAR(VentesMagasins!$C492)</f>
        <v>2023</v>
      </c>
      <c r="N492" t="e" cm="1" vm="1">
        <f t="array" aca="1" ref="N492" ca="1">MONTH(DateVente)</f>
        <v>#VALUE!</v>
      </c>
      <c r="O492" t="str">
        <f>PROPER(VentesMagasins!$F492)</f>
        <v>Décoration</v>
      </c>
      <c r="P492">
        <f>VALUE(CLEAN(TRIM(SUBSTITUTE(VentesMagasins!$I492,".",","))))</f>
        <v>0.1</v>
      </c>
      <c r="Q492">
        <f>VALUE(TRIM(SUBSTITUTE(VentesMagasins!$J492,".",",")))</f>
        <v>680.4</v>
      </c>
      <c r="R492">
        <f t="shared" si="21"/>
        <v>612.36</v>
      </c>
      <c r="S492">
        <f>IF(VentesMagasins!$K492=1,(-1)*R492,R492)</f>
        <v>612.36</v>
      </c>
      <c r="T492">
        <f>IFERROR(VALUE(TRIM(SUBSTITUTE(VentesMagasins!$L492,".",","))),0)</f>
        <v>1</v>
      </c>
      <c r="U492">
        <f t="shared" si="22"/>
        <v>1</v>
      </c>
      <c r="V492" t="str">
        <f t="shared" si="23"/>
        <v>faible</v>
      </c>
      <c r="W492" t="str">
        <f>_xlfn.XLOOKUP(VentesMagasins!$B492,Clients!ClientID,Région)</f>
        <v>Nord</v>
      </c>
      <c r="X492" t="str">
        <f>INDEX(TypeClient,MATCH(VentesMagasins!$B492,Clients!ClientID))</f>
        <v>Fidèle</v>
      </c>
      <c r="Y492" t="str">
        <v>avr</v>
      </c>
    </row>
    <row r="493" spans="1:25" x14ac:dyDescent="0.25">
      <c r="A493" s="2">
        <v>492</v>
      </c>
      <c r="B493" s="12" t="s">
        <v>85</v>
      </c>
      <c r="C493" s="13">
        <v>45119</v>
      </c>
      <c r="D493" s="12" t="s">
        <v>338</v>
      </c>
      <c r="E493" s="14" t="s">
        <v>348</v>
      </c>
      <c r="F493" s="12" t="s">
        <v>330</v>
      </c>
      <c r="G493" s="2">
        <v>1</v>
      </c>
      <c r="H493" s="3">
        <v>112</v>
      </c>
      <c r="I493" s="14" t="s">
        <v>342</v>
      </c>
      <c r="J493" s="12" t="s">
        <v>809</v>
      </c>
      <c r="K493" s="2">
        <v>0</v>
      </c>
      <c r="L493" s="12" t="s">
        <v>332</v>
      </c>
      <c r="M493">
        <f>YEAR(VentesMagasins!$C493)</f>
        <v>2023</v>
      </c>
      <c r="N493" t="e" cm="1" vm="1">
        <f t="array" aca="1" ref="N493" ca="1">MONTH(DateVente)</f>
        <v>#VALUE!</v>
      </c>
      <c r="O493" t="str">
        <f>PROPER(VentesMagasins!$F493)</f>
        <v>Décoration</v>
      </c>
      <c r="P493">
        <f>VALUE(CLEAN(TRIM(SUBSTITUTE(VentesMagasins!$I493,".",","))))</f>
        <v>0.05</v>
      </c>
      <c r="Q493">
        <f>VALUE(TRIM(SUBSTITUTE(VentesMagasins!$J493,".",",")))</f>
        <v>106.399999999999</v>
      </c>
      <c r="R493">
        <f t="shared" si="21"/>
        <v>101.07999999999905</v>
      </c>
      <c r="S493">
        <f>IF(VentesMagasins!$K493=1,(-1)*R493,R493)</f>
        <v>101.07999999999905</v>
      </c>
      <c r="T493">
        <f>IFERROR(VALUE(TRIM(SUBSTITUTE(VentesMagasins!$L493,".",","))),0)</f>
        <v>4</v>
      </c>
      <c r="U493">
        <f t="shared" si="22"/>
        <v>4</v>
      </c>
      <c r="V493" t="str">
        <f t="shared" si="23"/>
        <v>moyenne</v>
      </c>
      <c r="W493" t="str">
        <f>_xlfn.XLOOKUP(VentesMagasins!$B493,Clients!ClientID,Région)</f>
        <v>Sud</v>
      </c>
      <c r="X493" t="str">
        <f>INDEX(TypeClient,MATCH(VentesMagasins!$B493,Clients!ClientID))</f>
        <v>Fidèle</v>
      </c>
      <c r="Y493" t="str">
        <v>juil</v>
      </c>
    </row>
    <row r="494" spans="1:25" x14ac:dyDescent="0.25">
      <c r="A494" s="2">
        <v>493</v>
      </c>
      <c r="B494" s="12" t="s">
        <v>220</v>
      </c>
      <c r="C494" s="13">
        <v>45093</v>
      </c>
      <c r="D494" s="12" t="s">
        <v>333</v>
      </c>
      <c r="E494" s="14" t="s">
        <v>323</v>
      </c>
      <c r="F494" s="12" t="s">
        <v>324</v>
      </c>
      <c r="G494" s="2">
        <v>1</v>
      </c>
      <c r="H494" s="3">
        <v>448</v>
      </c>
      <c r="I494" s="14" t="s">
        <v>325</v>
      </c>
      <c r="J494" s="12" t="s">
        <v>810</v>
      </c>
      <c r="K494" s="2">
        <v>0</v>
      </c>
      <c r="L494" s="12" t="s">
        <v>352</v>
      </c>
      <c r="M494">
        <f>YEAR(VentesMagasins!$C494)</f>
        <v>2023</v>
      </c>
      <c r="N494" t="e" cm="1" vm="1">
        <f t="array" aca="1" ref="N494" ca="1">MONTH(DateVente)</f>
        <v>#VALUE!</v>
      </c>
      <c r="O494" t="str">
        <f>PROPER(VentesMagasins!$F494)</f>
        <v>Électronique</v>
      </c>
      <c r="P494">
        <f>VALUE(CLEAN(TRIM(SUBSTITUTE(VentesMagasins!$I494,".",","))))</f>
        <v>0.15</v>
      </c>
      <c r="Q494">
        <f>VALUE(TRIM(SUBSTITUTE(VentesMagasins!$J494,".",",")))</f>
        <v>380.8</v>
      </c>
      <c r="R494">
        <f t="shared" si="21"/>
        <v>323.68</v>
      </c>
      <c r="S494">
        <f>IF(VentesMagasins!$K494=1,(-1)*R494,R494)</f>
        <v>323.68</v>
      </c>
      <c r="T494">
        <f>IFERROR(VALUE(TRIM(SUBSTITUTE(VentesMagasins!$L494,".",","))),0)</f>
        <v>0</v>
      </c>
      <c r="U494">
        <f t="shared" si="22"/>
        <v>2</v>
      </c>
      <c r="V494" t="str">
        <f t="shared" si="23"/>
        <v>faible</v>
      </c>
      <c r="W494" t="str">
        <f>_xlfn.XLOOKUP(VentesMagasins!$B494,Clients!ClientID,Région)</f>
        <v>Centre</v>
      </c>
      <c r="X494" t="str">
        <f>INDEX(TypeClient,MATCH(VentesMagasins!$B494,Clients!ClientID))</f>
        <v>Occasionnel</v>
      </c>
      <c r="Y494" t="str">
        <v>juin</v>
      </c>
    </row>
    <row r="495" spans="1:25" x14ac:dyDescent="0.25">
      <c r="A495" s="2">
        <v>494</v>
      </c>
      <c r="B495" s="12" t="s">
        <v>79</v>
      </c>
      <c r="C495" s="13">
        <v>45041</v>
      </c>
      <c r="D495" s="12" t="s">
        <v>322</v>
      </c>
      <c r="E495" s="14" t="s">
        <v>362</v>
      </c>
      <c r="F495" s="12" t="s">
        <v>324</v>
      </c>
      <c r="G495" s="2">
        <v>3</v>
      </c>
      <c r="H495" s="3">
        <v>90</v>
      </c>
      <c r="I495" s="14" t="s">
        <v>342</v>
      </c>
      <c r="J495" s="12" t="s">
        <v>475</v>
      </c>
      <c r="K495" s="2">
        <v>0</v>
      </c>
      <c r="L495" s="12" t="s">
        <v>337</v>
      </c>
      <c r="M495">
        <f>YEAR(VentesMagasins!$C495)</f>
        <v>2023</v>
      </c>
      <c r="N495" t="e" cm="1" vm="1">
        <f t="array" aca="1" ref="N495" ca="1">MONTH(DateVente)</f>
        <v>#VALUE!</v>
      </c>
      <c r="O495" t="str">
        <f>PROPER(VentesMagasins!$F495)</f>
        <v>Électronique</v>
      </c>
      <c r="P495">
        <f>VALUE(CLEAN(TRIM(SUBSTITUTE(VentesMagasins!$I495,".",","))))</f>
        <v>0.05</v>
      </c>
      <c r="Q495">
        <f>VALUE(TRIM(SUBSTITUTE(VentesMagasins!$J495,".",",")))</f>
        <v>256.5</v>
      </c>
      <c r="R495">
        <f t="shared" si="21"/>
        <v>243.67499999999998</v>
      </c>
      <c r="S495">
        <f>IF(VentesMagasins!$K495=1,(-1)*R495,R495)</f>
        <v>243.67499999999998</v>
      </c>
      <c r="T495">
        <f>IFERROR(VALUE(TRIM(SUBSTITUTE(VentesMagasins!$L495,".",","))),0)</f>
        <v>3</v>
      </c>
      <c r="U495">
        <f t="shared" si="22"/>
        <v>3</v>
      </c>
      <c r="V495" t="str">
        <f t="shared" si="23"/>
        <v>moyenne</v>
      </c>
      <c r="W495" t="str">
        <f>_xlfn.XLOOKUP(VentesMagasins!$B495,Clients!ClientID,Région)</f>
        <v>Ouest</v>
      </c>
      <c r="X495" t="str">
        <f>INDEX(TypeClient,MATCH(VentesMagasins!$B495,Clients!ClientID))</f>
        <v>Occasionnel</v>
      </c>
      <c r="Y495" t="str">
        <v>avr</v>
      </c>
    </row>
    <row r="496" spans="1:25" x14ac:dyDescent="0.25">
      <c r="A496" s="2">
        <v>495</v>
      </c>
      <c r="B496" s="12" t="s">
        <v>217</v>
      </c>
      <c r="C496" s="13">
        <v>45262</v>
      </c>
      <c r="D496" s="12" t="s">
        <v>333</v>
      </c>
      <c r="E496" s="14" t="s">
        <v>329</v>
      </c>
      <c r="F496" s="12" t="s">
        <v>341</v>
      </c>
      <c r="G496" s="2">
        <v>4</v>
      </c>
      <c r="H496" s="3">
        <v>25</v>
      </c>
      <c r="I496" s="14" t="s">
        <v>335</v>
      </c>
      <c r="J496" s="12" t="s">
        <v>811</v>
      </c>
      <c r="K496" s="2">
        <v>0</v>
      </c>
      <c r="L496" s="12" t="s">
        <v>352</v>
      </c>
      <c r="M496">
        <f>YEAR(VentesMagasins!$C496)</f>
        <v>2023</v>
      </c>
      <c r="N496" t="e" cm="1" vm="1">
        <f t="array" aca="1" ref="N496" ca="1">MONTH(DateVente)</f>
        <v>#VALUE!</v>
      </c>
      <c r="O496" t="str">
        <f>PROPER(VentesMagasins!$F496)</f>
        <v>Meuble</v>
      </c>
      <c r="P496">
        <f>VALUE(CLEAN(TRIM(SUBSTITUTE(VentesMagasins!$I496,".",","))))</f>
        <v>0</v>
      </c>
      <c r="Q496">
        <f>VALUE(TRIM(SUBSTITUTE(VentesMagasins!$J496,".",",")))</f>
        <v>100</v>
      </c>
      <c r="R496">
        <f t="shared" si="21"/>
        <v>100</v>
      </c>
      <c r="S496">
        <f>IF(VentesMagasins!$K496=1,(-1)*R496,R496)</f>
        <v>100</v>
      </c>
      <c r="T496">
        <f>IFERROR(VALUE(TRIM(SUBSTITUTE(VentesMagasins!$L496,".",","))),0)</f>
        <v>0</v>
      </c>
      <c r="U496">
        <f t="shared" si="22"/>
        <v>2</v>
      </c>
      <c r="V496" t="str">
        <f t="shared" si="23"/>
        <v>faible</v>
      </c>
      <c r="W496" t="str">
        <f>_xlfn.XLOOKUP(VentesMagasins!$B496,Clients!ClientID,Région)</f>
        <v>Centre</v>
      </c>
      <c r="X496" t="str">
        <f>INDEX(TypeClient,MATCH(VentesMagasins!$B496,Clients!ClientID))</f>
        <v>Nouveau</v>
      </c>
      <c r="Y496" t="str">
        <v>déc</v>
      </c>
    </row>
    <row r="497" spans="1:25" x14ac:dyDescent="0.25">
      <c r="A497" s="2">
        <v>496</v>
      </c>
      <c r="B497" s="12" t="s">
        <v>299</v>
      </c>
      <c r="C497" s="13">
        <v>44973</v>
      </c>
      <c r="D497" s="12" t="s">
        <v>350</v>
      </c>
      <c r="E497" s="14" t="s">
        <v>364</v>
      </c>
      <c r="F497" s="12" t="s">
        <v>341</v>
      </c>
      <c r="G497" s="2">
        <v>4</v>
      </c>
      <c r="H497" s="3">
        <v>35</v>
      </c>
      <c r="I497" s="14" t="s">
        <v>335</v>
      </c>
      <c r="J497" s="12" t="s">
        <v>812</v>
      </c>
      <c r="K497" s="2">
        <v>0</v>
      </c>
      <c r="L497" s="12" t="s">
        <v>352</v>
      </c>
      <c r="M497">
        <f>YEAR(VentesMagasins!$C497)</f>
        <v>2023</v>
      </c>
      <c r="N497" t="e" cm="1" vm="1">
        <f t="array" aca="1" ref="N497" ca="1">MONTH(DateVente)</f>
        <v>#VALUE!</v>
      </c>
      <c r="O497" t="str">
        <f>PROPER(VentesMagasins!$F497)</f>
        <v>Meuble</v>
      </c>
      <c r="P497">
        <f>VALUE(CLEAN(TRIM(SUBSTITUTE(VentesMagasins!$I497,".",","))))</f>
        <v>0</v>
      </c>
      <c r="Q497">
        <f>VALUE(TRIM(SUBSTITUTE(VentesMagasins!$J497,".",",")))</f>
        <v>140</v>
      </c>
      <c r="R497">
        <f t="shared" si="21"/>
        <v>140</v>
      </c>
      <c r="S497">
        <f>IF(VentesMagasins!$K497=1,(-1)*R497,R497)</f>
        <v>140</v>
      </c>
      <c r="T497">
        <f>IFERROR(VALUE(TRIM(SUBSTITUTE(VentesMagasins!$L497,".",","))),0)</f>
        <v>0</v>
      </c>
      <c r="U497">
        <f t="shared" si="22"/>
        <v>2</v>
      </c>
      <c r="V497" t="str">
        <f t="shared" si="23"/>
        <v>faible</v>
      </c>
      <c r="W497" t="str">
        <f>_xlfn.XLOOKUP(VentesMagasins!$B497,Clients!ClientID,Région)</f>
        <v>Nord</v>
      </c>
      <c r="X497" t="str">
        <f>INDEX(TypeClient,MATCH(VentesMagasins!$B497,Clients!ClientID))</f>
        <v>Occasionnel</v>
      </c>
      <c r="Y497" t="str">
        <v>févr</v>
      </c>
    </row>
    <row r="498" spans="1:25" x14ac:dyDescent="0.25">
      <c r="A498" s="2">
        <v>497</v>
      </c>
      <c r="B498" s="12" t="s">
        <v>288</v>
      </c>
      <c r="C498" s="13">
        <v>45362</v>
      </c>
      <c r="D498" s="12" t="s">
        <v>328</v>
      </c>
      <c r="E498" s="14" t="s">
        <v>323</v>
      </c>
      <c r="F498" s="12" t="s">
        <v>324</v>
      </c>
      <c r="G498" s="2">
        <v>1</v>
      </c>
      <c r="H498" s="3">
        <v>341</v>
      </c>
      <c r="I498" s="14" t="s">
        <v>355</v>
      </c>
      <c r="J498" s="12" t="s">
        <v>813</v>
      </c>
      <c r="K498" s="2">
        <v>0</v>
      </c>
      <c r="L498" s="12" t="s">
        <v>337</v>
      </c>
      <c r="M498">
        <f>YEAR(VentesMagasins!$C498)</f>
        <v>2024</v>
      </c>
      <c r="N498" t="e" cm="1" vm="1">
        <f t="array" aca="1" ref="N498" ca="1">MONTH(DateVente)</f>
        <v>#VALUE!</v>
      </c>
      <c r="O498" t="str">
        <f>PROPER(VentesMagasins!$F498)</f>
        <v>Électronique</v>
      </c>
      <c r="P498">
        <f>VALUE(CLEAN(TRIM(SUBSTITUTE(VentesMagasins!$I498,".",","))))</f>
        <v>0.1</v>
      </c>
      <c r="Q498">
        <f>VALUE(TRIM(SUBSTITUTE(VentesMagasins!$J498,".",",")))</f>
        <v>306.89999999999998</v>
      </c>
      <c r="R498">
        <f t="shared" si="21"/>
        <v>276.20999999999998</v>
      </c>
      <c r="S498">
        <f>IF(VentesMagasins!$K498=1,(-1)*R498,R498)</f>
        <v>276.20999999999998</v>
      </c>
      <c r="T498">
        <f>IFERROR(VALUE(TRIM(SUBSTITUTE(VentesMagasins!$L498,".",","))),0)</f>
        <v>3</v>
      </c>
      <c r="U498">
        <f t="shared" si="22"/>
        <v>3</v>
      </c>
      <c r="V498" t="str">
        <f t="shared" si="23"/>
        <v>moyenne</v>
      </c>
      <c r="W498" t="str">
        <f>_xlfn.XLOOKUP(VentesMagasins!$B498,Clients!ClientID,Région)</f>
        <v>Nord</v>
      </c>
      <c r="X498" t="str">
        <f>INDEX(TypeClient,MATCH(VentesMagasins!$B498,Clients!ClientID))</f>
        <v>Fidèle</v>
      </c>
      <c r="Y498" t="str">
        <v>mars</v>
      </c>
    </row>
    <row r="499" spans="1:25" x14ac:dyDescent="0.25">
      <c r="A499" s="2">
        <v>498</v>
      </c>
      <c r="B499" s="12" t="s">
        <v>202</v>
      </c>
      <c r="C499" s="13">
        <v>45620</v>
      </c>
      <c r="D499" s="12" t="s">
        <v>322</v>
      </c>
      <c r="E499" s="14" t="s">
        <v>334</v>
      </c>
      <c r="F499" s="12" t="s">
        <v>341</v>
      </c>
      <c r="G499" s="2">
        <v>5</v>
      </c>
      <c r="H499" s="3">
        <v>210</v>
      </c>
      <c r="I499" s="14" t="s">
        <v>355</v>
      </c>
      <c r="J499" s="12" t="s">
        <v>361</v>
      </c>
      <c r="K499" s="2">
        <v>0</v>
      </c>
      <c r="L499" s="12" t="s">
        <v>327</v>
      </c>
      <c r="M499">
        <f>YEAR(VentesMagasins!$C499)</f>
        <v>2024</v>
      </c>
      <c r="N499" t="e" cm="1" vm="1">
        <f t="array" aca="1" ref="N499" ca="1">MONTH(DateVente)</f>
        <v>#VALUE!</v>
      </c>
      <c r="O499" t="str">
        <f>PROPER(VentesMagasins!$F499)</f>
        <v>Meuble</v>
      </c>
      <c r="P499">
        <f>VALUE(CLEAN(TRIM(SUBSTITUTE(VentesMagasins!$I499,".",","))))</f>
        <v>0.1</v>
      </c>
      <c r="Q499">
        <f>VALUE(TRIM(SUBSTITUTE(VentesMagasins!$J499,".",",")))</f>
        <v>945</v>
      </c>
      <c r="R499">
        <f t="shared" si="21"/>
        <v>850.5</v>
      </c>
      <c r="S499">
        <f>IF(VentesMagasins!$K499=1,(-1)*R499,R499)</f>
        <v>850.5</v>
      </c>
      <c r="T499">
        <f>IFERROR(VALUE(TRIM(SUBSTITUTE(VentesMagasins!$L499,".",","))),0)</f>
        <v>5</v>
      </c>
      <c r="U499">
        <f t="shared" si="22"/>
        <v>5</v>
      </c>
      <c r="V499" t="str">
        <f t="shared" si="23"/>
        <v>élévé</v>
      </c>
      <c r="W499" t="str">
        <f>_xlfn.XLOOKUP(VentesMagasins!$B499,Clients!ClientID,Région)</f>
        <v>Nord</v>
      </c>
      <c r="X499" t="str">
        <f>INDEX(TypeClient,MATCH(VentesMagasins!$B499,Clients!ClientID))</f>
        <v>Fidèle</v>
      </c>
      <c r="Y499" t="str">
        <v>nov</v>
      </c>
    </row>
    <row r="500" spans="1:25" x14ac:dyDescent="0.25">
      <c r="A500" s="2">
        <v>499</v>
      </c>
      <c r="B500" s="12" t="s">
        <v>195</v>
      </c>
      <c r="C500" s="13">
        <v>45616</v>
      </c>
      <c r="D500" s="12" t="s">
        <v>350</v>
      </c>
      <c r="E500" s="14" t="s">
        <v>329</v>
      </c>
      <c r="F500" s="12" t="s">
        <v>330</v>
      </c>
      <c r="G500" s="2">
        <v>1</v>
      </c>
      <c r="H500" s="3">
        <v>435</v>
      </c>
      <c r="I500" s="14" t="s">
        <v>335</v>
      </c>
      <c r="J500" s="12" t="s">
        <v>814</v>
      </c>
      <c r="K500" s="2">
        <v>0</v>
      </c>
      <c r="L500" s="12" t="s">
        <v>344</v>
      </c>
      <c r="M500">
        <f>YEAR(VentesMagasins!$C500)</f>
        <v>2024</v>
      </c>
      <c r="N500" t="e" cm="1" vm="1">
        <f t="array" aca="1" ref="N500" ca="1">MONTH(DateVente)</f>
        <v>#VALUE!</v>
      </c>
      <c r="O500" t="str">
        <f>PROPER(VentesMagasins!$F500)</f>
        <v>Décoration</v>
      </c>
      <c r="P500">
        <f>VALUE(CLEAN(TRIM(SUBSTITUTE(VentesMagasins!$I500,".",","))))</f>
        <v>0</v>
      </c>
      <c r="Q500">
        <f>VALUE(TRIM(SUBSTITUTE(VentesMagasins!$J500,".",",")))</f>
        <v>435</v>
      </c>
      <c r="R500">
        <f t="shared" si="21"/>
        <v>435</v>
      </c>
      <c r="S500">
        <f>IF(VentesMagasins!$K500=1,(-1)*R500,R500)</f>
        <v>435</v>
      </c>
      <c r="T500">
        <f>IFERROR(VALUE(TRIM(SUBSTITUTE(VentesMagasins!$L500,".",","))),0)</f>
        <v>2</v>
      </c>
      <c r="U500">
        <f t="shared" si="22"/>
        <v>2</v>
      </c>
      <c r="V500" t="str">
        <f t="shared" si="23"/>
        <v>faible</v>
      </c>
      <c r="W500" t="str">
        <f>_xlfn.XLOOKUP(VentesMagasins!$B500,Clients!ClientID,Région)</f>
        <v>Ouest</v>
      </c>
      <c r="X500" t="str">
        <f>INDEX(TypeClient,MATCH(VentesMagasins!$B500,Clients!ClientID))</f>
        <v>Occasionnel</v>
      </c>
      <c r="Y500" t="str">
        <v>nov</v>
      </c>
    </row>
    <row r="501" spans="1:25" x14ac:dyDescent="0.25">
      <c r="A501" s="2">
        <v>500</v>
      </c>
      <c r="B501" s="12" t="s">
        <v>128</v>
      </c>
      <c r="C501" s="13">
        <v>45629</v>
      </c>
      <c r="D501" s="12" t="s">
        <v>328</v>
      </c>
      <c r="E501" s="14" t="s">
        <v>334</v>
      </c>
      <c r="F501" s="12" t="s">
        <v>324</v>
      </c>
      <c r="G501" s="2">
        <v>2</v>
      </c>
      <c r="H501" s="3">
        <v>329</v>
      </c>
      <c r="I501" s="14" t="s">
        <v>325</v>
      </c>
      <c r="J501" s="12" t="s">
        <v>815</v>
      </c>
      <c r="K501" s="2">
        <v>0</v>
      </c>
      <c r="L501" s="12" t="s">
        <v>327</v>
      </c>
      <c r="M501">
        <f>YEAR(VentesMagasins!$C501)</f>
        <v>2024</v>
      </c>
      <c r="N501" t="e" cm="1" vm="1">
        <f t="array" aca="1" ref="N501" ca="1">MONTH(DateVente)</f>
        <v>#VALUE!</v>
      </c>
      <c r="O501" t="str">
        <f>PROPER(VentesMagasins!$F501)</f>
        <v>Électronique</v>
      </c>
      <c r="P501">
        <f>VALUE(CLEAN(TRIM(SUBSTITUTE(VentesMagasins!$I501,".",","))))</f>
        <v>0.15</v>
      </c>
      <c r="Q501">
        <f>VALUE(TRIM(SUBSTITUTE(VentesMagasins!$J501,".",",")))</f>
        <v>559.29999999999995</v>
      </c>
      <c r="R501">
        <f t="shared" si="21"/>
        <v>475.40499999999997</v>
      </c>
      <c r="S501">
        <f>IF(VentesMagasins!$K501=1,(-1)*R501,R501)</f>
        <v>475.40499999999997</v>
      </c>
      <c r="T501">
        <f>IFERROR(VALUE(TRIM(SUBSTITUTE(VentesMagasins!$L501,".",","))),0)</f>
        <v>5</v>
      </c>
      <c r="U501">
        <f t="shared" si="22"/>
        <v>5</v>
      </c>
      <c r="V501" t="str">
        <f t="shared" si="23"/>
        <v>élévé</v>
      </c>
      <c r="W501" t="str">
        <f>_xlfn.XLOOKUP(VentesMagasins!$B501,Clients!ClientID,Région)</f>
        <v>Est</v>
      </c>
      <c r="X501" t="str">
        <f>INDEX(TypeClient,MATCH(VentesMagasins!$B501,Clients!ClientID))</f>
        <v>Occasionnel</v>
      </c>
      <c r="Y501" t="str">
        <v>déc</v>
      </c>
    </row>
    <row r="502" spans="1:25" x14ac:dyDescent="0.25">
      <c r="A502" s="2">
        <v>501</v>
      </c>
      <c r="B502" s="12" t="s">
        <v>71</v>
      </c>
      <c r="C502" s="13">
        <v>45080</v>
      </c>
      <c r="D502" s="12" t="s">
        <v>322</v>
      </c>
      <c r="E502" s="14" t="s">
        <v>339</v>
      </c>
      <c r="F502" s="12" t="s">
        <v>341</v>
      </c>
      <c r="G502" s="2">
        <v>5</v>
      </c>
      <c r="H502" s="3">
        <v>128</v>
      </c>
      <c r="I502" s="14" t="s">
        <v>325</v>
      </c>
      <c r="J502" s="12" t="s">
        <v>816</v>
      </c>
      <c r="K502" s="2">
        <v>1</v>
      </c>
      <c r="L502" s="12" t="s">
        <v>369</v>
      </c>
      <c r="M502">
        <f>YEAR(VentesMagasins!$C502)</f>
        <v>2023</v>
      </c>
      <c r="N502" t="e" cm="1" vm="1">
        <f t="array" aca="1" ref="N502" ca="1">MONTH(DateVente)</f>
        <v>#VALUE!</v>
      </c>
      <c r="O502" t="str">
        <f>PROPER(VentesMagasins!$F502)</f>
        <v>Meuble</v>
      </c>
      <c r="P502">
        <f>VALUE(CLEAN(TRIM(SUBSTITUTE(VentesMagasins!$I502,".",","))))</f>
        <v>0.15</v>
      </c>
      <c r="Q502">
        <f>VALUE(TRIM(SUBSTITUTE(VentesMagasins!$J502,".",",")))</f>
        <v>544</v>
      </c>
      <c r="R502">
        <f t="shared" si="21"/>
        <v>462.4</v>
      </c>
      <c r="S502">
        <f>IF(VentesMagasins!$K502=1,(-1)*R502,R502)</f>
        <v>-462.4</v>
      </c>
      <c r="T502">
        <f>IFERROR(VALUE(TRIM(SUBSTITUTE(VentesMagasins!$L502,".",","))),0)</f>
        <v>1</v>
      </c>
      <c r="U502">
        <f t="shared" si="22"/>
        <v>1</v>
      </c>
      <c r="V502" t="str">
        <f t="shared" si="23"/>
        <v>faible</v>
      </c>
      <c r="W502" t="str">
        <f>_xlfn.XLOOKUP(VentesMagasins!$B502,Clients!ClientID,Région)</f>
        <v>Sud</v>
      </c>
      <c r="X502" t="str">
        <f>INDEX(TypeClient,MATCH(VentesMagasins!$B502,Clients!ClientID))</f>
        <v>Nouveau</v>
      </c>
      <c r="Y502" t="str">
        <v>juin</v>
      </c>
    </row>
    <row r="503" spans="1:25" x14ac:dyDescent="0.25">
      <c r="A503" s="2">
        <v>502</v>
      </c>
      <c r="B503" s="12" t="s">
        <v>257</v>
      </c>
      <c r="C503" s="13">
        <v>45568</v>
      </c>
      <c r="D503" s="12" t="s">
        <v>338</v>
      </c>
      <c r="E503" s="14" t="s">
        <v>364</v>
      </c>
      <c r="F503" s="12" t="s">
        <v>324</v>
      </c>
      <c r="G503" s="2">
        <v>3</v>
      </c>
      <c r="H503" s="3">
        <v>134</v>
      </c>
      <c r="I503" s="14" t="s">
        <v>355</v>
      </c>
      <c r="J503" s="12" t="s">
        <v>817</v>
      </c>
      <c r="K503" s="2">
        <v>1</v>
      </c>
      <c r="L503" s="12" t="s">
        <v>327</v>
      </c>
      <c r="M503">
        <f>YEAR(VentesMagasins!$C503)</f>
        <v>2024</v>
      </c>
      <c r="N503" t="e" cm="1" vm="1">
        <f t="array" aca="1" ref="N503" ca="1">MONTH(DateVente)</f>
        <v>#VALUE!</v>
      </c>
      <c r="O503" t="str">
        <f>PROPER(VentesMagasins!$F503)</f>
        <v>Électronique</v>
      </c>
      <c r="P503">
        <f>VALUE(CLEAN(TRIM(SUBSTITUTE(VentesMagasins!$I503,".",","))))</f>
        <v>0.1</v>
      </c>
      <c r="Q503">
        <f>VALUE(TRIM(SUBSTITUTE(VentesMagasins!$J503,".",",")))</f>
        <v>361.8</v>
      </c>
      <c r="R503">
        <f t="shared" si="21"/>
        <v>325.62</v>
      </c>
      <c r="S503">
        <f>IF(VentesMagasins!$K503=1,(-1)*R503,R503)</f>
        <v>-325.62</v>
      </c>
      <c r="T503">
        <f>IFERROR(VALUE(TRIM(SUBSTITUTE(VentesMagasins!$L503,".",","))),0)</f>
        <v>5</v>
      </c>
      <c r="U503">
        <f t="shared" si="22"/>
        <v>5</v>
      </c>
      <c r="V503" t="str">
        <f t="shared" si="23"/>
        <v>élévé</v>
      </c>
      <c r="W503" t="str">
        <f>_xlfn.XLOOKUP(VentesMagasins!$B503,Clients!ClientID,Région)</f>
        <v>Nord</v>
      </c>
      <c r="X503" t="str">
        <f>INDEX(TypeClient,MATCH(VentesMagasins!$B503,Clients!ClientID))</f>
        <v>Occasionnel</v>
      </c>
      <c r="Y503" t="str">
        <v>oct</v>
      </c>
    </row>
    <row r="504" spans="1:25" x14ac:dyDescent="0.25">
      <c r="A504" s="2">
        <v>503</v>
      </c>
      <c r="B504" s="12" t="s">
        <v>71</v>
      </c>
      <c r="C504" s="13">
        <v>45649</v>
      </c>
      <c r="D504" s="12" t="s">
        <v>328</v>
      </c>
      <c r="E504" s="14" t="s">
        <v>362</v>
      </c>
      <c r="F504" s="12" t="s">
        <v>341</v>
      </c>
      <c r="G504" s="2">
        <v>3</v>
      </c>
      <c r="H504" s="3">
        <v>451</v>
      </c>
      <c r="I504" s="14" t="s">
        <v>325</v>
      </c>
      <c r="J504" s="12" t="s">
        <v>818</v>
      </c>
      <c r="K504" s="2">
        <v>0</v>
      </c>
      <c r="L504" s="12" t="s">
        <v>352</v>
      </c>
      <c r="M504">
        <f>YEAR(VentesMagasins!$C504)</f>
        <v>2024</v>
      </c>
      <c r="N504" t="e" cm="1" vm="1">
        <f t="array" aca="1" ref="N504" ca="1">MONTH(DateVente)</f>
        <v>#VALUE!</v>
      </c>
      <c r="O504" t="str">
        <f>PROPER(VentesMagasins!$F504)</f>
        <v>Meuble</v>
      </c>
      <c r="P504">
        <f>VALUE(CLEAN(TRIM(SUBSTITUTE(VentesMagasins!$I504,".",","))))</f>
        <v>0.15</v>
      </c>
      <c r="Q504">
        <f>VALUE(TRIM(SUBSTITUTE(VentesMagasins!$J504,".",",")))</f>
        <v>1150.05</v>
      </c>
      <c r="R504">
        <f t="shared" si="21"/>
        <v>977.5424999999999</v>
      </c>
      <c r="S504">
        <f>IF(VentesMagasins!$K504=1,(-1)*R504,R504)</f>
        <v>977.5424999999999</v>
      </c>
      <c r="T504">
        <f>IFERROR(VALUE(TRIM(SUBSTITUTE(VentesMagasins!$L504,".",","))),0)</f>
        <v>0</v>
      </c>
      <c r="U504">
        <f t="shared" si="22"/>
        <v>2</v>
      </c>
      <c r="V504" t="str">
        <f t="shared" si="23"/>
        <v>faible</v>
      </c>
      <c r="W504" t="str">
        <f>_xlfn.XLOOKUP(VentesMagasins!$B504,Clients!ClientID,Région)</f>
        <v>Sud</v>
      </c>
      <c r="X504" t="str">
        <f>INDEX(TypeClient,MATCH(VentesMagasins!$B504,Clients!ClientID))</f>
        <v>Nouveau</v>
      </c>
      <c r="Y504" t="str">
        <v>déc</v>
      </c>
    </row>
    <row r="505" spans="1:25" x14ac:dyDescent="0.25">
      <c r="A505" s="2">
        <v>504</v>
      </c>
      <c r="B505" s="12" t="s">
        <v>298</v>
      </c>
      <c r="C505" s="13">
        <v>45610</v>
      </c>
      <c r="D505" s="12" t="s">
        <v>333</v>
      </c>
      <c r="E505" s="14" t="s">
        <v>323</v>
      </c>
      <c r="F505" s="12" t="s">
        <v>324</v>
      </c>
      <c r="G505" s="2">
        <v>3</v>
      </c>
      <c r="H505" s="3">
        <v>34</v>
      </c>
      <c r="I505" s="14" t="s">
        <v>342</v>
      </c>
      <c r="J505" s="12" t="s">
        <v>340</v>
      </c>
      <c r="K505" s="2">
        <v>0</v>
      </c>
      <c r="L505" s="12" t="s">
        <v>337</v>
      </c>
      <c r="M505">
        <f>YEAR(VentesMagasins!$C505)</f>
        <v>2024</v>
      </c>
      <c r="N505" t="e" cm="1" vm="1">
        <f t="array" aca="1" ref="N505" ca="1">MONTH(DateVente)</f>
        <v>#VALUE!</v>
      </c>
      <c r="O505" t="str">
        <f>PROPER(VentesMagasins!$F505)</f>
        <v>Électronique</v>
      </c>
      <c r="P505">
        <f>VALUE(CLEAN(TRIM(SUBSTITUTE(VentesMagasins!$I505,".",","))))</f>
        <v>0.05</v>
      </c>
      <c r="Q505">
        <f>VALUE(TRIM(SUBSTITUTE(VentesMagasins!$J505,".",",")))</f>
        <v>96.899999999999906</v>
      </c>
      <c r="R505">
        <f t="shared" si="21"/>
        <v>92.054999999999907</v>
      </c>
      <c r="S505">
        <f>IF(VentesMagasins!$K505=1,(-1)*R505,R505)</f>
        <v>92.054999999999907</v>
      </c>
      <c r="T505">
        <f>IFERROR(VALUE(TRIM(SUBSTITUTE(VentesMagasins!$L505,".",","))),0)</f>
        <v>3</v>
      </c>
      <c r="U505">
        <f t="shared" si="22"/>
        <v>3</v>
      </c>
      <c r="V505" t="str">
        <f t="shared" si="23"/>
        <v>moyenne</v>
      </c>
      <c r="W505" t="str">
        <f>_xlfn.XLOOKUP(VentesMagasins!$B505,Clients!ClientID,Région)</f>
        <v>Sud</v>
      </c>
      <c r="X505" t="str">
        <f>INDEX(TypeClient,MATCH(VentesMagasins!$B505,Clients!ClientID))</f>
        <v>Nouveau</v>
      </c>
      <c r="Y505" t="str">
        <v>nov</v>
      </c>
    </row>
    <row r="506" spans="1:25" x14ac:dyDescent="0.25">
      <c r="A506" s="2">
        <v>505</v>
      </c>
      <c r="B506" s="12" t="s">
        <v>143</v>
      </c>
      <c r="C506" s="13">
        <v>44992</v>
      </c>
      <c r="D506" s="12" t="s">
        <v>322</v>
      </c>
      <c r="E506" s="14" t="s">
        <v>345</v>
      </c>
      <c r="F506" s="12" t="s">
        <v>358</v>
      </c>
      <c r="G506" s="2">
        <v>2</v>
      </c>
      <c r="H506" s="3">
        <v>376</v>
      </c>
      <c r="I506" s="14" t="s">
        <v>335</v>
      </c>
      <c r="J506" s="12" t="s">
        <v>819</v>
      </c>
      <c r="K506" s="2">
        <v>0</v>
      </c>
      <c r="L506" s="12" t="s">
        <v>344</v>
      </c>
      <c r="M506">
        <f>YEAR(VentesMagasins!$C506)</f>
        <v>2023</v>
      </c>
      <c r="N506" t="e" cm="1" vm="1">
        <f t="array" aca="1" ref="N506" ca="1">MONTH(DateVente)</f>
        <v>#VALUE!</v>
      </c>
      <c r="O506" t="str">
        <f>PROPER(VentesMagasins!$F506)</f>
        <v>Électronique</v>
      </c>
      <c r="P506">
        <f>VALUE(CLEAN(TRIM(SUBSTITUTE(VentesMagasins!$I506,".",","))))</f>
        <v>0</v>
      </c>
      <c r="Q506">
        <f>VALUE(TRIM(SUBSTITUTE(VentesMagasins!$J506,".",",")))</f>
        <v>752</v>
      </c>
      <c r="R506">
        <f t="shared" si="21"/>
        <v>752</v>
      </c>
      <c r="S506">
        <f>IF(VentesMagasins!$K506=1,(-1)*R506,R506)</f>
        <v>752</v>
      </c>
      <c r="T506">
        <f>IFERROR(VALUE(TRIM(SUBSTITUTE(VentesMagasins!$L506,".",","))),0)</f>
        <v>2</v>
      </c>
      <c r="U506">
        <f t="shared" si="22"/>
        <v>2</v>
      </c>
      <c r="V506" t="str">
        <f t="shared" si="23"/>
        <v>faible</v>
      </c>
      <c r="W506" t="str">
        <f>_xlfn.XLOOKUP(VentesMagasins!$B506,Clients!ClientID,Région)</f>
        <v>Nord</v>
      </c>
      <c r="X506" t="str">
        <f>INDEX(TypeClient,MATCH(VentesMagasins!$B506,Clients!ClientID))</f>
        <v>Fidèle</v>
      </c>
      <c r="Y506" t="str">
        <v>mars</v>
      </c>
    </row>
    <row r="507" spans="1:25" x14ac:dyDescent="0.25">
      <c r="A507" s="2">
        <v>506</v>
      </c>
      <c r="B507" s="12" t="s">
        <v>193</v>
      </c>
      <c r="C507" s="13">
        <v>45306</v>
      </c>
      <c r="D507" s="12" t="s">
        <v>389</v>
      </c>
      <c r="E507" s="14" t="s">
        <v>329</v>
      </c>
      <c r="F507" s="12" t="s">
        <v>330</v>
      </c>
      <c r="G507" s="2">
        <v>1</v>
      </c>
      <c r="H507" s="3">
        <v>414</v>
      </c>
      <c r="I507" s="14" t="s">
        <v>335</v>
      </c>
      <c r="J507" s="12" t="s">
        <v>735</v>
      </c>
      <c r="K507" s="2">
        <v>0</v>
      </c>
      <c r="L507" s="12" t="s">
        <v>352</v>
      </c>
      <c r="M507">
        <f>YEAR(VentesMagasins!$C507)</f>
        <v>2024</v>
      </c>
      <c r="N507" t="e" cm="1" vm="1">
        <f t="array" aca="1" ref="N507" ca="1">MONTH(DateVente)</f>
        <v>#VALUE!</v>
      </c>
      <c r="O507" t="str">
        <f>PROPER(VentesMagasins!$F507)</f>
        <v>Décoration</v>
      </c>
      <c r="P507">
        <f>VALUE(CLEAN(TRIM(SUBSTITUTE(VentesMagasins!$I507,".",","))))</f>
        <v>0</v>
      </c>
      <c r="Q507">
        <f>VALUE(TRIM(SUBSTITUTE(VentesMagasins!$J507,".",",")))</f>
        <v>372.6</v>
      </c>
      <c r="R507">
        <f t="shared" si="21"/>
        <v>372.6</v>
      </c>
      <c r="S507">
        <f>IF(VentesMagasins!$K507=1,(-1)*R507,R507)</f>
        <v>372.6</v>
      </c>
      <c r="T507">
        <f>IFERROR(VALUE(TRIM(SUBSTITUTE(VentesMagasins!$L507,".",","))),0)</f>
        <v>0</v>
      </c>
      <c r="U507">
        <f t="shared" si="22"/>
        <v>2</v>
      </c>
      <c r="V507" t="str">
        <f t="shared" si="23"/>
        <v>faible</v>
      </c>
      <c r="W507" t="str">
        <f>_xlfn.XLOOKUP(VentesMagasins!$B507,Clients!ClientID,Région)</f>
        <v>Sud</v>
      </c>
      <c r="X507" t="str">
        <f>INDEX(TypeClient,MATCH(VentesMagasins!$B507,Clients!ClientID))</f>
        <v>Occasionnel</v>
      </c>
      <c r="Y507" t="str">
        <v>janv</v>
      </c>
    </row>
    <row r="508" spans="1:25" x14ac:dyDescent="0.25">
      <c r="A508" s="2">
        <v>507</v>
      </c>
      <c r="B508" s="12" t="s">
        <v>49</v>
      </c>
      <c r="C508" s="13">
        <v>45042</v>
      </c>
      <c r="D508" s="12" t="s">
        <v>333</v>
      </c>
      <c r="E508" s="14" t="s">
        <v>345</v>
      </c>
      <c r="F508" s="12" t="s">
        <v>324</v>
      </c>
      <c r="G508" s="2">
        <v>4</v>
      </c>
      <c r="H508" s="3">
        <v>207</v>
      </c>
      <c r="I508" s="14" t="s">
        <v>325</v>
      </c>
      <c r="J508" s="12" t="s">
        <v>820</v>
      </c>
      <c r="K508" s="2">
        <v>0</v>
      </c>
      <c r="L508" s="12" t="s">
        <v>337</v>
      </c>
      <c r="M508">
        <f>YEAR(VentesMagasins!$C508)</f>
        <v>2023</v>
      </c>
      <c r="N508" t="e" cm="1" vm="1">
        <f t="array" aca="1" ref="N508" ca="1">MONTH(DateVente)</f>
        <v>#VALUE!</v>
      </c>
      <c r="O508" t="str">
        <f>PROPER(VentesMagasins!$F508)</f>
        <v>Électronique</v>
      </c>
      <c r="P508">
        <f>VALUE(CLEAN(TRIM(SUBSTITUTE(VentesMagasins!$I508,".",","))))</f>
        <v>0.15</v>
      </c>
      <c r="Q508">
        <f>VALUE(TRIM(SUBSTITUTE(VentesMagasins!$J508,".",",")))</f>
        <v>703.8</v>
      </c>
      <c r="R508">
        <f t="shared" si="21"/>
        <v>598.2299999999999</v>
      </c>
      <c r="S508">
        <f>IF(VentesMagasins!$K508=1,(-1)*R508,R508)</f>
        <v>598.2299999999999</v>
      </c>
      <c r="T508">
        <f>IFERROR(VALUE(TRIM(SUBSTITUTE(VentesMagasins!$L508,".",","))),0)</f>
        <v>3</v>
      </c>
      <c r="U508">
        <f t="shared" si="22"/>
        <v>3</v>
      </c>
      <c r="V508" t="str">
        <f t="shared" si="23"/>
        <v>moyenne</v>
      </c>
      <c r="W508" t="str">
        <f>_xlfn.XLOOKUP(VentesMagasins!$B508,Clients!ClientID,Région)</f>
        <v>Nord</v>
      </c>
      <c r="X508" t="str">
        <f>INDEX(TypeClient,MATCH(VentesMagasins!$B508,Clients!ClientID))</f>
        <v>Nouveau</v>
      </c>
      <c r="Y508" t="str">
        <v>avr</v>
      </c>
    </row>
    <row r="509" spans="1:25" x14ac:dyDescent="0.25">
      <c r="A509" s="2">
        <v>508</v>
      </c>
      <c r="B509" s="12" t="s">
        <v>230</v>
      </c>
      <c r="C509" s="13">
        <v>44964</v>
      </c>
      <c r="D509" s="12" t="s">
        <v>322</v>
      </c>
      <c r="E509" s="14" t="s">
        <v>348</v>
      </c>
      <c r="F509" s="12" t="s">
        <v>330</v>
      </c>
      <c r="G509" s="2">
        <v>4</v>
      </c>
      <c r="H509" s="3">
        <v>145</v>
      </c>
      <c r="I509" s="14" t="s">
        <v>342</v>
      </c>
      <c r="J509" s="12" t="s">
        <v>821</v>
      </c>
      <c r="K509" s="2">
        <v>0</v>
      </c>
      <c r="L509" s="12" t="s">
        <v>327</v>
      </c>
      <c r="M509">
        <f>YEAR(VentesMagasins!$C509)</f>
        <v>2023</v>
      </c>
      <c r="N509" t="e" cm="1" vm="1">
        <f t="array" aca="1" ref="N509" ca="1">MONTH(DateVente)</f>
        <v>#VALUE!</v>
      </c>
      <c r="O509" t="str">
        <f>PROPER(VentesMagasins!$F509)</f>
        <v>Décoration</v>
      </c>
      <c r="P509">
        <f>VALUE(CLEAN(TRIM(SUBSTITUTE(VentesMagasins!$I509,".",","))))</f>
        <v>0.05</v>
      </c>
      <c r="Q509">
        <f>VALUE(TRIM(SUBSTITUTE(VentesMagasins!$J509,".",",")))</f>
        <v>606.1</v>
      </c>
      <c r="R509">
        <f t="shared" si="21"/>
        <v>575.79499999999996</v>
      </c>
      <c r="S509">
        <f>IF(VentesMagasins!$K509=1,(-1)*R509,R509)</f>
        <v>575.79499999999996</v>
      </c>
      <c r="T509">
        <f>IFERROR(VALUE(TRIM(SUBSTITUTE(VentesMagasins!$L509,".",","))),0)</f>
        <v>5</v>
      </c>
      <c r="U509">
        <f t="shared" si="22"/>
        <v>5</v>
      </c>
      <c r="V509" t="str">
        <f t="shared" si="23"/>
        <v>élévé</v>
      </c>
      <c r="W509" t="str">
        <f>_xlfn.XLOOKUP(VentesMagasins!$B509,Clients!ClientID,Région)</f>
        <v>Sud</v>
      </c>
      <c r="X509" t="str">
        <f>INDEX(TypeClient,MATCH(VentesMagasins!$B509,Clients!ClientID))</f>
        <v>Nouveau</v>
      </c>
      <c r="Y509" t="str">
        <v>févr</v>
      </c>
    </row>
    <row r="510" spans="1:25" x14ac:dyDescent="0.25">
      <c r="A510" s="2">
        <v>509</v>
      </c>
      <c r="B510" s="12" t="s">
        <v>38</v>
      </c>
      <c r="C510" s="13">
        <v>45084</v>
      </c>
      <c r="D510" s="12" t="s">
        <v>328</v>
      </c>
      <c r="E510" s="14" t="s">
        <v>323</v>
      </c>
      <c r="F510" s="12" t="s">
        <v>324</v>
      </c>
      <c r="G510" s="2">
        <v>1</v>
      </c>
      <c r="H510" s="3">
        <v>172</v>
      </c>
      <c r="I510" s="14" t="s">
        <v>355</v>
      </c>
      <c r="J510" s="12" t="s">
        <v>822</v>
      </c>
      <c r="K510" s="2">
        <v>0</v>
      </c>
      <c r="L510" s="12" t="s">
        <v>332</v>
      </c>
      <c r="M510">
        <f>YEAR(VentesMagasins!$C510)</f>
        <v>2023</v>
      </c>
      <c r="N510" t="e" cm="1" vm="1">
        <f t="array" aca="1" ref="N510" ca="1">MONTH(DateVente)</f>
        <v>#VALUE!</v>
      </c>
      <c r="O510" t="str">
        <f>PROPER(VentesMagasins!$F510)</f>
        <v>Électronique</v>
      </c>
      <c r="P510">
        <f>VALUE(CLEAN(TRIM(SUBSTITUTE(VentesMagasins!$I510,".",","))))</f>
        <v>0.1</v>
      </c>
      <c r="Q510">
        <f>VALUE(TRIM(SUBSTITUTE(VentesMagasins!$J510,".",",")))</f>
        <v>154.80000000000001</v>
      </c>
      <c r="R510">
        <f t="shared" si="21"/>
        <v>139.32000000000002</v>
      </c>
      <c r="S510">
        <f>IF(VentesMagasins!$K510=1,(-1)*R510,R510)</f>
        <v>139.32000000000002</v>
      </c>
      <c r="T510">
        <f>IFERROR(VALUE(TRIM(SUBSTITUTE(VentesMagasins!$L510,".",","))),0)</f>
        <v>4</v>
      </c>
      <c r="U510">
        <f t="shared" si="22"/>
        <v>4</v>
      </c>
      <c r="V510" t="str">
        <f t="shared" si="23"/>
        <v>moyenne</v>
      </c>
      <c r="W510" t="str">
        <f>_xlfn.XLOOKUP(VentesMagasins!$B510,Clients!ClientID,Région)</f>
        <v>Est</v>
      </c>
      <c r="X510" t="str">
        <f>INDEX(TypeClient,MATCH(VentesMagasins!$B510,Clients!ClientID))</f>
        <v>Occasionnel</v>
      </c>
      <c r="Y510" t="str">
        <v>juin</v>
      </c>
    </row>
    <row r="511" spans="1:25" x14ac:dyDescent="0.25">
      <c r="A511" s="2">
        <v>510</v>
      </c>
      <c r="B511" s="12" t="s">
        <v>104</v>
      </c>
      <c r="C511" s="13">
        <v>45446</v>
      </c>
      <c r="D511" s="12" t="s">
        <v>333</v>
      </c>
      <c r="E511" s="14" t="s">
        <v>323</v>
      </c>
      <c r="F511" s="12" t="s">
        <v>324</v>
      </c>
      <c r="G511" s="2">
        <v>4</v>
      </c>
      <c r="H511" s="3">
        <v>206</v>
      </c>
      <c r="I511" s="14" t="s">
        <v>355</v>
      </c>
      <c r="J511" s="12" t="s">
        <v>823</v>
      </c>
      <c r="K511" s="2">
        <v>0</v>
      </c>
      <c r="L511" s="12" t="s">
        <v>337</v>
      </c>
      <c r="M511">
        <f>YEAR(VentesMagasins!$C511)</f>
        <v>2024</v>
      </c>
      <c r="N511" t="e" cm="1" vm="1">
        <f t="array" aca="1" ref="N511" ca="1">MONTH(DateVente)</f>
        <v>#VALUE!</v>
      </c>
      <c r="O511" t="str">
        <f>PROPER(VentesMagasins!$F511)</f>
        <v>Électronique</v>
      </c>
      <c r="P511">
        <f>VALUE(CLEAN(TRIM(SUBSTITUTE(VentesMagasins!$I511,".",","))))</f>
        <v>0.1</v>
      </c>
      <c r="Q511">
        <f>VALUE(TRIM(SUBSTITUTE(VentesMagasins!$J511,".",",")))</f>
        <v>741.6</v>
      </c>
      <c r="R511">
        <f t="shared" si="21"/>
        <v>667.44</v>
      </c>
      <c r="S511">
        <f>IF(VentesMagasins!$K511=1,(-1)*R511,R511)</f>
        <v>667.44</v>
      </c>
      <c r="T511">
        <f>IFERROR(VALUE(TRIM(SUBSTITUTE(VentesMagasins!$L511,".",","))),0)</f>
        <v>3</v>
      </c>
      <c r="U511">
        <f t="shared" si="22"/>
        <v>3</v>
      </c>
      <c r="V511" t="str">
        <f t="shared" si="23"/>
        <v>moyenne</v>
      </c>
      <c r="W511" t="str">
        <f>_xlfn.XLOOKUP(VentesMagasins!$B511,Clients!ClientID,Région)</f>
        <v>Nord</v>
      </c>
      <c r="X511" t="str">
        <f>INDEX(TypeClient,MATCH(VentesMagasins!$B511,Clients!ClientID))</f>
        <v>Occasionnel</v>
      </c>
      <c r="Y511" t="str">
        <v>juin</v>
      </c>
    </row>
    <row r="512" spans="1:25" x14ac:dyDescent="0.25">
      <c r="A512" s="2">
        <v>511</v>
      </c>
      <c r="B512" s="12" t="s">
        <v>60</v>
      </c>
      <c r="C512" s="13">
        <v>45947</v>
      </c>
      <c r="D512" s="12" t="s">
        <v>328</v>
      </c>
      <c r="E512" s="14" t="s">
        <v>329</v>
      </c>
      <c r="F512" s="12" t="s">
        <v>341</v>
      </c>
      <c r="G512" s="2">
        <v>4</v>
      </c>
      <c r="H512" s="3">
        <v>188</v>
      </c>
      <c r="I512" s="14" t="s">
        <v>342</v>
      </c>
      <c r="J512" s="12" t="s">
        <v>824</v>
      </c>
      <c r="K512" s="2">
        <v>0</v>
      </c>
      <c r="L512" s="12" t="s">
        <v>369</v>
      </c>
      <c r="M512">
        <f>YEAR(VentesMagasins!$C512)</f>
        <v>2025</v>
      </c>
      <c r="N512" t="e" cm="1" vm="1">
        <f t="array" aca="1" ref="N512" ca="1">MONTH(DateVente)</f>
        <v>#VALUE!</v>
      </c>
      <c r="O512" t="str">
        <f>PROPER(VentesMagasins!$F512)</f>
        <v>Meuble</v>
      </c>
      <c r="P512">
        <f>VALUE(CLEAN(TRIM(SUBSTITUTE(VentesMagasins!$I512,".",","))))</f>
        <v>0.05</v>
      </c>
      <c r="Q512">
        <f>VALUE(TRIM(SUBSTITUTE(VentesMagasins!$J512,".",",")))</f>
        <v>714.4</v>
      </c>
      <c r="R512">
        <f t="shared" si="21"/>
        <v>678.68</v>
      </c>
      <c r="S512">
        <f>IF(VentesMagasins!$K512=1,(-1)*R512,R512)</f>
        <v>678.68</v>
      </c>
      <c r="T512">
        <f>IFERROR(VALUE(TRIM(SUBSTITUTE(VentesMagasins!$L512,".",","))),0)</f>
        <v>1</v>
      </c>
      <c r="U512">
        <f t="shared" si="22"/>
        <v>1</v>
      </c>
      <c r="V512" t="str">
        <f t="shared" si="23"/>
        <v>faible</v>
      </c>
      <c r="W512" t="str">
        <f>_xlfn.XLOOKUP(VentesMagasins!$B512,Clients!ClientID,Région)</f>
        <v>Centre</v>
      </c>
      <c r="X512" t="str">
        <f>INDEX(TypeClient,MATCH(VentesMagasins!$B512,Clients!ClientID))</f>
        <v>Fidèle</v>
      </c>
      <c r="Y512" t="str">
        <v>oct</v>
      </c>
    </row>
    <row r="513" spans="1:25" x14ac:dyDescent="0.25">
      <c r="A513" s="2">
        <v>512</v>
      </c>
      <c r="B513" s="12" t="s">
        <v>107</v>
      </c>
      <c r="C513" s="13">
        <v>45183</v>
      </c>
      <c r="D513" s="12" t="s">
        <v>328</v>
      </c>
      <c r="E513" s="14" t="s">
        <v>339</v>
      </c>
      <c r="F513" s="12" t="s">
        <v>324</v>
      </c>
      <c r="G513" s="2">
        <v>1</v>
      </c>
      <c r="H513" s="3">
        <v>331</v>
      </c>
      <c r="I513" s="14" t="s">
        <v>325</v>
      </c>
      <c r="J513" s="12" t="s">
        <v>825</v>
      </c>
      <c r="K513" s="2">
        <v>0</v>
      </c>
      <c r="L513" s="12" t="s">
        <v>337</v>
      </c>
      <c r="M513">
        <f>YEAR(VentesMagasins!$C513)</f>
        <v>2023</v>
      </c>
      <c r="N513" t="e" cm="1" vm="1">
        <f t="array" aca="1" ref="N513" ca="1">MONTH(DateVente)</f>
        <v>#VALUE!</v>
      </c>
      <c r="O513" t="str">
        <f>PROPER(VentesMagasins!$F513)</f>
        <v>Électronique</v>
      </c>
      <c r="P513">
        <f>VALUE(CLEAN(TRIM(SUBSTITUTE(VentesMagasins!$I513,".",","))))</f>
        <v>0.15</v>
      </c>
      <c r="Q513">
        <f>VALUE(TRIM(SUBSTITUTE(VentesMagasins!$J513,".",",")))</f>
        <v>281.349999999999</v>
      </c>
      <c r="R513">
        <f t="shared" si="21"/>
        <v>239.14749999999916</v>
      </c>
      <c r="S513">
        <f>IF(VentesMagasins!$K513=1,(-1)*R513,R513)</f>
        <v>239.14749999999916</v>
      </c>
      <c r="T513">
        <f>IFERROR(VALUE(TRIM(SUBSTITUTE(VentesMagasins!$L513,".",","))),0)</f>
        <v>3</v>
      </c>
      <c r="U513">
        <f t="shared" si="22"/>
        <v>3</v>
      </c>
      <c r="V513" t="str">
        <f t="shared" si="23"/>
        <v>moyenne</v>
      </c>
      <c r="W513" t="str">
        <f>_xlfn.XLOOKUP(VentesMagasins!$B513,Clients!ClientID,Région)</f>
        <v>Est</v>
      </c>
      <c r="X513" t="str">
        <f>INDEX(TypeClient,MATCH(VentesMagasins!$B513,Clients!ClientID))</f>
        <v>Nouveau</v>
      </c>
      <c r="Y513" t="str">
        <v>sept</v>
      </c>
    </row>
    <row r="514" spans="1:25" x14ac:dyDescent="0.25">
      <c r="A514" s="2">
        <v>513</v>
      </c>
      <c r="B514" s="12" t="s">
        <v>191</v>
      </c>
      <c r="C514" s="13">
        <v>45934</v>
      </c>
      <c r="D514" s="12" t="s">
        <v>338</v>
      </c>
      <c r="E514" s="14" t="s">
        <v>348</v>
      </c>
      <c r="F514" s="12" t="s">
        <v>330</v>
      </c>
      <c r="G514" s="2">
        <v>5</v>
      </c>
      <c r="H514" s="3">
        <v>415</v>
      </c>
      <c r="I514" s="14" t="s">
        <v>325</v>
      </c>
      <c r="J514" s="12" t="s">
        <v>826</v>
      </c>
      <c r="K514" s="2">
        <v>0</v>
      </c>
      <c r="L514" s="12" t="s">
        <v>344</v>
      </c>
      <c r="M514">
        <f>YEAR(VentesMagasins!$C514)</f>
        <v>2025</v>
      </c>
      <c r="N514" t="e" cm="1" vm="1">
        <f t="array" aca="1" ref="N514" ca="1">MONTH(DateVente)</f>
        <v>#VALUE!</v>
      </c>
      <c r="O514" t="str">
        <f>PROPER(VentesMagasins!$F514)</f>
        <v>Décoration</v>
      </c>
      <c r="P514">
        <f>VALUE(CLEAN(TRIM(SUBSTITUTE(VentesMagasins!$I514,".",","))))</f>
        <v>0.15</v>
      </c>
      <c r="Q514">
        <f>VALUE(TRIM(SUBSTITUTE(VentesMagasins!$J514,".",",")))</f>
        <v>1763.75</v>
      </c>
      <c r="R514">
        <f t="shared" si="21"/>
        <v>1499.1875</v>
      </c>
      <c r="S514">
        <f>IF(VentesMagasins!$K514=1,(-1)*R514,R514)</f>
        <v>1499.1875</v>
      </c>
      <c r="T514">
        <f>IFERROR(VALUE(TRIM(SUBSTITUTE(VentesMagasins!$L514,".",","))),0)</f>
        <v>2</v>
      </c>
      <c r="U514">
        <f t="shared" si="22"/>
        <v>2</v>
      </c>
      <c r="V514" t="str">
        <f t="shared" si="23"/>
        <v>faible</v>
      </c>
      <c r="W514" t="str">
        <f>_xlfn.XLOOKUP(VentesMagasins!$B514,Clients!ClientID,Région)</f>
        <v>Sud</v>
      </c>
      <c r="X514" t="str">
        <f>INDEX(TypeClient,MATCH(VentesMagasins!$B514,Clients!ClientID))</f>
        <v>Nouveau</v>
      </c>
      <c r="Y514" t="str">
        <v>oct</v>
      </c>
    </row>
    <row r="515" spans="1:25" x14ac:dyDescent="0.25">
      <c r="A515" s="2">
        <v>514</v>
      </c>
      <c r="B515" s="12" t="s">
        <v>108</v>
      </c>
      <c r="C515" s="13">
        <v>45755</v>
      </c>
      <c r="D515" s="12" t="s">
        <v>425</v>
      </c>
      <c r="E515" s="14" t="s">
        <v>334</v>
      </c>
      <c r="F515" s="12" t="s">
        <v>330</v>
      </c>
      <c r="G515" s="2">
        <v>4</v>
      </c>
      <c r="H515" s="3">
        <v>464</v>
      </c>
      <c r="I515" s="14" t="s">
        <v>342</v>
      </c>
      <c r="J515" s="12" t="s">
        <v>827</v>
      </c>
      <c r="K515" s="2">
        <v>0</v>
      </c>
      <c r="L515" s="12" t="s">
        <v>352</v>
      </c>
      <c r="M515">
        <f>YEAR(VentesMagasins!$C515)</f>
        <v>2025</v>
      </c>
      <c r="N515" t="e" cm="1" vm="1">
        <f t="array" aca="1" ref="N515" ca="1">MONTH(DateVente)</f>
        <v>#VALUE!</v>
      </c>
      <c r="O515" t="str">
        <f>PROPER(VentesMagasins!$F515)</f>
        <v>Décoration</v>
      </c>
      <c r="P515">
        <f>VALUE(CLEAN(TRIM(SUBSTITUTE(VentesMagasins!$I515,".",","))))</f>
        <v>0.05</v>
      </c>
      <c r="Q515">
        <f>VALUE(TRIM(SUBSTITUTE(VentesMagasins!$J515,".",",")))</f>
        <v>1939.52</v>
      </c>
      <c r="R515">
        <f t="shared" ref="R515:R578" si="24">Q515*(1-P515)</f>
        <v>1842.5439999999999</v>
      </c>
      <c r="S515">
        <f>IF(VentesMagasins!$K515=1,(-1)*R515,R515)</f>
        <v>1842.5439999999999</v>
      </c>
      <c r="T515">
        <f>IFERROR(VALUE(TRIM(SUBSTITUTE(VentesMagasins!$L515,".",","))),0)</f>
        <v>0</v>
      </c>
      <c r="U515">
        <f t="shared" ref="U515:U578" si="25">ROUND(IF(T515=0,AVERAGE(T515:T1514),T515),0)</f>
        <v>2</v>
      </c>
      <c r="V515" t="str">
        <f t="shared" ref="V515:V578" si="26">IF(AND(U515&gt;0,U515&lt;=2),"faible",IF(AND(U515&gt;=3,U515&lt;=4),"moyenne",IF(U515=5,"élévé",0)))</f>
        <v>faible</v>
      </c>
      <c r="W515" t="str">
        <f>_xlfn.XLOOKUP(VentesMagasins!$B515,Clients!ClientID,Région)</f>
        <v>Sud</v>
      </c>
      <c r="X515" t="str">
        <f>INDEX(TypeClient,MATCH(VentesMagasins!$B515,Clients!ClientID))</f>
        <v>Fidèle</v>
      </c>
      <c r="Y515" t="str">
        <v>avr</v>
      </c>
    </row>
    <row r="516" spans="1:25" x14ac:dyDescent="0.25">
      <c r="A516" s="2">
        <v>515</v>
      </c>
      <c r="B516" s="12" t="s">
        <v>101</v>
      </c>
      <c r="C516" s="13">
        <v>45480</v>
      </c>
      <c r="D516" s="12" t="s">
        <v>328</v>
      </c>
      <c r="E516" s="14" t="s">
        <v>329</v>
      </c>
      <c r="F516" s="12" t="s">
        <v>324</v>
      </c>
      <c r="G516" s="2">
        <v>1</v>
      </c>
      <c r="H516" s="3">
        <v>259</v>
      </c>
      <c r="I516" s="14" t="s">
        <v>342</v>
      </c>
      <c r="J516" s="12" t="s">
        <v>828</v>
      </c>
      <c r="K516" s="2">
        <v>0</v>
      </c>
      <c r="L516" s="12" t="s">
        <v>352</v>
      </c>
      <c r="M516">
        <f>YEAR(VentesMagasins!$C516)</f>
        <v>2024</v>
      </c>
      <c r="N516" t="e" cm="1" vm="1">
        <f t="array" aca="1" ref="N516" ca="1">MONTH(DateVente)</f>
        <v>#VALUE!</v>
      </c>
      <c r="O516" t="str">
        <f>PROPER(VentesMagasins!$F516)</f>
        <v>Électronique</v>
      </c>
      <c r="P516">
        <f>VALUE(CLEAN(TRIM(SUBSTITUTE(VentesMagasins!$I516,".",","))))</f>
        <v>0.05</v>
      </c>
      <c r="Q516">
        <f>VALUE(TRIM(SUBSTITUTE(VentesMagasins!$J516,".",",")))</f>
        <v>246.04999999999899</v>
      </c>
      <c r="R516">
        <f t="shared" si="24"/>
        <v>233.74749999999904</v>
      </c>
      <c r="S516">
        <f>IF(VentesMagasins!$K516=1,(-1)*R516,R516)</f>
        <v>233.74749999999904</v>
      </c>
      <c r="T516">
        <f>IFERROR(VALUE(TRIM(SUBSTITUTE(VentesMagasins!$L516,".",","))),0)</f>
        <v>0</v>
      </c>
      <c r="U516">
        <f t="shared" si="25"/>
        <v>2</v>
      </c>
      <c r="V516" t="str">
        <f t="shared" si="26"/>
        <v>faible</v>
      </c>
      <c r="W516" t="str">
        <f>_xlfn.XLOOKUP(VentesMagasins!$B516,Clients!ClientID,Région)</f>
        <v>Centre</v>
      </c>
      <c r="X516" t="str">
        <f>INDEX(TypeClient,MATCH(VentesMagasins!$B516,Clients!ClientID))</f>
        <v>Occasionnel</v>
      </c>
      <c r="Y516" t="str">
        <v>juil</v>
      </c>
    </row>
    <row r="517" spans="1:25" x14ac:dyDescent="0.25">
      <c r="A517" s="2">
        <v>516</v>
      </c>
      <c r="B517" s="12" t="s">
        <v>112</v>
      </c>
      <c r="C517" s="13">
        <v>45471</v>
      </c>
      <c r="D517" s="12" t="s">
        <v>338</v>
      </c>
      <c r="E517" s="14" t="s">
        <v>348</v>
      </c>
      <c r="F517" s="12" t="s">
        <v>330</v>
      </c>
      <c r="G517" s="2">
        <v>1</v>
      </c>
      <c r="H517" s="3">
        <v>437</v>
      </c>
      <c r="I517" s="14" t="s">
        <v>355</v>
      </c>
      <c r="J517" s="12" t="s">
        <v>829</v>
      </c>
      <c r="K517" s="2">
        <v>1</v>
      </c>
      <c r="L517" s="12" t="s">
        <v>352</v>
      </c>
      <c r="M517">
        <f>YEAR(VentesMagasins!$C517)</f>
        <v>2024</v>
      </c>
      <c r="N517" t="e" cm="1" vm="1">
        <f t="array" aca="1" ref="N517" ca="1">MONTH(DateVente)</f>
        <v>#VALUE!</v>
      </c>
      <c r="O517" t="str">
        <f>PROPER(VentesMagasins!$F517)</f>
        <v>Décoration</v>
      </c>
      <c r="P517">
        <f>VALUE(CLEAN(TRIM(SUBSTITUTE(VentesMagasins!$I517,".",","))))</f>
        <v>0.1</v>
      </c>
      <c r="Q517">
        <f>VALUE(TRIM(SUBSTITUTE(VentesMagasins!$J517,".",",")))</f>
        <v>393.3</v>
      </c>
      <c r="R517">
        <f t="shared" si="24"/>
        <v>353.97</v>
      </c>
      <c r="S517">
        <f>IF(VentesMagasins!$K517=1,(-1)*R517,R517)</f>
        <v>-353.97</v>
      </c>
      <c r="T517">
        <f>IFERROR(VALUE(TRIM(SUBSTITUTE(VentesMagasins!$L517,".",","))),0)</f>
        <v>0</v>
      </c>
      <c r="U517">
        <f t="shared" si="25"/>
        <v>2</v>
      </c>
      <c r="V517" t="str">
        <f t="shared" si="26"/>
        <v>faible</v>
      </c>
      <c r="W517" t="str">
        <f>_xlfn.XLOOKUP(VentesMagasins!$B517,Clients!ClientID,Région)</f>
        <v>Sud</v>
      </c>
      <c r="X517" t="str">
        <f>INDEX(TypeClient,MATCH(VentesMagasins!$B517,Clients!ClientID))</f>
        <v>Occasionnel</v>
      </c>
      <c r="Y517" t="str">
        <v>juin</v>
      </c>
    </row>
    <row r="518" spans="1:25" x14ac:dyDescent="0.25">
      <c r="A518" s="2">
        <v>517</v>
      </c>
      <c r="B518" s="12" t="s">
        <v>71</v>
      </c>
      <c r="C518" s="13">
        <v>45102</v>
      </c>
      <c r="D518" s="12" t="s">
        <v>350</v>
      </c>
      <c r="E518" s="14" t="s">
        <v>329</v>
      </c>
      <c r="F518" s="12" t="s">
        <v>330</v>
      </c>
      <c r="G518" s="2">
        <v>2</v>
      </c>
      <c r="H518" s="3">
        <v>391</v>
      </c>
      <c r="I518" s="14" t="s">
        <v>325</v>
      </c>
      <c r="J518" s="12" t="s">
        <v>830</v>
      </c>
      <c r="K518" s="2">
        <v>0</v>
      </c>
      <c r="L518" s="12" t="s">
        <v>327</v>
      </c>
      <c r="M518">
        <f>YEAR(VentesMagasins!$C518)</f>
        <v>2023</v>
      </c>
      <c r="N518" t="e" cm="1" vm="1">
        <f t="array" aca="1" ref="N518" ca="1">MONTH(DateVente)</f>
        <v>#VALUE!</v>
      </c>
      <c r="O518" t="str">
        <f>PROPER(VentesMagasins!$F518)</f>
        <v>Décoration</v>
      </c>
      <c r="P518">
        <f>VALUE(CLEAN(TRIM(SUBSTITUTE(VentesMagasins!$I518,".",","))))</f>
        <v>0.15</v>
      </c>
      <c r="Q518">
        <f>VALUE(TRIM(SUBSTITUTE(VentesMagasins!$J518,".",",")))</f>
        <v>664.69999999999902</v>
      </c>
      <c r="R518">
        <f t="shared" si="24"/>
        <v>564.99499999999921</v>
      </c>
      <c r="S518">
        <f>IF(VentesMagasins!$K518=1,(-1)*R518,R518)</f>
        <v>564.99499999999921</v>
      </c>
      <c r="T518">
        <f>IFERROR(VALUE(TRIM(SUBSTITUTE(VentesMagasins!$L518,".",","))),0)</f>
        <v>5</v>
      </c>
      <c r="U518">
        <f t="shared" si="25"/>
        <v>5</v>
      </c>
      <c r="V518" t="str">
        <f t="shared" si="26"/>
        <v>élévé</v>
      </c>
      <c r="W518" t="str">
        <f>_xlfn.XLOOKUP(VentesMagasins!$B518,Clients!ClientID,Région)</f>
        <v>Sud</v>
      </c>
      <c r="X518" t="str">
        <f>INDEX(TypeClient,MATCH(VentesMagasins!$B518,Clients!ClientID))</f>
        <v>Nouveau</v>
      </c>
      <c r="Y518" t="str">
        <v>juin</v>
      </c>
    </row>
    <row r="519" spans="1:25" x14ac:dyDescent="0.25">
      <c r="A519" s="2">
        <v>518</v>
      </c>
      <c r="B519" s="12" t="s">
        <v>118</v>
      </c>
      <c r="C519" s="13">
        <v>45661</v>
      </c>
      <c r="D519" s="12" t="s">
        <v>328</v>
      </c>
      <c r="E519" s="14" t="s">
        <v>329</v>
      </c>
      <c r="F519" s="12" t="s">
        <v>330</v>
      </c>
      <c r="G519" s="2">
        <v>5</v>
      </c>
      <c r="H519" s="3">
        <v>354</v>
      </c>
      <c r="I519" s="14" t="s">
        <v>342</v>
      </c>
      <c r="J519" s="12" t="s">
        <v>831</v>
      </c>
      <c r="K519" s="2">
        <v>0</v>
      </c>
      <c r="L519" s="12" t="s">
        <v>344</v>
      </c>
      <c r="M519">
        <f>YEAR(VentesMagasins!$C519)</f>
        <v>2025</v>
      </c>
      <c r="N519" t="e" cm="1" vm="1">
        <f t="array" aca="1" ref="N519" ca="1">MONTH(DateVente)</f>
        <v>#VALUE!</v>
      </c>
      <c r="O519" t="str">
        <f>PROPER(VentesMagasins!$F519)</f>
        <v>Décoration</v>
      </c>
      <c r="P519">
        <f>VALUE(CLEAN(TRIM(SUBSTITUTE(VentesMagasins!$I519,".",","))))</f>
        <v>0.05</v>
      </c>
      <c r="Q519">
        <f>VALUE(TRIM(SUBSTITUTE(VentesMagasins!$J519,".",",")))</f>
        <v>1681.5</v>
      </c>
      <c r="R519">
        <f t="shared" si="24"/>
        <v>1597.425</v>
      </c>
      <c r="S519">
        <f>IF(VentesMagasins!$K519=1,(-1)*R519,R519)</f>
        <v>1597.425</v>
      </c>
      <c r="T519">
        <f>IFERROR(VALUE(TRIM(SUBSTITUTE(VentesMagasins!$L519,".",","))),0)</f>
        <v>2</v>
      </c>
      <c r="U519">
        <f t="shared" si="25"/>
        <v>2</v>
      </c>
      <c r="V519" t="str">
        <f t="shared" si="26"/>
        <v>faible</v>
      </c>
      <c r="W519" t="str">
        <f>_xlfn.XLOOKUP(VentesMagasins!$B519,Clients!ClientID,Région)</f>
        <v>Ouest</v>
      </c>
      <c r="X519" t="str">
        <f>INDEX(TypeClient,MATCH(VentesMagasins!$B519,Clients!ClientID))</f>
        <v>Nouveau</v>
      </c>
      <c r="Y519" t="str">
        <v>janv</v>
      </c>
    </row>
    <row r="520" spans="1:25" x14ac:dyDescent="0.25">
      <c r="A520" s="2">
        <v>519</v>
      </c>
      <c r="B520" s="12" t="s">
        <v>24</v>
      </c>
      <c r="C520" s="13">
        <v>44976</v>
      </c>
      <c r="D520" s="12" t="s">
        <v>338</v>
      </c>
      <c r="E520" s="14" t="s">
        <v>329</v>
      </c>
      <c r="F520" s="12" t="s">
        <v>341</v>
      </c>
      <c r="G520" s="2">
        <v>5</v>
      </c>
      <c r="H520" s="3">
        <v>274</v>
      </c>
      <c r="I520" s="14" t="s">
        <v>335</v>
      </c>
      <c r="J520" s="12" t="s">
        <v>832</v>
      </c>
      <c r="K520" s="2">
        <v>0</v>
      </c>
      <c r="L520" s="12" t="s">
        <v>337</v>
      </c>
      <c r="M520">
        <f>YEAR(VentesMagasins!$C520)</f>
        <v>2023</v>
      </c>
      <c r="N520" t="e" cm="1" vm="1">
        <f t="array" aca="1" ref="N520" ca="1">MONTH(DateVente)</f>
        <v>#VALUE!</v>
      </c>
      <c r="O520" t="str">
        <f>PROPER(VentesMagasins!$F520)</f>
        <v>Meuble</v>
      </c>
      <c r="P520">
        <f>VALUE(CLEAN(TRIM(SUBSTITUTE(VentesMagasins!$I520,".",","))))</f>
        <v>0</v>
      </c>
      <c r="Q520">
        <f>VALUE(TRIM(SUBSTITUTE(VentesMagasins!$J520,".",",")))</f>
        <v>1370</v>
      </c>
      <c r="R520">
        <f t="shared" si="24"/>
        <v>1370</v>
      </c>
      <c r="S520">
        <f>IF(VentesMagasins!$K520=1,(-1)*R520,R520)</f>
        <v>1370</v>
      </c>
      <c r="T520">
        <f>IFERROR(VALUE(TRIM(SUBSTITUTE(VentesMagasins!$L520,".",","))),0)</f>
        <v>3</v>
      </c>
      <c r="U520">
        <f t="shared" si="25"/>
        <v>3</v>
      </c>
      <c r="V520" t="str">
        <f t="shared" si="26"/>
        <v>moyenne</v>
      </c>
      <c r="W520" t="str">
        <f>_xlfn.XLOOKUP(VentesMagasins!$B520,Clients!ClientID,Région)</f>
        <v>Est</v>
      </c>
      <c r="X520" t="str">
        <f>INDEX(TypeClient,MATCH(VentesMagasins!$B520,Clients!ClientID))</f>
        <v>Fidèle</v>
      </c>
      <c r="Y520" t="str">
        <v>févr</v>
      </c>
    </row>
    <row r="521" spans="1:25" x14ac:dyDescent="0.25">
      <c r="A521" s="2">
        <v>520</v>
      </c>
      <c r="B521" s="12" t="s">
        <v>183</v>
      </c>
      <c r="C521" s="13">
        <v>44985</v>
      </c>
      <c r="D521" s="12" t="s">
        <v>333</v>
      </c>
      <c r="E521" s="14" t="s">
        <v>348</v>
      </c>
      <c r="F521" s="12" t="s">
        <v>341</v>
      </c>
      <c r="G521" s="2">
        <v>2</v>
      </c>
      <c r="H521" s="3">
        <v>23</v>
      </c>
      <c r="I521" s="14" t="s">
        <v>355</v>
      </c>
      <c r="J521" s="12" t="s">
        <v>833</v>
      </c>
      <c r="K521" s="2">
        <v>0</v>
      </c>
      <c r="L521" s="12" t="s">
        <v>369</v>
      </c>
      <c r="M521">
        <f>YEAR(VentesMagasins!$C521)</f>
        <v>2023</v>
      </c>
      <c r="N521" t="e" cm="1" vm="1">
        <f t="array" aca="1" ref="N521" ca="1">MONTH(DateVente)</f>
        <v>#VALUE!</v>
      </c>
      <c r="O521" t="str">
        <f>PROPER(VentesMagasins!$F521)</f>
        <v>Meuble</v>
      </c>
      <c r="P521">
        <f>VALUE(CLEAN(TRIM(SUBSTITUTE(VentesMagasins!$I521,".",","))))</f>
        <v>0.1</v>
      </c>
      <c r="Q521">
        <f>VALUE(TRIM(SUBSTITUTE(VentesMagasins!$J521,".",",")))</f>
        <v>41.4</v>
      </c>
      <c r="R521">
        <f t="shared" si="24"/>
        <v>37.26</v>
      </c>
      <c r="S521">
        <f>IF(VentesMagasins!$K521=1,(-1)*R521,R521)</f>
        <v>37.26</v>
      </c>
      <c r="T521">
        <f>IFERROR(VALUE(TRIM(SUBSTITUTE(VentesMagasins!$L521,".",","))),0)</f>
        <v>1</v>
      </c>
      <c r="U521">
        <f t="shared" si="25"/>
        <v>1</v>
      </c>
      <c r="V521" t="str">
        <f t="shared" si="26"/>
        <v>faible</v>
      </c>
      <c r="W521" t="str">
        <f>_xlfn.XLOOKUP(VentesMagasins!$B521,Clients!ClientID,Région)</f>
        <v>Nord</v>
      </c>
      <c r="X521" t="str">
        <f>INDEX(TypeClient,MATCH(VentesMagasins!$B521,Clients!ClientID))</f>
        <v>Occasionnel</v>
      </c>
      <c r="Y521" t="str">
        <v>févr</v>
      </c>
    </row>
    <row r="522" spans="1:25" x14ac:dyDescent="0.25">
      <c r="A522" s="2">
        <v>521</v>
      </c>
      <c r="B522" s="12" t="s">
        <v>56</v>
      </c>
      <c r="C522" s="13">
        <v>45298</v>
      </c>
      <c r="D522" s="12" t="s">
        <v>350</v>
      </c>
      <c r="E522" s="14" t="s">
        <v>334</v>
      </c>
      <c r="F522" s="12" t="s">
        <v>341</v>
      </c>
      <c r="G522" s="2">
        <v>5</v>
      </c>
      <c r="H522" s="3">
        <v>168</v>
      </c>
      <c r="I522" s="14" t="s">
        <v>355</v>
      </c>
      <c r="J522" s="12" t="s">
        <v>643</v>
      </c>
      <c r="K522" s="2">
        <v>0</v>
      </c>
      <c r="L522" s="12" t="s">
        <v>344</v>
      </c>
      <c r="M522">
        <f>YEAR(VentesMagasins!$C522)</f>
        <v>2024</v>
      </c>
      <c r="N522" t="e" cm="1" vm="1">
        <f t="array" aca="1" ref="N522" ca="1">MONTH(DateVente)</f>
        <v>#VALUE!</v>
      </c>
      <c r="O522" t="str">
        <f>PROPER(VentesMagasins!$F522)</f>
        <v>Meuble</v>
      </c>
      <c r="P522">
        <f>VALUE(CLEAN(TRIM(SUBSTITUTE(VentesMagasins!$I522,".",","))))</f>
        <v>0.1</v>
      </c>
      <c r="Q522">
        <f>VALUE(TRIM(SUBSTITUTE(VentesMagasins!$J522,".",",")))</f>
        <v>756</v>
      </c>
      <c r="R522">
        <f t="shared" si="24"/>
        <v>680.4</v>
      </c>
      <c r="S522">
        <f>IF(VentesMagasins!$K522=1,(-1)*R522,R522)</f>
        <v>680.4</v>
      </c>
      <c r="T522">
        <f>IFERROR(VALUE(TRIM(SUBSTITUTE(VentesMagasins!$L522,".",","))),0)</f>
        <v>2</v>
      </c>
      <c r="U522">
        <f t="shared" si="25"/>
        <v>2</v>
      </c>
      <c r="V522" t="str">
        <f t="shared" si="26"/>
        <v>faible</v>
      </c>
      <c r="W522" t="str">
        <f>_xlfn.XLOOKUP(VentesMagasins!$B522,Clients!ClientID,Région)</f>
        <v>Ouest</v>
      </c>
      <c r="X522" t="str">
        <f>INDEX(TypeClient,MATCH(VentesMagasins!$B522,Clients!ClientID))</f>
        <v>Fidèle</v>
      </c>
      <c r="Y522" t="str">
        <v>janv</v>
      </c>
    </row>
    <row r="523" spans="1:25" x14ac:dyDescent="0.25">
      <c r="A523" s="2">
        <v>522</v>
      </c>
      <c r="B523" s="12" t="s">
        <v>202</v>
      </c>
      <c r="C523" s="13">
        <v>45717</v>
      </c>
      <c r="D523" s="12" t="s">
        <v>322</v>
      </c>
      <c r="E523" s="14" t="s">
        <v>329</v>
      </c>
      <c r="F523" s="12" t="s">
        <v>341</v>
      </c>
      <c r="G523" s="2">
        <v>2</v>
      </c>
      <c r="H523" s="3">
        <v>57</v>
      </c>
      <c r="I523" s="14" t="s">
        <v>355</v>
      </c>
      <c r="J523" s="12" t="s">
        <v>834</v>
      </c>
      <c r="K523" s="2">
        <v>0</v>
      </c>
      <c r="L523" s="12" t="s">
        <v>327</v>
      </c>
      <c r="M523">
        <f>YEAR(VentesMagasins!$C523)</f>
        <v>2025</v>
      </c>
      <c r="N523" t="e" cm="1" vm="1">
        <f t="array" aca="1" ref="N523" ca="1">MONTH(DateVente)</f>
        <v>#VALUE!</v>
      </c>
      <c r="O523" t="str">
        <f>PROPER(VentesMagasins!$F523)</f>
        <v>Meuble</v>
      </c>
      <c r="P523">
        <f>VALUE(CLEAN(TRIM(SUBSTITUTE(VentesMagasins!$I523,".",","))))</f>
        <v>0.1</v>
      </c>
      <c r="Q523">
        <f>VALUE(TRIM(SUBSTITUTE(VentesMagasins!$J523,".",",")))</f>
        <v>102.6</v>
      </c>
      <c r="R523">
        <f t="shared" si="24"/>
        <v>92.34</v>
      </c>
      <c r="S523">
        <f>IF(VentesMagasins!$K523=1,(-1)*R523,R523)</f>
        <v>92.34</v>
      </c>
      <c r="T523">
        <f>IFERROR(VALUE(TRIM(SUBSTITUTE(VentesMagasins!$L523,".",","))),0)</f>
        <v>5</v>
      </c>
      <c r="U523">
        <f t="shared" si="25"/>
        <v>5</v>
      </c>
      <c r="V523" t="str">
        <f t="shared" si="26"/>
        <v>élévé</v>
      </c>
      <c r="W523" t="str">
        <f>_xlfn.XLOOKUP(VentesMagasins!$B523,Clients!ClientID,Région)</f>
        <v>Nord</v>
      </c>
      <c r="X523" t="str">
        <f>INDEX(TypeClient,MATCH(VentesMagasins!$B523,Clients!ClientID))</f>
        <v>Fidèle</v>
      </c>
      <c r="Y523" t="str">
        <v>mars</v>
      </c>
    </row>
    <row r="524" spans="1:25" x14ac:dyDescent="0.25">
      <c r="A524" s="2">
        <v>523</v>
      </c>
      <c r="B524" s="12" t="s">
        <v>159</v>
      </c>
      <c r="C524" s="13">
        <v>45469</v>
      </c>
      <c r="D524" s="12" t="s">
        <v>328</v>
      </c>
      <c r="E524" s="14" t="s">
        <v>339</v>
      </c>
      <c r="F524" s="12" t="s">
        <v>324</v>
      </c>
      <c r="G524" s="2">
        <v>2</v>
      </c>
      <c r="H524" s="3">
        <v>393</v>
      </c>
      <c r="I524" s="14" t="s">
        <v>335</v>
      </c>
      <c r="J524" s="12" t="s">
        <v>835</v>
      </c>
      <c r="K524" s="2">
        <v>0</v>
      </c>
      <c r="L524" s="12" t="s">
        <v>344</v>
      </c>
      <c r="M524">
        <f>YEAR(VentesMagasins!$C524)</f>
        <v>2024</v>
      </c>
      <c r="N524" t="e" cm="1" vm="1">
        <f t="array" aca="1" ref="N524" ca="1">MONTH(DateVente)</f>
        <v>#VALUE!</v>
      </c>
      <c r="O524" t="str">
        <f>PROPER(VentesMagasins!$F524)</f>
        <v>Électronique</v>
      </c>
      <c r="P524">
        <f>VALUE(CLEAN(TRIM(SUBSTITUTE(VentesMagasins!$I524,".",","))))</f>
        <v>0</v>
      </c>
      <c r="Q524">
        <f>VALUE(TRIM(SUBSTITUTE(VentesMagasins!$J524,".",",")))</f>
        <v>786</v>
      </c>
      <c r="R524">
        <f t="shared" si="24"/>
        <v>786</v>
      </c>
      <c r="S524">
        <f>IF(VentesMagasins!$K524=1,(-1)*R524,R524)</f>
        <v>786</v>
      </c>
      <c r="T524">
        <f>IFERROR(VALUE(TRIM(SUBSTITUTE(VentesMagasins!$L524,".",","))),0)</f>
        <v>2</v>
      </c>
      <c r="U524">
        <f t="shared" si="25"/>
        <v>2</v>
      </c>
      <c r="V524" t="str">
        <f t="shared" si="26"/>
        <v>faible</v>
      </c>
      <c r="W524" t="str">
        <f>_xlfn.XLOOKUP(VentesMagasins!$B524,Clients!ClientID,Région)</f>
        <v>Centre</v>
      </c>
      <c r="X524" t="str">
        <f>INDEX(TypeClient,MATCH(VentesMagasins!$B524,Clients!ClientID))</f>
        <v>Fidèle</v>
      </c>
      <c r="Y524" t="str">
        <v>juin</v>
      </c>
    </row>
    <row r="525" spans="1:25" x14ac:dyDescent="0.25">
      <c r="A525" s="2">
        <v>524</v>
      </c>
      <c r="B525" s="12" t="s">
        <v>9</v>
      </c>
      <c r="C525" s="13">
        <v>45497</v>
      </c>
      <c r="D525" s="12" t="s">
        <v>350</v>
      </c>
      <c r="E525" s="14" t="s">
        <v>323</v>
      </c>
      <c r="F525" s="12" t="s">
        <v>330</v>
      </c>
      <c r="G525" s="2">
        <v>4</v>
      </c>
      <c r="H525" s="3">
        <v>479</v>
      </c>
      <c r="I525" s="14" t="s">
        <v>325</v>
      </c>
      <c r="J525" s="12" t="s">
        <v>836</v>
      </c>
      <c r="K525" s="2">
        <v>0</v>
      </c>
      <c r="L525" s="12" t="s">
        <v>332</v>
      </c>
      <c r="M525">
        <f>YEAR(VentesMagasins!$C525)</f>
        <v>2024</v>
      </c>
      <c r="N525" t="e" cm="1" vm="1">
        <f t="array" aca="1" ref="N525" ca="1">MONTH(DateVente)</f>
        <v>#VALUE!</v>
      </c>
      <c r="O525" t="str">
        <f>PROPER(VentesMagasins!$F525)</f>
        <v>Décoration</v>
      </c>
      <c r="P525">
        <f>VALUE(CLEAN(TRIM(SUBSTITUTE(VentesMagasins!$I525,".",","))))</f>
        <v>0.15</v>
      </c>
      <c r="Q525">
        <f>VALUE(TRIM(SUBSTITUTE(VentesMagasins!$J525,".",",")))</f>
        <v>1628.6</v>
      </c>
      <c r="R525">
        <f t="shared" si="24"/>
        <v>1384.31</v>
      </c>
      <c r="S525">
        <f>IF(VentesMagasins!$K525=1,(-1)*R525,R525)</f>
        <v>1384.31</v>
      </c>
      <c r="T525">
        <f>IFERROR(VALUE(TRIM(SUBSTITUTE(VentesMagasins!$L525,".",","))),0)</f>
        <v>4</v>
      </c>
      <c r="U525">
        <f t="shared" si="25"/>
        <v>4</v>
      </c>
      <c r="V525" t="str">
        <f t="shared" si="26"/>
        <v>moyenne</v>
      </c>
      <c r="W525" t="str">
        <f>_xlfn.XLOOKUP(VentesMagasins!$B525,Clients!ClientID,Région)</f>
        <v>Nord</v>
      </c>
      <c r="X525" t="str">
        <f>INDEX(TypeClient,MATCH(VentesMagasins!$B525,Clients!ClientID))</f>
        <v>Occasionnel</v>
      </c>
      <c r="Y525" t="str">
        <v>juil</v>
      </c>
    </row>
    <row r="526" spans="1:25" x14ac:dyDescent="0.25">
      <c r="A526" s="2">
        <v>525</v>
      </c>
      <c r="B526" s="12" t="s">
        <v>206</v>
      </c>
      <c r="C526" s="13">
        <v>45098</v>
      </c>
      <c r="D526" s="12" t="s">
        <v>350</v>
      </c>
      <c r="E526" s="14" t="s">
        <v>362</v>
      </c>
      <c r="F526" s="12" t="s">
        <v>324</v>
      </c>
      <c r="G526" s="2">
        <v>1</v>
      </c>
      <c r="H526" s="3">
        <v>257</v>
      </c>
      <c r="I526" s="14" t="s">
        <v>342</v>
      </c>
      <c r="J526" s="12" t="s">
        <v>837</v>
      </c>
      <c r="K526" s="2">
        <v>0</v>
      </c>
      <c r="L526" s="12" t="s">
        <v>327</v>
      </c>
      <c r="M526">
        <f>YEAR(VentesMagasins!$C526)</f>
        <v>2023</v>
      </c>
      <c r="N526" t="e" cm="1" vm="1">
        <f t="array" aca="1" ref="N526" ca="1">MONTH(DateVente)</f>
        <v>#VALUE!</v>
      </c>
      <c r="O526" t="str">
        <f>PROPER(VentesMagasins!$F526)</f>
        <v>Électronique</v>
      </c>
      <c r="P526">
        <f>VALUE(CLEAN(TRIM(SUBSTITUTE(VentesMagasins!$I526,".",","))))</f>
        <v>0.05</v>
      </c>
      <c r="Q526">
        <f>VALUE(TRIM(SUBSTITUTE(VentesMagasins!$J526,".",",")))</f>
        <v>244.14999999999901</v>
      </c>
      <c r="R526">
        <f t="shared" si="24"/>
        <v>231.94249999999906</v>
      </c>
      <c r="S526">
        <f>IF(VentesMagasins!$K526=1,(-1)*R526,R526)</f>
        <v>231.94249999999906</v>
      </c>
      <c r="T526">
        <f>IFERROR(VALUE(TRIM(SUBSTITUTE(VentesMagasins!$L526,".",","))),0)</f>
        <v>5</v>
      </c>
      <c r="U526">
        <f t="shared" si="25"/>
        <v>5</v>
      </c>
      <c r="V526" t="str">
        <f t="shared" si="26"/>
        <v>élévé</v>
      </c>
      <c r="W526" t="str">
        <f>_xlfn.XLOOKUP(VentesMagasins!$B526,Clients!ClientID,Région)</f>
        <v>Centre</v>
      </c>
      <c r="X526" t="str">
        <f>INDEX(TypeClient,MATCH(VentesMagasins!$B526,Clients!ClientID))</f>
        <v>Occasionnel</v>
      </c>
      <c r="Y526" t="str">
        <v>juin</v>
      </c>
    </row>
    <row r="527" spans="1:25" x14ac:dyDescent="0.25">
      <c r="A527" s="2">
        <v>526</v>
      </c>
      <c r="B527" s="12" t="s">
        <v>56</v>
      </c>
      <c r="C527" s="13">
        <v>45234</v>
      </c>
      <c r="D527" s="12" t="s">
        <v>322</v>
      </c>
      <c r="E527" s="14" t="s">
        <v>362</v>
      </c>
      <c r="F527" s="12" t="s">
        <v>330</v>
      </c>
      <c r="G527" s="2">
        <v>2</v>
      </c>
      <c r="H527" s="3">
        <v>412</v>
      </c>
      <c r="I527" s="14" t="s">
        <v>342</v>
      </c>
      <c r="J527" s="12" t="s">
        <v>838</v>
      </c>
      <c r="K527" s="2">
        <v>0</v>
      </c>
      <c r="L527" s="12" t="s">
        <v>352</v>
      </c>
      <c r="M527">
        <f>YEAR(VentesMagasins!$C527)</f>
        <v>2023</v>
      </c>
      <c r="N527" t="e" cm="1" vm="1">
        <f t="array" aca="1" ref="N527" ca="1">MONTH(DateVente)</f>
        <v>#VALUE!</v>
      </c>
      <c r="O527" t="str">
        <f>PROPER(VentesMagasins!$F527)</f>
        <v>Décoration</v>
      </c>
      <c r="P527">
        <f>VALUE(CLEAN(TRIM(SUBSTITUTE(VentesMagasins!$I527,".",","))))</f>
        <v>0.05</v>
      </c>
      <c r="Q527">
        <f>VALUE(TRIM(SUBSTITUTE(VentesMagasins!$J527,".",",")))</f>
        <v>782.8</v>
      </c>
      <c r="R527">
        <f t="shared" si="24"/>
        <v>743.66</v>
      </c>
      <c r="S527">
        <f>IF(VentesMagasins!$K527=1,(-1)*R527,R527)</f>
        <v>743.66</v>
      </c>
      <c r="T527">
        <f>IFERROR(VALUE(TRIM(SUBSTITUTE(VentesMagasins!$L527,".",","))),0)</f>
        <v>0</v>
      </c>
      <c r="U527">
        <f t="shared" si="25"/>
        <v>2</v>
      </c>
      <c r="V527" t="str">
        <f t="shared" si="26"/>
        <v>faible</v>
      </c>
      <c r="W527" t="str">
        <f>_xlfn.XLOOKUP(VentesMagasins!$B527,Clients!ClientID,Région)</f>
        <v>Ouest</v>
      </c>
      <c r="X527" t="str">
        <f>INDEX(TypeClient,MATCH(VentesMagasins!$B527,Clients!ClientID))</f>
        <v>Fidèle</v>
      </c>
      <c r="Y527" t="str">
        <v>nov</v>
      </c>
    </row>
    <row r="528" spans="1:25" x14ac:dyDescent="0.25">
      <c r="A528" s="2">
        <v>527</v>
      </c>
      <c r="B528" s="12" t="s">
        <v>188</v>
      </c>
      <c r="C528" s="13">
        <v>45387</v>
      </c>
      <c r="D528" s="12" t="s">
        <v>322</v>
      </c>
      <c r="E528" s="14" t="s">
        <v>345</v>
      </c>
      <c r="F528" s="12" t="s">
        <v>324</v>
      </c>
      <c r="G528" s="2">
        <v>3</v>
      </c>
      <c r="H528" s="3">
        <v>31</v>
      </c>
      <c r="I528" s="14" t="s">
        <v>325</v>
      </c>
      <c r="J528" s="12" t="s">
        <v>839</v>
      </c>
      <c r="K528" s="2">
        <v>0</v>
      </c>
      <c r="L528" s="12" t="s">
        <v>369</v>
      </c>
      <c r="M528">
        <f>YEAR(VentesMagasins!$C528)</f>
        <v>2024</v>
      </c>
      <c r="N528" t="e" cm="1" vm="1">
        <f t="array" aca="1" ref="N528" ca="1">MONTH(DateVente)</f>
        <v>#VALUE!</v>
      </c>
      <c r="O528" t="str">
        <f>PROPER(VentesMagasins!$F528)</f>
        <v>Électronique</v>
      </c>
      <c r="P528">
        <f>VALUE(CLEAN(TRIM(SUBSTITUTE(VentesMagasins!$I528,".",","))))</f>
        <v>0.15</v>
      </c>
      <c r="Q528">
        <f>VALUE(TRIM(SUBSTITUTE(VentesMagasins!$J528,".",",")))</f>
        <v>86.954999999999998</v>
      </c>
      <c r="R528">
        <f t="shared" si="24"/>
        <v>73.911749999999998</v>
      </c>
      <c r="S528">
        <f>IF(VentesMagasins!$K528=1,(-1)*R528,R528)</f>
        <v>73.911749999999998</v>
      </c>
      <c r="T528">
        <f>IFERROR(VALUE(TRIM(SUBSTITUTE(VentesMagasins!$L528,".",","))),0)</f>
        <v>1</v>
      </c>
      <c r="U528">
        <f t="shared" si="25"/>
        <v>1</v>
      </c>
      <c r="V528" t="str">
        <f t="shared" si="26"/>
        <v>faible</v>
      </c>
      <c r="W528" t="str">
        <f>_xlfn.XLOOKUP(VentesMagasins!$B528,Clients!ClientID,Région)</f>
        <v>Nord</v>
      </c>
      <c r="X528" t="str">
        <f>INDEX(TypeClient,MATCH(VentesMagasins!$B528,Clients!ClientID))</f>
        <v>Occasionnel</v>
      </c>
      <c r="Y528" t="str">
        <v>avr</v>
      </c>
    </row>
    <row r="529" spans="1:25" x14ac:dyDescent="0.25">
      <c r="A529" s="2">
        <v>528</v>
      </c>
      <c r="B529" s="12" t="s">
        <v>146</v>
      </c>
      <c r="C529" s="13">
        <v>45506</v>
      </c>
      <c r="D529" s="12" t="s">
        <v>328</v>
      </c>
      <c r="E529" s="14" t="s">
        <v>348</v>
      </c>
      <c r="F529" s="12" t="s">
        <v>330</v>
      </c>
      <c r="G529" s="2">
        <v>5</v>
      </c>
      <c r="H529" s="3">
        <v>468</v>
      </c>
      <c r="I529" s="14" t="s">
        <v>335</v>
      </c>
      <c r="J529" s="12" t="s">
        <v>840</v>
      </c>
      <c r="K529" s="2">
        <v>0</v>
      </c>
      <c r="L529" s="12" t="s">
        <v>337</v>
      </c>
      <c r="M529">
        <f>YEAR(VentesMagasins!$C529)</f>
        <v>2024</v>
      </c>
      <c r="N529" t="e" cm="1" vm="1">
        <f t="array" aca="1" ref="N529" ca="1">MONTH(DateVente)</f>
        <v>#VALUE!</v>
      </c>
      <c r="O529" t="str">
        <f>PROPER(VentesMagasins!$F529)</f>
        <v>Décoration</v>
      </c>
      <c r="P529">
        <f>VALUE(CLEAN(TRIM(SUBSTITUTE(VentesMagasins!$I529,".",","))))</f>
        <v>0</v>
      </c>
      <c r="Q529">
        <f>VALUE(TRIM(SUBSTITUTE(VentesMagasins!$J529,".",",")))</f>
        <v>2340</v>
      </c>
      <c r="R529">
        <f t="shared" si="24"/>
        <v>2340</v>
      </c>
      <c r="S529">
        <f>IF(VentesMagasins!$K529=1,(-1)*R529,R529)</f>
        <v>2340</v>
      </c>
      <c r="T529">
        <f>IFERROR(VALUE(TRIM(SUBSTITUTE(VentesMagasins!$L529,".",","))),0)</f>
        <v>3</v>
      </c>
      <c r="U529">
        <f t="shared" si="25"/>
        <v>3</v>
      </c>
      <c r="V529" t="str">
        <f t="shared" si="26"/>
        <v>moyenne</v>
      </c>
      <c r="W529" t="str">
        <f>_xlfn.XLOOKUP(VentesMagasins!$B529,Clients!ClientID,Région)</f>
        <v>Est</v>
      </c>
      <c r="X529" t="str">
        <f>INDEX(TypeClient,MATCH(VentesMagasins!$B529,Clients!ClientID))</f>
        <v>Occasionnel</v>
      </c>
      <c r="Y529" t="str">
        <v>août</v>
      </c>
    </row>
    <row r="530" spans="1:25" x14ac:dyDescent="0.25">
      <c r="A530" s="2">
        <v>529</v>
      </c>
      <c r="B530" s="12" t="s">
        <v>254</v>
      </c>
      <c r="C530" s="13">
        <v>45725</v>
      </c>
      <c r="D530" s="12" t="s">
        <v>333</v>
      </c>
      <c r="E530" s="14" t="s">
        <v>323</v>
      </c>
      <c r="F530" s="12" t="s">
        <v>330</v>
      </c>
      <c r="G530" s="2">
        <v>4</v>
      </c>
      <c r="H530" s="3">
        <v>62</v>
      </c>
      <c r="I530" s="14" t="s">
        <v>355</v>
      </c>
      <c r="J530" s="12" t="s">
        <v>841</v>
      </c>
      <c r="K530" s="2">
        <v>1</v>
      </c>
      <c r="L530" s="12" t="s">
        <v>344</v>
      </c>
      <c r="M530">
        <f>YEAR(VentesMagasins!$C530)</f>
        <v>2025</v>
      </c>
      <c r="N530" t="e" cm="1" vm="1">
        <f t="array" aca="1" ref="N530" ca="1">MONTH(DateVente)</f>
        <v>#VALUE!</v>
      </c>
      <c r="O530" t="str">
        <f>PROPER(VentesMagasins!$F530)</f>
        <v>Décoration</v>
      </c>
      <c r="P530">
        <f>VALUE(CLEAN(TRIM(SUBSTITUTE(VentesMagasins!$I530,".",","))))</f>
        <v>0.1</v>
      </c>
      <c r="Q530">
        <f>VALUE(TRIM(SUBSTITUTE(VentesMagasins!$J530,".",",")))</f>
        <v>223.2</v>
      </c>
      <c r="R530">
        <f t="shared" si="24"/>
        <v>200.88</v>
      </c>
      <c r="S530">
        <f>IF(VentesMagasins!$K530=1,(-1)*R530,R530)</f>
        <v>-200.88</v>
      </c>
      <c r="T530">
        <f>IFERROR(VALUE(TRIM(SUBSTITUTE(VentesMagasins!$L530,".",","))),0)</f>
        <v>2</v>
      </c>
      <c r="U530">
        <f t="shared" si="25"/>
        <v>2</v>
      </c>
      <c r="V530" t="str">
        <f t="shared" si="26"/>
        <v>faible</v>
      </c>
      <c r="W530" t="str">
        <f>_xlfn.XLOOKUP(VentesMagasins!$B530,Clients!ClientID,Région)</f>
        <v>Ouest</v>
      </c>
      <c r="X530" t="str">
        <f>INDEX(TypeClient,MATCH(VentesMagasins!$B530,Clients!ClientID))</f>
        <v>Fidèle</v>
      </c>
      <c r="Y530" t="str">
        <v>mars</v>
      </c>
    </row>
    <row r="531" spans="1:25" x14ac:dyDescent="0.25">
      <c r="A531" s="2">
        <v>530</v>
      </c>
      <c r="B531" s="12" t="s">
        <v>40</v>
      </c>
      <c r="C531" s="13">
        <v>44986</v>
      </c>
      <c r="D531" s="12" t="s">
        <v>338</v>
      </c>
      <c r="E531" s="14" t="s">
        <v>334</v>
      </c>
      <c r="F531" s="12" t="s">
        <v>324</v>
      </c>
      <c r="G531" s="2">
        <v>1</v>
      </c>
      <c r="H531" s="3">
        <v>445</v>
      </c>
      <c r="I531" s="14" t="s">
        <v>342</v>
      </c>
      <c r="J531" s="12" t="s">
        <v>842</v>
      </c>
      <c r="K531" s="2">
        <v>1</v>
      </c>
      <c r="L531" s="12" t="s">
        <v>352</v>
      </c>
      <c r="M531">
        <f>YEAR(VentesMagasins!$C531)</f>
        <v>2023</v>
      </c>
      <c r="N531" t="e" cm="1" vm="1">
        <f t="array" aca="1" ref="N531" ca="1">MONTH(DateVente)</f>
        <v>#VALUE!</v>
      </c>
      <c r="O531" t="str">
        <f>PROPER(VentesMagasins!$F531)</f>
        <v>Électronique</v>
      </c>
      <c r="P531">
        <f>VALUE(CLEAN(TRIM(SUBSTITUTE(VentesMagasins!$I531,".",","))))</f>
        <v>0.05</v>
      </c>
      <c r="Q531">
        <f>VALUE(TRIM(SUBSTITUTE(VentesMagasins!$J531,".",",")))</f>
        <v>422.75</v>
      </c>
      <c r="R531">
        <f t="shared" si="24"/>
        <v>401.61249999999995</v>
      </c>
      <c r="S531">
        <f>IF(VentesMagasins!$K531=1,(-1)*R531,R531)</f>
        <v>-401.61249999999995</v>
      </c>
      <c r="T531">
        <f>IFERROR(VALUE(TRIM(SUBSTITUTE(VentesMagasins!$L531,".",","))),0)</f>
        <v>0</v>
      </c>
      <c r="U531">
        <f t="shared" si="25"/>
        <v>2</v>
      </c>
      <c r="V531" t="str">
        <f t="shared" si="26"/>
        <v>faible</v>
      </c>
      <c r="W531" t="str">
        <f>_xlfn.XLOOKUP(VentesMagasins!$B531,Clients!ClientID,Région)</f>
        <v>Centre</v>
      </c>
      <c r="X531" t="str">
        <f>INDEX(TypeClient,MATCH(VentesMagasins!$B531,Clients!ClientID))</f>
        <v>Nouveau</v>
      </c>
      <c r="Y531" t="str">
        <v>mars</v>
      </c>
    </row>
    <row r="532" spans="1:25" x14ac:dyDescent="0.25">
      <c r="A532" s="2">
        <v>531</v>
      </c>
      <c r="B532" s="12" t="s">
        <v>180</v>
      </c>
      <c r="C532" s="13">
        <v>45706</v>
      </c>
      <c r="D532" s="12" t="s">
        <v>333</v>
      </c>
      <c r="E532" s="14" t="s">
        <v>348</v>
      </c>
      <c r="F532" s="12" t="s">
        <v>324</v>
      </c>
      <c r="G532" s="2">
        <v>1</v>
      </c>
      <c r="H532" s="3">
        <v>394</v>
      </c>
      <c r="I532" s="14" t="s">
        <v>325</v>
      </c>
      <c r="J532" s="12" t="s">
        <v>843</v>
      </c>
      <c r="K532" s="2">
        <v>0</v>
      </c>
      <c r="L532" s="12" t="s">
        <v>332</v>
      </c>
      <c r="M532">
        <f>YEAR(VentesMagasins!$C532)</f>
        <v>2025</v>
      </c>
      <c r="N532" t="e" cm="1" vm="1">
        <f t="array" aca="1" ref="N532" ca="1">MONTH(DateVente)</f>
        <v>#VALUE!</v>
      </c>
      <c r="O532" t="str">
        <f>PROPER(VentesMagasins!$F532)</f>
        <v>Électronique</v>
      </c>
      <c r="P532">
        <f>VALUE(CLEAN(TRIM(SUBSTITUTE(VentesMagasins!$I532,".",","))))</f>
        <v>0.15</v>
      </c>
      <c r="Q532">
        <f>VALUE(TRIM(SUBSTITUTE(VentesMagasins!$J532,".",",")))</f>
        <v>334.9</v>
      </c>
      <c r="R532">
        <f t="shared" si="24"/>
        <v>284.66499999999996</v>
      </c>
      <c r="S532">
        <f>IF(VentesMagasins!$K532=1,(-1)*R532,R532)</f>
        <v>284.66499999999996</v>
      </c>
      <c r="T532">
        <f>IFERROR(VALUE(TRIM(SUBSTITUTE(VentesMagasins!$L532,".",","))),0)</f>
        <v>4</v>
      </c>
      <c r="U532">
        <f t="shared" si="25"/>
        <v>4</v>
      </c>
      <c r="V532" t="str">
        <f t="shared" si="26"/>
        <v>moyenne</v>
      </c>
      <c r="W532" t="str">
        <f>_xlfn.XLOOKUP(VentesMagasins!$B532,Clients!ClientID,Région)</f>
        <v>Centre</v>
      </c>
      <c r="X532" t="str">
        <f>INDEX(TypeClient,MATCH(VentesMagasins!$B532,Clients!ClientID))</f>
        <v>Nouveau</v>
      </c>
      <c r="Y532" t="str">
        <v>févr</v>
      </c>
    </row>
    <row r="533" spans="1:25" x14ac:dyDescent="0.25">
      <c r="A533" s="2">
        <v>532</v>
      </c>
      <c r="B533" s="12" t="s">
        <v>184</v>
      </c>
      <c r="C533" s="13">
        <v>45044</v>
      </c>
      <c r="D533" s="12" t="s">
        <v>338</v>
      </c>
      <c r="E533" s="14" t="s">
        <v>348</v>
      </c>
      <c r="F533" s="12" t="s">
        <v>324</v>
      </c>
      <c r="G533" s="2">
        <v>5</v>
      </c>
      <c r="H533" s="3">
        <v>259</v>
      </c>
      <c r="I533" s="14" t="s">
        <v>325</v>
      </c>
      <c r="J533" s="12" t="s">
        <v>844</v>
      </c>
      <c r="K533" s="2">
        <v>0</v>
      </c>
      <c r="L533" s="12" t="s">
        <v>369</v>
      </c>
      <c r="M533">
        <f>YEAR(VentesMagasins!$C533)</f>
        <v>2023</v>
      </c>
      <c r="N533" t="e" cm="1" vm="1">
        <f t="array" aca="1" ref="N533" ca="1">MONTH(DateVente)</f>
        <v>#VALUE!</v>
      </c>
      <c r="O533" t="str">
        <f>PROPER(VentesMagasins!$F533)</f>
        <v>Électronique</v>
      </c>
      <c r="P533">
        <f>VALUE(CLEAN(TRIM(SUBSTITUTE(VentesMagasins!$I533,".",","))))</f>
        <v>0.15</v>
      </c>
      <c r="Q533">
        <f>VALUE(TRIM(SUBSTITUTE(VentesMagasins!$J533,".",",")))</f>
        <v>1100.75</v>
      </c>
      <c r="R533">
        <f t="shared" si="24"/>
        <v>935.63749999999993</v>
      </c>
      <c r="S533">
        <f>IF(VentesMagasins!$K533=1,(-1)*R533,R533)</f>
        <v>935.63749999999993</v>
      </c>
      <c r="T533">
        <f>IFERROR(VALUE(TRIM(SUBSTITUTE(VentesMagasins!$L533,".",","))),0)</f>
        <v>1</v>
      </c>
      <c r="U533">
        <f t="shared" si="25"/>
        <v>1</v>
      </c>
      <c r="V533" t="str">
        <f t="shared" si="26"/>
        <v>faible</v>
      </c>
      <c r="W533" t="str">
        <f>_xlfn.XLOOKUP(VentesMagasins!$B533,Clients!ClientID,Région)</f>
        <v>Sud</v>
      </c>
      <c r="X533" t="str">
        <f>INDEX(TypeClient,MATCH(VentesMagasins!$B533,Clients!ClientID))</f>
        <v>Nouveau</v>
      </c>
      <c r="Y533" t="str">
        <v>avr</v>
      </c>
    </row>
    <row r="534" spans="1:25" x14ac:dyDescent="0.25">
      <c r="A534" s="2">
        <v>533</v>
      </c>
      <c r="B534" s="12" t="s">
        <v>147</v>
      </c>
      <c r="C534" s="13">
        <v>45442</v>
      </c>
      <c r="D534" s="12" t="s">
        <v>425</v>
      </c>
      <c r="E534" s="14" t="s">
        <v>345</v>
      </c>
      <c r="F534" s="12" t="s">
        <v>330</v>
      </c>
      <c r="G534" s="2">
        <v>2</v>
      </c>
      <c r="H534" s="3">
        <v>47</v>
      </c>
      <c r="I534" s="14" t="s">
        <v>325</v>
      </c>
      <c r="J534" s="12" t="s">
        <v>845</v>
      </c>
      <c r="K534" s="2">
        <v>1</v>
      </c>
      <c r="L534" s="12" t="s">
        <v>332</v>
      </c>
      <c r="M534">
        <f>YEAR(VentesMagasins!$C534)</f>
        <v>2024</v>
      </c>
      <c r="N534" t="e" cm="1" vm="1">
        <f t="array" aca="1" ref="N534" ca="1">MONTH(DateVente)</f>
        <v>#VALUE!</v>
      </c>
      <c r="O534" t="str">
        <f>PROPER(VentesMagasins!$F534)</f>
        <v>Décoration</v>
      </c>
      <c r="P534">
        <f>VALUE(CLEAN(TRIM(SUBSTITUTE(VentesMagasins!$I534,".",","))))</f>
        <v>0.15</v>
      </c>
      <c r="Q534">
        <f>VALUE(TRIM(SUBSTITUTE(VentesMagasins!$J534,".",",")))</f>
        <v>79.899999999999906</v>
      </c>
      <c r="R534">
        <f t="shared" si="24"/>
        <v>67.914999999999921</v>
      </c>
      <c r="S534">
        <f>IF(VentesMagasins!$K534=1,(-1)*R534,R534)</f>
        <v>-67.914999999999921</v>
      </c>
      <c r="T534">
        <f>IFERROR(VALUE(TRIM(SUBSTITUTE(VentesMagasins!$L534,".",","))),0)</f>
        <v>4</v>
      </c>
      <c r="U534">
        <f t="shared" si="25"/>
        <v>4</v>
      </c>
      <c r="V534" t="str">
        <f t="shared" si="26"/>
        <v>moyenne</v>
      </c>
      <c r="W534" t="str">
        <f>_xlfn.XLOOKUP(VentesMagasins!$B534,Clients!ClientID,Région)</f>
        <v>Ouest</v>
      </c>
      <c r="X534" t="str">
        <f>INDEX(TypeClient,MATCH(VentesMagasins!$B534,Clients!ClientID))</f>
        <v>Fidèle</v>
      </c>
      <c r="Y534" t="str">
        <v>mai</v>
      </c>
    </row>
    <row r="535" spans="1:25" x14ac:dyDescent="0.25">
      <c r="A535" s="2">
        <v>534</v>
      </c>
      <c r="B535" s="12" t="s">
        <v>307</v>
      </c>
      <c r="C535" s="13">
        <v>45476</v>
      </c>
      <c r="D535" s="12" t="s">
        <v>401</v>
      </c>
      <c r="E535" s="14" t="s">
        <v>364</v>
      </c>
      <c r="F535" s="12" t="s">
        <v>324</v>
      </c>
      <c r="G535" s="2">
        <v>2</v>
      </c>
      <c r="H535" s="3">
        <v>140</v>
      </c>
      <c r="I535" s="14" t="s">
        <v>355</v>
      </c>
      <c r="J535" s="12" t="s">
        <v>846</v>
      </c>
      <c r="K535" s="2">
        <v>0</v>
      </c>
      <c r="L535" s="12" t="s">
        <v>369</v>
      </c>
      <c r="M535">
        <f>YEAR(VentesMagasins!$C535)</f>
        <v>2024</v>
      </c>
      <c r="N535" t="e" cm="1" vm="1">
        <f t="array" aca="1" ref="N535" ca="1">MONTH(DateVente)</f>
        <v>#VALUE!</v>
      </c>
      <c r="O535" t="str">
        <f>PROPER(VentesMagasins!$F535)</f>
        <v>Électronique</v>
      </c>
      <c r="P535">
        <f>VALUE(CLEAN(TRIM(SUBSTITUTE(VentesMagasins!$I535,".",","))))</f>
        <v>0.1</v>
      </c>
      <c r="Q535">
        <f>VALUE(TRIM(SUBSTITUTE(VentesMagasins!$J535,".",",")))</f>
        <v>252</v>
      </c>
      <c r="R535">
        <f t="shared" si="24"/>
        <v>226.8</v>
      </c>
      <c r="S535">
        <f>IF(VentesMagasins!$K535=1,(-1)*R535,R535)</f>
        <v>226.8</v>
      </c>
      <c r="T535">
        <f>IFERROR(VALUE(TRIM(SUBSTITUTE(VentesMagasins!$L535,".",","))),0)</f>
        <v>1</v>
      </c>
      <c r="U535">
        <f t="shared" si="25"/>
        <v>1</v>
      </c>
      <c r="V535" t="str">
        <f t="shared" si="26"/>
        <v>faible</v>
      </c>
      <c r="W535" t="str">
        <f>_xlfn.XLOOKUP(VentesMagasins!$B535,Clients!ClientID,Région)</f>
        <v>Nord</v>
      </c>
      <c r="X535" t="str">
        <f>INDEX(TypeClient,MATCH(VentesMagasins!$B535,Clients!ClientID))</f>
        <v>Occasionnel</v>
      </c>
      <c r="Y535" t="str">
        <v>juil</v>
      </c>
    </row>
    <row r="536" spans="1:25" x14ac:dyDescent="0.25">
      <c r="A536" s="2">
        <v>535</v>
      </c>
      <c r="B536" s="12" t="s">
        <v>231</v>
      </c>
      <c r="C536" s="13">
        <v>45450</v>
      </c>
      <c r="D536" s="12" t="s">
        <v>338</v>
      </c>
      <c r="E536" s="14" t="s">
        <v>329</v>
      </c>
      <c r="F536" s="12" t="s">
        <v>324</v>
      </c>
      <c r="G536" s="2">
        <v>2</v>
      </c>
      <c r="H536" s="3">
        <v>442</v>
      </c>
      <c r="I536" s="14" t="s">
        <v>325</v>
      </c>
      <c r="J536" s="12" t="s">
        <v>847</v>
      </c>
      <c r="K536" s="2">
        <v>0</v>
      </c>
      <c r="L536" s="12" t="s">
        <v>352</v>
      </c>
      <c r="M536">
        <f>YEAR(VentesMagasins!$C536)</f>
        <v>2024</v>
      </c>
      <c r="N536" t="e" cm="1" vm="1">
        <f t="array" aca="1" ref="N536" ca="1">MONTH(DateVente)</f>
        <v>#VALUE!</v>
      </c>
      <c r="O536" t="str">
        <f>PROPER(VentesMagasins!$F536)</f>
        <v>Électronique</v>
      </c>
      <c r="P536">
        <f>VALUE(CLEAN(TRIM(SUBSTITUTE(VentesMagasins!$I536,".",","))))</f>
        <v>0.15</v>
      </c>
      <c r="Q536">
        <f>VALUE(TRIM(SUBSTITUTE(VentesMagasins!$J536,".",",")))</f>
        <v>676.26</v>
      </c>
      <c r="R536">
        <f t="shared" si="24"/>
        <v>574.82100000000003</v>
      </c>
      <c r="S536">
        <f>IF(VentesMagasins!$K536=1,(-1)*R536,R536)</f>
        <v>574.82100000000003</v>
      </c>
      <c r="T536">
        <f>IFERROR(VALUE(TRIM(SUBSTITUTE(VentesMagasins!$L536,".",","))),0)</f>
        <v>0</v>
      </c>
      <c r="U536">
        <f t="shared" si="25"/>
        <v>2</v>
      </c>
      <c r="V536" t="str">
        <f t="shared" si="26"/>
        <v>faible</v>
      </c>
      <c r="W536" t="str">
        <f>_xlfn.XLOOKUP(VentesMagasins!$B536,Clients!ClientID,Région)</f>
        <v>Ouest</v>
      </c>
      <c r="X536" t="str">
        <f>INDEX(TypeClient,MATCH(VentesMagasins!$B536,Clients!ClientID))</f>
        <v>Nouveau</v>
      </c>
      <c r="Y536" t="str">
        <v>juin</v>
      </c>
    </row>
    <row r="537" spans="1:25" x14ac:dyDescent="0.25">
      <c r="A537" s="2">
        <v>536</v>
      </c>
      <c r="B537" s="12" t="s">
        <v>201</v>
      </c>
      <c r="C537" s="13">
        <v>45393</v>
      </c>
      <c r="D537" s="12" t="s">
        <v>322</v>
      </c>
      <c r="E537" s="14" t="s">
        <v>339</v>
      </c>
      <c r="F537" s="12" t="s">
        <v>324</v>
      </c>
      <c r="G537" s="2">
        <v>5</v>
      </c>
      <c r="H537" s="3">
        <v>23</v>
      </c>
      <c r="I537" s="14" t="s">
        <v>342</v>
      </c>
      <c r="J537" s="12" t="s">
        <v>848</v>
      </c>
      <c r="K537" s="2">
        <v>0</v>
      </c>
      <c r="L537" s="12" t="s">
        <v>337</v>
      </c>
      <c r="M537">
        <f>YEAR(VentesMagasins!$C537)</f>
        <v>2024</v>
      </c>
      <c r="N537" t="e" cm="1" vm="1">
        <f t="array" aca="1" ref="N537" ca="1">MONTH(DateVente)</f>
        <v>#VALUE!</v>
      </c>
      <c r="O537" t="str">
        <f>PROPER(VentesMagasins!$F537)</f>
        <v>Électronique</v>
      </c>
      <c r="P537">
        <f>VALUE(CLEAN(TRIM(SUBSTITUTE(VentesMagasins!$I537,".",","))))</f>
        <v>0.05</v>
      </c>
      <c r="Q537">
        <f>VALUE(TRIM(SUBSTITUTE(VentesMagasins!$J537,".",",")))</f>
        <v>109.25</v>
      </c>
      <c r="R537">
        <f t="shared" si="24"/>
        <v>103.78749999999999</v>
      </c>
      <c r="S537">
        <f>IF(VentesMagasins!$K537=1,(-1)*R537,R537)</f>
        <v>103.78749999999999</v>
      </c>
      <c r="T537">
        <f>IFERROR(VALUE(TRIM(SUBSTITUTE(VentesMagasins!$L537,".",","))),0)</f>
        <v>3</v>
      </c>
      <c r="U537">
        <f t="shared" si="25"/>
        <v>3</v>
      </c>
      <c r="V537" t="str">
        <f t="shared" si="26"/>
        <v>moyenne</v>
      </c>
      <c r="W537" t="str">
        <f>_xlfn.XLOOKUP(VentesMagasins!$B537,Clients!ClientID,Région)</f>
        <v>Nord</v>
      </c>
      <c r="X537" t="str">
        <f>INDEX(TypeClient,MATCH(VentesMagasins!$B537,Clients!ClientID))</f>
        <v>Occasionnel</v>
      </c>
      <c r="Y537" t="str">
        <v>avr</v>
      </c>
    </row>
    <row r="538" spans="1:25" x14ac:dyDescent="0.25">
      <c r="A538" s="2">
        <v>537</v>
      </c>
      <c r="B538" s="12" t="s">
        <v>11</v>
      </c>
      <c r="C538" s="13">
        <v>45809</v>
      </c>
      <c r="D538" s="12" t="s">
        <v>338</v>
      </c>
      <c r="E538" s="14" t="s">
        <v>362</v>
      </c>
      <c r="F538" s="12" t="s">
        <v>341</v>
      </c>
      <c r="G538" s="2">
        <v>3</v>
      </c>
      <c r="H538" s="3">
        <v>231</v>
      </c>
      <c r="I538" s="14" t="s">
        <v>325</v>
      </c>
      <c r="J538" s="12" t="s">
        <v>849</v>
      </c>
      <c r="K538" s="2">
        <v>1</v>
      </c>
      <c r="L538" s="12" t="s">
        <v>337</v>
      </c>
      <c r="M538">
        <f>YEAR(VentesMagasins!$C538)</f>
        <v>2025</v>
      </c>
      <c r="N538" t="e" cm="1" vm="1">
        <f t="array" aca="1" ref="N538" ca="1">MONTH(DateVente)</f>
        <v>#VALUE!</v>
      </c>
      <c r="O538" t="str">
        <f>PROPER(VentesMagasins!$F538)</f>
        <v>Meuble</v>
      </c>
      <c r="P538">
        <f>VALUE(CLEAN(TRIM(SUBSTITUTE(VentesMagasins!$I538,".",","))))</f>
        <v>0.15</v>
      </c>
      <c r="Q538">
        <f>VALUE(TRIM(SUBSTITUTE(VentesMagasins!$J538,".",",")))</f>
        <v>589.04999999999995</v>
      </c>
      <c r="R538">
        <f t="shared" si="24"/>
        <v>500.69249999999994</v>
      </c>
      <c r="S538">
        <f>IF(VentesMagasins!$K538=1,(-1)*R538,R538)</f>
        <v>-500.69249999999994</v>
      </c>
      <c r="T538">
        <f>IFERROR(VALUE(TRIM(SUBSTITUTE(VentesMagasins!$L538,".",","))),0)</f>
        <v>3</v>
      </c>
      <c r="U538">
        <f t="shared" si="25"/>
        <v>3</v>
      </c>
      <c r="V538" t="str">
        <f t="shared" si="26"/>
        <v>moyenne</v>
      </c>
      <c r="W538" t="str">
        <f>_xlfn.XLOOKUP(VentesMagasins!$B538,Clients!ClientID,Région)</f>
        <v>Centre</v>
      </c>
      <c r="X538" t="str">
        <f>INDEX(TypeClient,MATCH(VentesMagasins!$B538,Clients!ClientID))</f>
        <v>Fidèle</v>
      </c>
      <c r="Y538" t="str">
        <v>juin</v>
      </c>
    </row>
    <row r="539" spans="1:25" x14ac:dyDescent="0.25">
      <c r="A539" s="2">
        <v>538</v>
      </c>
      <c r="B539" s="12" t="s">
        <v>121</v>
      </c>
      <c r="C539" s="13">
        <v>45418</v>
      </c>
      <c r="D539" s="12" t="s">
        <v>333</v>
      </c>
      <c r="E539" s="14" t="s">
        <v>362</v>
      </c>
      <c r="F539" s="12" t="s">
        <v>324</v>
      </c>
      <c r="G539" s="2">
        <v>3</v>
      </c>
      <c r="H539" s="3">
        <v>177</v>
      </c>
      <c r="I539" s="14" t="s">
        <v>342</v>
      </c>
      <c r="J539" s="12" t="s">
        <v>850</v>
      </c>
      <c r="K539" s="2">
        <v>1</v>
      </c>
      <c r="L539" s="12" t="s">
        <v>352</v>
      </c>
      <c r="M539">
        <f>YEAR(VentesMagasins!$C539)</f>
        <v>2024</v>
      </c>
      <c r="N539" t="e" cm="1" vm="1">
        <f t="array" aca="1" ref="N539" ca="1">MONTH(DateVente)</f>
        <v>#VALUE!</v>
      </c>
      <c r="O539" t="str">
        <f>PROPER(VentesMagasins!$F539)</f>
        <v>Électronique</v>
      </c>
      <c r="P539">
        <f>VALUE(CLEAN(TRIM(SUBSTITUTE(VentesMagasins!$I539,".",","))))</f>
        <v>0.05</v>
      </c>
      <c r="Q539">
        <f>VALUE(TRIM(SUBSTITUTE(VentesMagasins!$J539,".",",")))</f>
        <v>504.45</v>
      </c>
      <c r="R539">
        <f t="shared" si="24"/>
        <v>479.22749999999996</v>
      </c>
      <c r="S539">
        <f>IF(VentesMagasins!$K539=1,(-1)*R539,R539)</f>
        <v>-479.22749999999996</v>
      </c>
      <c r="T539">
        <f>IFERROR(VALUE(TRIM(SUBSTITUTE(VentesMagasins!$L539,".",","))),0)</f>
        <v>0</v>
      </c>
      <c r="U539">
        <f t="shared" si="25"/>
        <v>2</v>
      </c>
      <c r="V539" t="str">
        <f t="shared" si="26"/>
        <v>faible</v>
      </c>
      <c r="W539" t="str">
        <f>_xlfn.XLOOKUP(VentesMagasins!$B539,Clients!ClientID,Région)</f>
        <v>Centre</v>
      </c>
      <c r="X539" t="str">
        <f>INDEX(TypeClient,MATCH(VentesMagasins!$B539,Clients!ClientID))</f>
        <v>Nouveau</v>
      </c>
      <c r="Y539" t="str">
        <v>mai</v>
      </c>
    </row>
    <row r="540" spans="1:25" x14ac:dyDescent="0.25">
      <c r="A540" s="2">
        <v>539</v>
      </c>
      <c r="B540" s="12" t="s">
        <v>283</v>
      </c>
      <c r="C540" s="13">
        <v>45689</v>
      </c>
      <c r="D540" s="12" t="s">
        <v>350</v>
      </c>
      <c r="E540" s="14" t="s">
        <v>345</v>
      </c>
      <c r="F540" s="12" t="s">
        <v>341</v>
      </c>
      <c r="G540" s="2">
        <v>5</v>
      </c>
      <c r="H540" s="3">
        <v>96</v>
      </c>
      <c r="I540" s="14" t="s">
        <v>342</v>
      </c>
      <c r="J540" s="12" t="s">
        <v>767</v>
      </c>
      <c r="K540" s="2">
        <v>0</v>
      </c>
      <c r="L540" s="12" t="s">
        <v>352</v>
      </c>
      <c r="M540">
        <f>YEAR(VentesMagasins!$C540)</f>
        <v>2025</v>
      </c>
      <c r="N540" t="e" cm="1" vm="1">
        <f t="array" aca="1" ref="N540" ca="1">MONTH(DateVente)</f>
        <v>#VALUE!</v>
      </c>
      <c r="O540" t="str">
        <f>PROPER(VentesMagasins!$F540)</f>
        <v>Meuble</v>
      </c>
      <c r="P540">
        <f>VALUE(CLEAN(TRIM(SUBSTITUTE(VentesMagasins!$I540,".",","))))</f>
        <v>0.05</v>
      </c>
      <c r="Q540">
        <f>VALUE(TRIM(SUBSTITUTE(VentesMagasins!$J540,".",",")))</f>
        <v>456</v>
      </c>
      <c r="R540">
        <f t="shared" si="24"/>
        <v>433.2</v>
      </c>
      <c r="S540">
        <f>IF(VentesMagasins!$K540=1,(-1)*R540,R540)</f>
        <v>433.2</v>
      </c>
      <c r="T540">
        <f>IFERROR(VALUE(TRIM(SUBSTITUTE(VentesMagasins!$L540,".",","))),0)</f>
        <v>0</v>
      </c>
      <c r="U540">
        <f t="shared" si="25"/>
        <v>3</v>
      </c>
      <c r="V540" t="str">
        <f t="shared" si="26"/>
        <v>moyenne</v>
      </c>
      <c r="W540" t="str">
        <f>_xlfn.XLOOKUP(VentesMagasins!$B540,Clients!ClientID,Région)</f>
        <v>Nord</v>
      </c>
      <c r="X540" t="str">
        <f>INDEX(TypeClient,MATCH(VentesMagasins!$B540,Clients!ClientID))</f>
        <v>Fidèle</v>
      </c>
      <c r="Y540" t="str">
        <v>févr</v>
      </c>
    </row>
    <row r="541" spans="1:25" x14ac:dyDescent="0.25">
      <c r="A541" s="2">
        <v>540</v>
      </c>
      <c r="B541" s="12" t="s">
        <v>232</v>
      </c>
      <c r="C541" s="13">
        <v>45795</v>
      </c>
      <c r="D541" s="12" t="s">
        <v>333</v>
      </c>
      <c r="E541" s="14" t="s">
        <v>339</v>
      </c>
      <c r="F541" s="12" t="s">
        <v>324</v>
      </c>
      <c r="G541" s="2">
        <v>4</v>
      </c>
      <c r="H541" s="3">
        <v>243</v>
      </c>
      <c r="I541" s="14" t="s">
        <v>325</v>
      </c>
      <c r="J541" s="12" t="s">
        <v>851</v>
      </c>
      <c r="K541" s="2">
        <v>1</v>
      </c>
      <c r="L541" s="12" t="s">
        <v>369</v>
      </c>
      <c r="M541">
        <f>YEAR(VentesMagasins!$C541)</f>
        <v>2025</v>
      </c>
      <c r="N541" t="e" cm="1" vm="1">
        <f t="array" aca="1" ref="N541" ca="1">MONTH(DateVente)</f>
        <v>#VALUE!</v>
      </c>
      <c r="O541" t="str">
        <f>PROPER(VentesMagasins!$F541)</f>
        <v>Électronique</v>
      </c>
      <c r="P541">
        <f>VALUE(CLEAN(TRIM(SUBSTITUTE(VentesMagasins!$I541,".",","))))</f>
        <v>0.15</v>
      </c>
      <c r="Q541">
        <f>VALUE(TRIM(SUBSTITUTE(VentesMagasins!$J541,".",",")))</f>
        <v>826.19999999999902</v>
      </c>
      <c r="R541">
        <f t="shared" si="24"/>
        <v>702.26999999999919</v>
      </c>
      <c r="S541">
        <f>IF(VentesMagasins!$K541=1,(-1)*R541,R541)</f>
        <v>-702.26999999999919</v>
      </c>
      <c r="T541">
        <f>IFERROR(VALUE(TRIM(SUBSTITUTE(VentesMagasins!$L541,".",","))),0)</f>
        <v>1</v>
      </c>
      <c r="U541">
        <f t="shared" si="25"/>
        <v>1</v>
      </c>
      <c r="V541" t="str">
        <f t="shared" si="26"/>
        <v>faible</v>
      </c>
      <c r="W541" t="str">
        <f>_xlfn.XLOOKUP(VentesMagasins!$B541,Clients!ClientID,Région)</f>
        <v>Centre</v>
      </c>
      <c r="X541" t="str">
        <f>INDEX(TypeClient,MATCH(VentesMagasins!$B541,Clients!ClientID))</f>
        <v>Fidèle</v>
      </c>
      <c r="Y541" t="str">
        <v>mai</v>
      </c>
    </row>
    <row r="542" spans="1:25" x14ac:dyDescent="0.25">
      <c r="A542" s="2">
        <v>541</v>
      </c>
      <c r="B542" s="12" t="s">
        <v>61</v>
      </c>
      <c r="C542" s="13">
        <v>45571</v>
      </c>
      <c r="D542" s="12" t="s">
        <v>338</v>
      </c>
      <c r="E542" s="14" t="s">
        <v>362</v>
      </c>
      <c r="F542" s="12" t="s">
        <v>324</v>
      </c>
      <c r="G542" s="2">
        <v>3</v>
      </c>
      <c r="H542" s="3">
        <v>341</v>
      </c>
      <c r="I542" s="14" t="s">
        <v>325</v>
      </c>
      <c r="J542" s="12" t="s">
        <v>545</v>
      </c>
      <c r="K542" s="2">
        <v>0</v>
      </c>
      <c r="L542" s="12" t="s">
        <v>332</v>
      </c>
      <c r="M542">
        <f>YEAR(VentesMagasins!$C542)</f>
        <v>2024</v>
      </c>
      <c r="N542" t="e" cm="1" vm="1">
        <f t="array" aca="1" ref="N542" ca="1">MONTH(DateVente)</f>
        <v>#VALUE!</v>
      </c>
      <c r="O542" t="str">
        <f>PROPER(VentesMagasins!$F542)</f>
        <v>Électronique</v>
      </c>
      <c r="P542">
        <f>VALUE(CLEAN(TRIM(SUBSTITUTE(VentesMagasins!$I542,".",","))))</f>
        <v>0.15</v>
      </c>
      <c r="Q542">
        <f>VALUE(TRIM(SUBSTITUTE(VentesMagasins!$J542,".",",")))</f>
        <v>869.55</v>
      </c>
      <c r="R542">
        <f t="shared" si="24"/>
        <v>739.11749999999995</v>
      </c>
      <c r="S542">
        <f>IF(VentesMagasins!$K542=1,(-1)*R542,R542)</f>
        <v>739.11749999999995</v>
      </c>
      <c r="T542">
        <f>IFERROR(VALUE(TRIM(SUBSTITUTE(VentesMagasins!$L542,".",","))),0)</f>
        <v>4</v>
      </c>
      <c r="U542">
        <f t="shared" si="25"/>
        <v>4</v>
      </c>
      <c r="V542" t="str">
        <f t="shared" si="26"/>
        <v>moyenne</v>
      </c>
      <c r="W542" t="str">
        <f>_xlfn.XLOOKUP(VentesMagasins!$B542,Clients!ClientID,Région)</f>
        <v>Nord</v>
      </c>
      <c r="X542" t="str">
        <f>INDEX(TypeClient,MATCH(VentesMagasins!$B542,Clients!ClientID))</f>
        <v>Fidèle</v>
      </c>
      <c r="Y542" t="str">
        <v>oct</v>
      </c>
    </row>
    <row r="543" spans="1:25" x14ac:dyDescent="0.25">
      <c r="A543" s="2">
        <v>542</v>
      </c>
      <c r="B543" s="12" t="s">
        <v>138</v>
      </c>
      <c r="C543" s="13">
        <v>44928</v>
      </c>
      <c r="D543" s="12" t="s">
        <v>350</v>
      </c>
      <c r="E543" s="14" t="s">
        <v>364</v>
      </c>
      <c r="F543" s="12" t="s">
        <v>330</v>
      </c>
      <c r="G543" s="2">
        <v>3</v>
      </c>
      <c r="H543" s="3">
        <v>275</v>
      </c>
      <c r="I543" s="14" t="s">
        <v>325</v>
      </c>
      <c r="J543" s="12" t="s">
        <v>852</v>
      </c>
      <c r="K543" s="2">
        <v>0</v>
      </c>
      <c r="L543" s="12" t="s">
        <v>369</v>
      </c>
      <c r="M543">
        <f>YEAR(VentesMagasins!$C543)</f>
        <v>2023</v>
      </c>
      <c r="N543" t="e" cm="1" vm="1">
        <f t="array" aca="1" ref="N543" ca="1">MONTH(DateVente)</f>
        <v>#VALUE!</v>
      </c>
      <c r="O543" t="str">
        <f>PROPER(VentesMagasins!$F543)</f>
        <v>Décoration</v>
      </c>
      <c r="P543">
        <f>VALUE(CLEAN(TRIM(SUBSTITUTE(VentesMagasins!$I543,".",","))))</f>
        <v>0.15</v>
      </c>
      <c r="Q543">
        <f>VALUE(TRIM(SUBSTITUTE(VentesMagasins!$J543,".",",")))</f>
        <v>701.25</v>
      </c>
      <c r="R543">
        <f t="shared" si="24"/>
        <v>596.0625</v>
      </c>
      <c r="S543">
        <f>IF(VentesMagasins!$K543=1,(-1)*R543,R543)</f>
        <v>596.0625</v>
      </c>
      <c r="T543">
        <f>IFERROR(VALUE(TRIM(SUBSTITUTE(VentesMagasins!$L543,".",","))),0)</f>
        <v>1</v>
      </c>
      <c r="U543">
        <f t="shared" si="25"/>
        <v>1</v>
      </c>
      <c r="V543" t="str">
        <f t="shared" si="26"/>
        <v>faible</v>
      </c>
      <c r="W543" t="str">
        <f>_xlfn.XLOOKUP(VentesMagasins!$B543,Clients!ClientID,Région)</f>
        <v>Ouest</v>
      </c>
      <c r="X543" t="str">
        <f>INDEX(TypeClient,MATCH(VentesMagasins!$B543,Clients!ClientID))</f>
        <v>Nouveau</v>
      </c>
      <c r="Y543" t="str">
        <v>janv</v>
      </c>
    </row>
    <row r="544" spans="1:25" x14ac:dyDescent="0.25">
      <c r="A544" s="2">
        <v>543</v>
      </c>
      <c r="B544" s="12" t="s">
        <v>156</v>
      </c>
      <c r="C544" s="13">
        <v>45966</v>
      </c>
      <c r="D544" s="12" t="s">
        <v>333</v>
      </c>
      <c r="E544" s="14" t="s">
        <v>364</v>
      </c>
      <c r="F544" s="12" t="s">
        <v>341</v>
      </c>
      <c r="G544" s="2">
        <v>2</v>
      </c>
      <c r="H544" s="3">
        <v>353</v>
      </c>
      <c r="I544" s="14" t="s">
        <v>342</v>
      </c>
      <c r="J544" s="12" t="s">
        <v>853</v>
      </c>
      <c r="K544" s="2">
        <v>0</v>
      </c>
      <c r="L544" s="12" t="s">
        <v>332</v>
      </c>
      <c r="M544">
        <f>YEAR(VentesMagasins!$C544)</f>
        <v>2025</v>
      </c>
      <c r="N544" t="e" cm="1" vm="1">
        <f t="array" aca="1" ref="N544" ca="1">MONTH(DateVente)</f>
        <v>#VALUE!</v>
      </c>
      <c r="O544" t="str">
        <f>PROPER(VentesMagasins!$F544)</f>
        <v>Meuble</v>
      </c>
      <c r="P544">
        <f>VALUE(CLEAN(TRIM(SUBSTITUTE(VentesMagasins!$I544,".",","))))</f>
        <v>0.05</v>
      </c>
      <c r="Q544">
        <f>VALUE(TRIM(SUBSTITUTE(VentesMagasins!$J544,".",",")))</f>
        <v>670.69999999999902</v>
      </c>
      <c r="R544">
        <f t="shared" si="24"/>
        <v>637.16499999999905</v>
      </c>
      <c r="S544">
        <f>IF(VentesMagasins!$K544=1,(-1)*R544,R544)</f>
        <v>637.16499999999905</v>
      </c>
      <c r="T544">
        <f>IFERROR(VALUE(TRIM(SUBSTITUTE(VentesMagasins!$L544,".",","))),0)</f>
        <v>4</v>
      </c>
      <c r="U544">
        <f t="shared" si="25"/>
        <v>4</v>
      </c>
      <c r="V544" t="str">
        <f t="shared" si="26"/>
        <v>moyenne</v>
      </c>
      <c r="W544" t="str">
        <f>_xlfn.XLOOKUP(VentesMagasins!$B544,Clients!ClientID,Région)</f>
        <v>Centre</v>
      </c>
      <c r="X544" t="str">
        <f>INDEX(TypeClient,MATCH(VentesMagasins!$B544,Clients!ClientID))</f>
        <v>Nouveau</v>
      </c>
      <c r="Y544" t="str">
        <v>nov</v>
      </c>
    </row>
    <row r="545" spans="1:25" x14ac:dyDescent="0.25">
      <c r="A545" s="2">
        <v>544</v>
      </c>
      <c r="B545" s="12" t="s">
        <v>76</v>
      </c>
      <c r="C545" s="13">
        <v>45678</v>
      </c>
      <c r="D545" s="12" t="s">
        <v>333</v>
      </c>
      <c r="E545" s="14" t="s">
        <v>364</v>
      </c>
      <c r="F545" s="12" t="s">
        <v>341</v>
      </c>
      <c r="G545" s="2">
        <v>4</v>
      </c>
      <c r="H545" s="3">
        <v>269</v>
      </c>
      <c r="I545" s="14" t="s">
        <v>335</v>
      </c>
      <c r="J545" s="12" t="s">
        <v>854</v>
      </c>
      <c r="K545" s="2">
        <v>0</v>
      </c>
      <c r="L545" s="12" t="s">
        <v>332</v>
      </c>
      <c r="M545">
        <f>YEAR(VentesMagasins!$C545)</f>
        <v>2025</v>
      </c>
      <c r="N545" t="e" cm="1" vm="1">
        <f t="array" aca="1" ref="N545" ca="1">MONTH(DateVente)</f>
        <v>#VALUE!</v>
      </c>
      <c r="O545" t="str">
        <f>PROPER(VentesMagasins!$F545)</f>
        <v>Meuble</v>
      </c>
      <c r="P545">
        <f>VALUE(CLEAN(TRIM(SUBSTITUTE(VentesMagasins!$I545,".",","))))</f>
        <v>0</v>
      </c>
      <c r="Q545">
        <f>VALUE(TRIM(SUBSTITUTE(VentesMagasins!$J545,".",",")))</f>
        <v>1076</v>
      </c>
      <c r="R545">
        <f t="shared" si="24"/>
        <v>1076</v>
      </c>
      <c r="S545">
        <f>IF(VentesMagasins!$K545=1,(-1)*R545,R545)</f>
        <v>1076</v>
      </c>
      <c r="T545">
        <f>IFERROR(VALUE(TRIM(SUBSTITUTE(VentesMagasins!$L545,".",","))),0)</f>
        <v>4</v>
      </c>
      <c r="U545">
        <f t="shared" si="25"/>
        <v>4</v>
      </c>
      <c r="V545" t="str">
        <f t="shared" si="26"/>
        <v>moyenne</v>
      </c>
      <c r="W545" t="str">
        <f>_xlfn.XLOOKUP(VentesMagasins!$B545,Clients!ClientID,Région)</f>
        <v>Nord</v>
      </c>
      <c r="X545" t="str">
        <f>INDEX(TypeClient,MATCH(VentesMagasins!$B545,Clients!ClientID))</f>
        <v>Occasionnel</v>
      </c>
      <c r="Y545" t="str">
        <v>janv</v>
      </c>
    </row>
    <row r="546" spans="1:25" x14ac:dyDescent="0.25">
      <c r="A546" s="2">
        <v>545</v>
      </c>
      <c r="B546" s="12" t="s">
        <v>3</v>
      </c>
      <c r="C546" s="13">
        <v>45738</v>
      </c>
      <c r="D546" s="12" t="s">
        <v>322</v>
      </c>
      <c r="E546" s="14" t="s">
        <v>323</v>
      </c>
      <c r="F546" s="12" t="s">
        <v>341</v>
      </c>
      <c r="G546" s="2">
        <v>4</v>
      </c>
      <c r="H546" s="3">
        <v>353</v>
      </c>
      <c r="I546" s="14" t="s">
        <v>342</v>
      </c>
      <c r="J546" s="12" t="s">
        <v>855</v>
      </c>
      <c r="K546" s="2">
        <v>0</v>
      </c>
      <c r="L546" s="12" t="s">
        <v>327</v>
      </c>
      <c r="M546">
        <f>YEAR(VentesMagasins!$C546)</f>
        <v>2025</v>
      </c>
      <c r="N546" t="e" cm="1" vm="1">
        <f t="array" aca="1" ref="N546" ca="1">MONTH(DateVente)</f>
        <v>#VALUE!</v>
      </c>
      <c r="O546" t="str">
        <f>PROPER(VentesMagasins!$F546)</f>
        <v>Meuble</v>
      </c>
      <c r="P546">
        <f>VALUE(CLEAN(TRIM(SUBSTITUTE(VentesMagasins!$I546,".",","))))</f>
        <v>0.05</v>
      </c>
      <c r="Q546">
        <f>VALUE(TRIM(SUBSTITUTE(VentesMagasins!$J546,".",",")))</f>
        <v>1341.3999999999901</v>
      </c>
      <c r="R546">
        <f t="shared" si="24"/>
        <v>1274.3299999999906</v>
      </c>
      <c r="S546">
        <f>IF(VentesMagasins!$K546=1,(-1)*R546,R546)</f>
        <v>1274.3299999999906</v>
      </c>
      <c r="T546">
        <f>IFERROR(VALUE(TRIM(SUBSTITUTE(VentesMagasins!$L546,".",","))),0)</f>
        <v>5</v>
      </c>
      <c r="U546">
        <f t="shared" si="25"/>
        <v>5</v>
      </c>
      <c r="V546" t="str">
        <f t="shared" si="26"/>
        <v>élévé</v>
      </c>
      <c r="W546" t="str">
        <f>_xlfn.XLOOKUP(VentesMagasins!$B546,Clients!ClientID,Région)</f>
        <v>Centre</v>
      </c>
      <c r="X546" t="str">
        <f>INDEX(TypeClient,MATCH(VentesMagasins!$B546,Clients!ClientID))</f>
        <v>Occasionnel</v>
      </c>
      <c r="Y546" t="str">
        <v>mars</v>
      </c>
    </row>
    <row r="547" spans="1:25" x14ac:dyDescent="0.25">
      <c r="A547" s="2">
        <v>546</v>
      </c>
      <c r="B547" s="12" t="s">
        <v>41</v>
      </c>
      <c r="C547" s="13">
        <v>45056</v>
      </c>
      <c r="D547" s="12" t="s">
        <v>328</v>
      </c>
      <c r="E547" s="14" t="s">
        <v>364</v>
      </c>
      <c r="F547" s="12" t="s">
        <v>341</v>
      </c>
      <c r="G547" s="2">
        <v>3</v>
      </c>
      <c r="H547" s="3">
        <v>307</v>
      </c>
      <c r="I547" s="14" t="s">
        <v>355</v>
      </c>
      <c r="J547" s="12" t="s">
        <v>856</v>
      </c>
      <c r="K547" s="2">
        <v>0</v>
      </c>
      <c r="L547" s="12" t="s">
        <v>332</v>
      </c>
      <c r="M547">
        <f>YEAR(VentesMagasins!$C547)</f>
        <v>2023</v>
      </c>
      <c r="N547" t="e" cm="1" vm="1">
        <f t="array" aca="1" ref="N547" ca="1">MONTH(DateVente)</f>
        <v>#VALUE!</v>
      </c>
      <c r="O547" t="str">
        <f>PROPER(VentesMagasins!$F547)</f>
        <v>Meuble</v>
      </c>
      <c r="P547">
        <f>VALUE(CLEAN(TRIM(SUBSTITUTE(VentesMagasins!$I547,".",","))))</f>
        <v>0.1</v>
      </c>
      <c r="Q547">
        <f>VALUE(TRIM(SUBSTITUTE(VentesMagasins!$J547,".",",")))</f>
        <v>828.9</v>
      </c>
      <c r="R547">
        <f t="shared" si="24"/>
        <v>746.01</v>
      </c>
      <c r="S547">
        <f>IF(VentesMagasins!$K547=1,(-1)*R547,R547)</f>
        <v>746.01</v>
      </c>
      <c r="T547">
        <f>IFERROR(VALUE(TRIM(SUBSTITUTE(VentesMagasins!$L547,".",","))),0)</f>
        <v>4</v>
      </c>
      <c r="U547">
        <f t="shared" si="25"/>
        <v>4</v>
      </c>
      <c r="V547" t="str">
        <f t="shared" si="26"/>
        <v>moyenne</v>
      </c>
      <c r="W547" t="str">
        <f>_xlfn.XLOOKUP(VentesMagasins!$B547,Clients!ClientID,Région)</f>
        <v>Centre</v>
      </c>
      <c r="X547" t="str">
        <f>INDEX(TypeClient,MATCH(VentesMagasins!$B547,Clients!ClientID))</f>
        <v>Nouveau</v>
      </c>
      <c r="Y547" t="str">
        <v>mai</v>
      </c>
    </row>
    <row r="548" spans="1:25" x14ac:dyDescent="0.25">
      <c r="A548" s="2">
        <v>547</v>
      </c>
      <c r="B548" s="12" t="s">
        <v>260</v>
      </c>
      <c r="C548" s="13">
        <v>45513</v>
      </c>
      <c r="D548" s="12" t="s">
        <v>350</v>
      </c>
      <c r="E548" s="14" t="s">
        <v>348</v>
      </c>
      <c r="F548" s="12" t="s">
        <v>330</v>
      </c>
      <c r="G548" s="2">
        <v>1</v>
      </c>
      <c r="H548" s="3">
        <v>343</v>
      </c>
      <c r="I548" s="14" t="s">
        <v>325</v>
      </c>
      <c r="J548" s="12" t="s">
        <v>857</v>
      </c>
      <c r="K548" s="2">
        <v>0</v>
      </c>
      <c r="L548" s="12" t="s">
        <v>352</v>
      </c>
      <c r="M548">
        <f>YEAR(VentesMagasins!$C548)</f>
        <v>2024</v>
      </c>
      <c r="N548" t="e" cm="1" vm="1">
        <f t="array" aca="1" ref="N548" ca="1">MONTH(DateVente)</f>
        <v>#VALUE!</v>
      </c>
      <c r="O548" t="str">
        <f>PROPER(VentesMagasins!$F548)</f>
        <v>Décoration</v>
      </c>
      <c r="P548">
        <f>VALUE(CLEAN(TRIM(SUBSTITUTE(VentesMagasins!$I548,".",","))))</f>
        <v>0.15</v>
      </c>
      <c r="Q548">
        <f>VALUE(TRIM(SUBSTITUTE(VentesMagasins!$J548,".",",")))</f>
        <v>262.39499999999998</v>
      </c>
      <c r="R548">
        <f t="shared" si="24"/>
        <v>223.03574999999998</v>
      </c>
      <c r="S548">
        <f>IF(VentesMagasins!$K548=1,(-1)*R548,R548)</f>
        <v>223.03574999999998</v>
      </c>
      <c r="T548">
        <f>IFERROR(VALUE(TRIM(SUBSTITUTE(VentesMagasins!$L548,".",","))),0)</f>
        <v>0</v>
      </c>
      <c r="U548">
        <f t="shared" si="25"/>
        <v>2</v>
      </c>
      <c r="V548" t="str">
        <f t="shared" si="26"/>
        <v>faible</v>
      </c>
      <c r="W548" t="str">
        <f>_xlfn.XLOOKUP(VentesMagasins!$B548,Clients!ClientID,Région)</f>
        <v>Est</v>
      </c>
      <c r="X548" t="str">
        <f>INDEX(TypeClient,MATCH(VentesMagasins!$B548,Clients!ClientID))</f>
        <v>Fidèle</v>
      </c>
      <c r="Y548" t="str">
        <v>août</v>
      </c>
    </row>
    <row r="549" spans="1:25" x14ac:dyDescent="0.25">
      <c r="A549" s="2">
        <v>548</v>
      </c>
      <c r="B549" s="12" t="s">
        <v>260</v>
      </c>
      <c r="C549" s="13">
        <v>45144</v>
      </c>
      <c r="D549" s="12" t="s">
        <v>338</v>
      </c>
      <c r="E549" s="14" t="s">
        <v>362</v>
      </c>
      <c r="F549" s="12" t="s">
        <v>324</v>
      </c>
      <c r="G549" s="2">
        <v>2</v>
      </c>
      <c r="H549" s="3">
        <v>53</v>
      </c>
      <c r="I549" s="14" t="s">
        <v>342</v>
      </c>
      <c r="J549" s="12" t="s">
        <v>858</v>
      </c>
      <c r="K549" s="2">
        <v>0</v>
      </c>
      <c r="L549" s="12" t="s">
        <v>344</v>
      </c>
      <c r="M549">
        <f>YEAR(VentesMagasins!$C549)</f>
        <v>2023</v>
      </c>
      <c r="N549" t="e" cm="1" vm="1">
        <f t="array" aca="1" ref="N549" ca="1">MONTH(DateVente)</f>
        <v>#VALUE!</v>
      </c>
      <c r="O549" t="str">
        <f>PROPER(VentesMagasins!$F549)</f>
        <v>Électronique</v>
      </c>
      <c r="P549">
        <f>VALUE(CLEAN(TRIM(SUBSTITUTE(VentesMagasins!$I549,".",","))))</f>
        <v>0.05</v>
      </c>
      <c r="Q549">
        <f>VALUE(TRIM(SUBSTITUTE(VentesMagasins!$J549,".",",")))</f>
        <v>100.69999999999899</v>
      </c>
      <c r="R549">
        <f t="shared" si="24"/>
        <v>95.66499999999904</v>
      </c>
      <c r="S549">
        <f>IF(VentesMagasins!$K549=1,(-1)*R549,R549)</f>
        <v>95.66499999999904</v>
      </c>
      <c r="T549">
        <f>IFERROR(VALUE(TRIM(SUBSTITUTE(VentesMagasins!$L549,".",","))),0)</f>
        <v>2</v>
      </c>
      <c r="U549">
        <f t="shared" si="25"/>
        <v>2</v>
      </c>
      <c r="V549" t="str">
        <f t="shared" si="26"/>
        <v>faible</v>
      </c>
      <c r="W549" t="str">
        <f>_xlfn.XLOOKUP(VentesMagasins!$B549,Clients!ClientID,Région)</f>
        <v>Est</v>
      </c>
      <c r="X549" t="str">
        <f>INDEX(TypeClient,MATCH(VentesMagasins!$B549,Clients!ClientID))</f>
        <v>Fidèle</v>
      </c>
      <c r="Y549" t="str">
        <v>août</v>
      </c>
    </row>
    <row r="550" spans="1:25" x14ac:dyDescent="0.25">
      <c r="A550" s="2">
        <v>549</v>
      </c>
      <c r="B550" s="12" t="s">
        <v>189</v>
      </c>
      <c r="C550" s="13">
        <v>45420</v>
      </c>
      <c r="D550" s="12" t="s">
        <v>322</v>
      </c>
      <c r="E550" s="14" t="s">
        <v>348</v>
      </c>
      <c r="F550" s="12" t="s">
        <v>330</v>
      </c>
      <c r="G550" s="2">
        <v>4</v>
      </c>
      <c r="H550" s="3">
        <v>284</v>
      </c>
      <c r="I550" s="14" t="s">
        <v>355</v>
      </c>
      <c r="J550" s="12" t="s">
        <v>859</v>
      </c>
      <c r="K550" s="2">
        <v>0</v>
      </c>
      <c r="L550" s="12" t="s">
        <v>332</v>
      </c>
      <c r="M550">
        <f>YEAR(VentesMagasins!$C550)</f>
        <v>2024</v>
      </c>
      <c r="N550" t="e" cm="1" vm="1">
        <f t="array" aca="1" ref="N550" ca="1">MONTH(DateVente)</f>
        <v>#VALUE!</v>
      </c>
      <c r="O550" t="str">
        <f>PROPER(VentesMagasins!$F550)</f>
        <v>Décoration</v>
      </c>
      <c r="P550">
        <f>VALUE(CLEAN(TRIM(SUBSTITUTE(VentesMagasins!$I550,".",","))))</f>
        <v>0.1</v>
      </c>
      <c r="Q550">
        <f>VALUE(TRIM(SUBSTITUTE(VentesMagasins!$J550,".",",")))</f>
        <v>1022.4</v>
      </c>
      <c r="R550">
        <f t="shared" si="24"/>
        <v>920.16</v>
      </c>
      <c r="S550">
        <f>IF(VentesMagasins!$K550=1,(-1)*R550,R550)</f>
        <v>920.16</v>
      </c>
      <c r="T550">
        <f>IFERROR(VALUE(TRIM(SUBSTITUTE(VentesMagasins!$L550,".",","))),0)</f>
        <v>4</v>
      </c>
      <c r="U550">
        <f t="shared" si="25"/>
        <v>4</v>
      </c>
      <c r="V550" t="str">
        <f t="shared" si="26"/>
        <v>moyenne</v>
      </c>
      <c r="W550" t="str">
        <f>_xlfn.XLOOKUP(VentesMagasins!$B550,Clients!ClientID,Région)</f>
        <v>Centre</v>
      </c>
      <c r="X550" t="str">
        <f>INDEX(TypeClient,MATCH(VentesMagasins!$B550,Clients!ClientID))</f>
        <v>Fidèle</v>
      </c>
      <c r="Y550" t="str">
        <v>mai</v>
      </c>
    </row>
    <row r="551" spans="1:25" x14ac:dyDescent="0.25">
      <c r="A551" s="2">
        <v>550</v>
      </c>
      <c r="B551" s="12" t="s">
        <v>178</v>
      </c>
      <c r="C551" s="13">
        <v>45047</v>
      </c>
      <c r="D551" s="12" t="s">
        <v>333</v>
      </c>
      <c r="E551" s="14" t="s">
        <v>339</v>
      </c>
      <c r="F551" s="12" t="s">
        <v>324</v>
      </c>
      <c r="G551" s="2">
        <v>4</v>
      </c>
      <c r="H551" s="3">
        <v>479</v>
      </c>
      <c r="I551" s="14" t="s">
        <v>335</v>
      </c>
      <c r="J551" s="12" t="s">
        <v>860</v>
      </c>
      <c r="K551" s="2">
        <v>1</v>
      </c>
      <c r="L551" s="12" t="s">
        <v>332</v>
      </c>
      <c r="M551">
        <f>YEAR(VentesMagasins!$C551)</f>
        <v>2023</v>
      </c>
      <c r="N551" t="e" cm="1" vm="1">
        <f t="array" aca="1" ref="N551" ca="1">MONTH(DateVente)</f>
        <v>#VALUE!</v>
      </c>
      <c r="O551" t="str">
        <f>PROPER(VentesMagasins!$F551)</f>
        <v>Électronique</v>
      </c>
      <c r="P551">
        <f>VALUE(CLEAN(TRIM(SUBSTITUTE(VentesMagasins!$I551,".",","))))</f>
        <v>0</v>
      </c>
      <c r="Q551">
        <f>VALUE(TRIM(SUBSTITUTE(VentesMagasins!$J551,".",",")))</f>
        <v>1916</v>
      </c>
      <c r="R551">
        <f t="shared" si="24"/>
        <v>1916</v>
      </c>
      <c r="S551">
        <f>IF(VentesMagasins!$K551=1,(-1)*R551,R551)</f>
        <v>-1916</v>
      </c>
      <c r="T551">
        <f>IFERROR(VALUE(TRIM(SUBSTITUTE(VentesMagasins!$L551,".",","))),0)</f>
        <v>4</v>
      </c>
      <c r="U551">
        <f t="shared" si="25"/>
        <v>4</v>
      </c>
      <c r="V551" t="str">
        <f t="shared" si="26"/>
        <v>moyenne</v>
      </c>
      <c r="W551" t="str">
        <f>_xlfn.XLOOKUP(VentesMagasins!$B551,Clients!ClientID,Région)</f>
        <v>Ouest</v>
      </c>
      <c r="X551" t="str">
        <f>INDEX(TypeClient,MATCH(VentesMagasins!$B551,Clients!ClientID))</f>
        <v>Occasionnel</v>
      </c>
      <c r="Y551" t="str">
        <v>mai</v>
      </c>
    </row>
    <row r="552" spans="1:25" x14ac:dyDescent="0.25">
      <c r="A552" s="2">
        <v>551</v>
      </c>
      <c r="B552" s="12" t="s">
        <v>180</v>
      </c>
      <c r="C552" s="13">
        <v>45338</v>
      </c>
      <c r="D552" s="12" t="s">
        <v>333</v>
      </c>
      <c r="E552" s="14" t="s">
        <v>329</v>
      </c>
      <c r="F552" s="12" t="s">
        <v>330</v>
      </c>
      <c r="G552" s="2">
        <v>2</v>
      </c>
      <c r="H552" s="3">
        <v>116</v>
      </c>
      <c r="I552" s="14" t="s">
        <v>355</v>
      </c>
      <c r="J552" s="12" t="s">
        <v>861</v>
      </c>
      <c r="K552" s="2">
        <v>0</v>
      </c>
      <c r="L552" s="12" t="s">
        <v>332</v>
      </c>
      <c r="M552">
        <f>YEAR(VentesMagasins!$C552)</f>
        <v>2024</v>
      </c>
      <c r="N552" t="e" cm="1" vm="1">
        <f t="array" aca="1" ref="N552" ca="1">MONTH(DateVente)</f>
        <v>#VALUE!</v>
      </c>
      <c r="O552" t="str">
        <f>PROPER(VentesMagasins!$F552)</f>
        <v>Décoration</v>
      </c>
      <c r="P552">
        <f>VALUE(CLEAN(TRIM(SUBSTITUTE(VentesMagasins!$I552,".",","))))</f>
        <v>0.1</v>
      </c>
      <c r="Q552">
        <f>VALUE(TRIM(SUBSTITUTE(VentesMagasins!$J552,".",",")))</f>
        <v>208.8</v>
      </c>
      <c r="R552">
        <f t="shared" si="24"/>
        <v>187.92000000000002</v>
      </c>
      <c r="S552">
        <f>IF(VentesMagasins!$K552=1,(-1)*R552,R552)</f>
        <v>187.92000000000002</v>
      </c>
      <c r="T552">
        <f>IFERROR(VALUE(TRIM(SUBSTITUTE(VentesMagasins!$L552,".",","))),0)</f>
        <v>4</v>
      </c>
      <c r="U552">
        <f t="shared" si="25"/>
        <v>4</v>
      </c>
      <c r="V552" t="str">
        <f t="shared" si="26"/>
        <v>moyenne</v>
      </c>
      <c r="W552" t="str">
        <f>_xlfn.XLOOKUP(VentesMagasins!$B552,Clients!ClientID,Région)</f>
        <v>Centre</v>
      </c>
      <c r="X552" t="str">
        <f>INDEX(TypeClient,MATCH(VentesMagasins!$B552,Clients!ClientID))</f>
        <v>Nouveau</v>
      </c>
      <c r="Y552" t="str">
        <v>févr</v>
      </c>
    </row>
    <row r="553" spans="1:25" x14ac:dyDescent="0.25">
      <c r="A553" s="2">
        <v>552</v>
      </c>
      <c r="B553" s="12" t="s">
        <v>148</v>
      </c>
      <c r="C553" s="13">
        <v>45727</v>
      </c>
      <c r="D553" s="12" t="s">
        <v>328</v>
      </c>
      <c r="E553" s="14" t="s">
        <v>339</v>
      </c>
      <c r="F553" s="12" t="s">
        <v>324</v>
      </c>
      <c r="G553" s="2">
        <v>4</v>
      </c>
      <c r="H553" s="3">
        <v>67</v>
      </c>
      <c r="I553" s="14" t="s">
        <v>335</v>
      </c>
      <c r="J553" s="12" t="s">
        <v>779</v>
      </c>
      <c r="K553" s="2">
        <v>0</v>
      </c>
      <c r="L553" s="12" t="s">
        <v>344</v>
      </c>
      <c r="M553">
        <f>YEAR(VentesMagasins!$C553)</f>
        <v>2025</v>
      </c>
      <c r="N553" t="e" cm="1" vm="1">
        <f t="array" aca="1" ref="N553" ca="1">MONTH(DateVente)</f>
        <v>#VALUE!</v>
      </c>
      <c r="O553" t="str">
        <f>PROPER(VentesMagasins!$F553)</f>
        <v>Électronique</v>
      </c>
      <c r="P553">
        <f>VALUE(CLEAN(TRIM(SUBSTITUTE(VentesMagasins!$I553,".",","))))</f>
        <v>0</v>
      </c>
      <c r="Q553">
        <f>VALUE(TRIM(SUBSTITUTE(VentesMagasins!$J553,".",",")))</f>
        <v>268</v>
      </c>
      <c r="R553">
        <f t="shared" si="24"/>
        <v>268</v>
      </c>
      <c r="S553">
        <f>IF(VentesMagasins!$K553=1,(-1)*R553,R553)</f>
        <v>268</v>
      </c>
      <c r="T553">
        <f>IFERROR(VALUE(TRIM(SUBSTITUTE(VentesMagasins!$L553,".",","))),0)</f>
        <v>2</v>
      </c>
      <c r="U553">
        <f t="shared" si="25"/>
        <v>2</v>
      </c>
      <c r="V553" t="str">
        <f t="shared" si="26"/>
        <v>faible</v>
      </c>
      <c r="W553" t="str">
        <f>_xlfn.XLOOKUP(VentesMagasins!$B553,Clients!ClientID,Région)</f>
        <v>Sud</v>
      </c>
      <c r="X553" t="str">
        <f>INDEX(TypeClient,MATCH(VentesMagasins!$B553,Clients!ClientID))</f>
        <v>Nouveau</v>
      </c>
      <c r="Y553" t="str">
        <v>mars</v>
      </c>
    </row>
    <row r="554" spans="1:25" x14ac:dyDescent="0.25">
      <c r="A554" s="2">
        <v>553</v>
      </c>
      <c r="B554" s="12" t="s">
        <v>186</v>
      </c>
      <c r="C554" s="13">
        <v>45175</v>
      </c>
      <c r="D554" s="12" t="s">
        <v>338</v>
      </c>
      <c r="E554" s="14" t="s">
        <v>339</v>
      </c>
      <c r="F554" s="12" t="s">
        <v>341</v>
      </c>
      <c r="G554" s="2">
        <v>3</v>
      </c>
      <c r="H554" s="3">
        <v>211</v>
      </c>
      <c r="I554" s="14" t="s">
        <v>325</v>
      </c>
      <c r="J554" s="12" t="s">
        <v>862</v>
      </c>
      <c r="K554" s="2">
        <v>1</v>
      </c>
      <c r="L554" s="12" t="s">
        <v>327</v>
      </c>
      <c r="M554">
        <f>YEAR(VentesMagasins!$C554)</f>
        <v>2023</v>
      </c>
      <c r="N554" t="e" cm="1" vm="1">
        <f t="array" aca="1" ref="N554" ca="1">MONTH(DateVente)</f>
        <v>#VALUE!</v>
      </c>
      <c r="O554" t="str">
        <f>PROPER(VentesMagasins!$F554)</f>
        <v>Meuble</v>
      </c>
      <c r="P554">
        <f>VALUE(CLEAN(TRIM(SUBSTITUTE(VentesMagasins!$I554,".",","))))</f>
        <v>0.15</v>
      </c>
      <c r="Q554">
        <f>VALUE(TRIM(SUBSTITUTE(VentesMagasins!$J554,".",",")))</f>
        <v>538.04999999999995</v>
      </c>
      <c r="R554">
        <f t="shared" si="24"/>
        <v>457.34249999999997</v>
      </c>
      <c r="S554">
        <f>IF(VentesMagasins!$K554=1,(-1)*R554,R554)</f>
        <v>-457.34249999999997</v>
      </c>
      <c r="T554">
        <f>IFERROR(VALUE(TRIM(SUBSTITUTE(VentesMagasins!$L554,".",","))),0)</f>
        <v>5</v>
      </c>
      <c r="U554">
        <f t="shared" si="25"/>
        <v>5</v>
      </c>
      <c r="V554" t="str">
        <f t="shared" si="26"/>
        <v>élévé</v>
      </c>
      <c r="W554" t="str">
        <f>_xlfn.XLOOKUP(VentesMagasins!$B554,Clients!ClientID,Région)</f>
        <v>Nord</v>
      </c>
      <c r="X554" t="str">
        <f>INDEX(TypeClient,MATCH(VentesMagasins!$B554,Clients!ClientID))</f>
        <v>Occasionnel</v>
      </c>
      <c r="Y554" t="str">
        <v>sept</v>
      </c>
    </row>
    <row r="555" spans="1:25" x14ac:dyDescent="0.25">
      <c r="A555" s="2">
        <v>554</v>
      </c>
      <c r="B555" s="12" t="s">
        <v>109</v>
      </c>
      <c r="C555" s="13">
        <v>45936</v>
      </c>
      <c r="D555" s="12" t="s">
        <v>328</v>
      </c>
      <c r="E555" s="14" t="s">
        <v>362</v>
      </c>
      <c r="F555" s="12" t="s">
        <v>341</v>
      </c>
      <c r="G555" s="2">
        <v>4</v>
      </c>
      <c r="H555" s="3">
        <v>102</v>
      </c>
      <c r="I555" s="14" t="s">
        <v>325</v>
      </c>
      <c r="J555" s="12" t="s">
        <v>863</v>
      </c>
      <c r="K555" s="2">
        <v>1</v>
      </c>
      <c r="L555" s="12" t="s">
        <v>332</v>
      </c>
      <c r="M555">
        <f>YEAR(VentesMagasins!$C555)</f>
        <v>2025</v>
      </c>
      <c r="N555" t="e" cm="1" vm="1">
        <f t="array" aca="1" ref="N555" ca="1">MONTH(DateVente)</f>
        <v>#VALUE!</v>
      </c>
      <c r="O555" t="str">
        <f>PROPER(VentesMagasins!$F555)</f>
        <v>Meuble</v>
      </c>
      <c r="P555">
        <f>VALUE(CLEAN(TRIM(SUBSTITUTE(VentesMagasins!$I555,".",","))))</f>
        <v>0.15</v>
      </c>
      <c r="Q555">
        <f>VALUE(TRIM(SUBSTITUTE(VentesMagasins!$J555,".",",")))</f>
        <v>346.8</v>
      </c>
      <c r="R555">
        <f t="shared" si="24"/>
        <v>294.78000000000003</v>
      </c>
      <c r="S555">
        <f>IF(VentesMagasins!$K555=1,(-1)*R555,R555)</f>
        <v>-294.78000000000003</v>
      </c>
      <c r="T555">
        <f>IFERROR(VALUE(TRIM(SUBSTITUTE(VentesMagasins!$L555,".",","))),0)</f>
        <v>4</v>
      </c>
      <c r="U555">
        <f t="shared" si="25"/>
        <v>4</v>
      </c>
      <c r="V555" t="str">
        <f t="shared" si="26"/>
        <v>moyenne</v>
      </c>
      <c r="W555" t="str">
        <f>_xlfn.XLOOKUP(VentesMagasins!$B555,Clients!ClientID,Région)</f>
        <v>Nord</v>
      </c>
      <c r="X555" t="str">
        <f>INDEX(TypeClient,MATCH(VentesMagasins!$B555,Clients!ClientID))</f>
        <v>Occasionnel</v>
      </c>
      <c r="Y555" t="str">
        <v>oct</v>
      </c>
    </row>
    <row r="556" spans="1:25" x14ac:dyDescent="0.25">
      <c r="A556" s="2">
        <v>555</v>
      </c>
      <c r="B556" s="12" t="s">
        <v>250</v>
      </c>
      <c r="C556" s="13">
        <v>45562</v>
      </c>
      <c r="D556" s="12" t="s">
        <v>328</v>
      </c>
      <c r="E556" s="14" t="s">
        <v>345</v>
      </c>
      <c r="F556" s="12" t="s">
        <v>324</v>
      </c>
      <c r="G556" s="2">
        <v>5</v>
      </c>
      <c r="H556" s="3">
        <v>491</v>
      </c>
      <c r="I556" s="14" t="s">
        <v>355</v>
      </c>
      <c r="J556" s="12" t="s">
        <v>864</v>
      </c>
      <c r="K556" s="2">
        <v>1</v>
      </c>
      <c r="L556" s="12" t="s">
        <v>332</v>
      </c>
      <c r="M556">
        <f>YEAR(VentesMagasins!$C556)</f>
        <v>2024</v>
      </c>
      <c r="N556" t="e" cm="1" vm="1">
        <f t="array" aca="1" ref="N556" ca="1">MONTH(DateVente)</f>
        <v>#VALUE!</v>
      </c>
      <c r="O556" t="str">
        <f>PROPER(VentesMagasins!$F556)</f>
        <v>Électronique</v>
      </c>
      <c r="P556">
        <f>VALUE(CLEAN(TRIM(SUBSTITUTE(VentesMagasins!$I556,".",","))))</f>
        <v>0.1</v>
      </c>
      <c r="Q556">
        <f>VALUE(TRIM(SUBSTITUTE(VentesMagasins!$J556,".",",")))</f>
        <v>2209.5</v>
      </c>
      <c r="R556">
        <f t="shared" si="24"/>
        <v>1988.55</v>
      </c>
      <c r="S556">
        <f>IF(VentesMagasins!$K556=1,(-1)*R556,R556)</f>
        <v>-1988.55</v>
      </c>
      <c r="T556">
        <f>IFERROR(VALUE(TRIM(SUBSTITUTE(VentesMagasins!$L556,".",","))),0)</f>
        <v>4</v>
      </c>
      <c r="U556">
        <f t="shared" si="25"/>
        <v>4</v>
      </c>
      <c r="V556" t="str">
        <f t="shared" si="26"/>
        <v>moyenne</v>
      </c>
      <c r="W556" t="str">
        <f>_xlfn.XLOOKUP(VentesMagasins!$B556,Clients!ClientID,Région)</f>
        <v>Centre</v>
      </c>
      <c r="X556" t="str">
        <f>INDEX(TypeClient,MATCH(VentesMagasins!$B556,Clients!ClientID))</f>
        <v>Fidèle</v>
      </c>
      <c r="Y556" t="str">
        <v>sept</v>
      </c>
    </row>
    <row r="557" spans="1:25" x14ac:dyDescent="0.25">
      <c r="A557" s="2">
        <v>556</v>
      </c>
      <c r="B557" s="12" t="s">
        <v>72</v>
      </c>
      <c r="C557" s="13">
        <v>45609</v>
      </c>
      <c r="D557" s="12" t="s">
        <v>333</v>
      </c>
      <c r="E557" s="14" t="s">
        <v>345</v>
      </c>
      <c r="F557" s="12" t="s">
        <v>330</v>
      </c>
      <c r="G557" s="2">
        <v>2</v>
      </c>
      <c r="H557" s="3">
        <v>59</v>
      </c>
      <c r="I557" s="14" t="s">
        <v>325</v>
      </c>
      <c r="J557" s="12" t="s">
        <v>656</v>
      </c>
      <c r="K557" s="2">
        <v>1</v>
      </c>
      <c r="L557" s="12" t="s">
        <v>369</v>
      </c>
      <c r="M557">
        <f>YEAR(VentesMagasins!$C557)</f>
        <v>2024</v>
      </c>
      <c r="N557" t="e" cm="1" vm="1">
        <f t="array" aca="1" ref="N557" ca="1">MONTH(DateVente)</f>
        <v>#VALUE!</v>
      </c>
      <c r="O557" t="str">
        <f>PROPER(VentesMagasins!$F557)</f>
        <v>Décoration</v>
      </c>
      <c r="P557">
        <f>VALUE(CLEAN(TRIM(SUBSTITUTE(VentesMagasins!$I557,".",","))))</f>
        <v>0.15</v>
      </c>
      <c r="Q557">
        <f>VALUE(TRIM(SUBSTITUTE(VentesMagasins!$J557,".",",")))</f>
        <v>100.3</v>
      </c>
      <c r="R557">
        <f t="shared" si="24"/>
        <v>85.254999999999995</v>
      </c>
      <c r="S557">
        <f>IF(VentesMagasins!$K557=1,(-1)*R557,R557)</f>
        <v>-85.254999999999995</v>
      </c>
      <c r="T557">
        <f>IFERROR(VALUE(TRIM(SUBSTITUTE(VentesMagasins!$L557,".",","))),0)</f>
        <v>1</v>
      </c>
      <c r="U557">
        <f t="shared" si="25"/>
        <v>1</v>
      </c>
      <c r="V557" t="str">
        <f t="shared" si="26"/>
        <v>faible</v>
      </c>
      <c r="W557" t="str">
        <f>_xlfn.XLOOKUP(VentesMagasins!$B557,Clients!ClientID,Région)</f>
        <v>Est</v>
      </c>
      <c r="X557" t="str">
        <f>INDEX(TypeClient,MATCH(VentesMagasins!$B557,Clients!ClientID))</f>
        <v>Fidèle</v>
      </c>
      <c r="Y557" t="str">
        <v>nov</v>
      </c>
    </row>
    <row r="558" spans="1:25" x14ac:dyDescent="0.25">
      <c r="A558" s="2">
        <v>557</v>
      </c>
      <c r="B558" s="12" t="s">
        <v>56</v>
      </c>
      <c r="C558" s="13">
        <v>45801</v>
      </c>
      <c r="D558" s="12" t="s">
        <v>328</v>
      </c>
      <c r="E558" s="14" t="s">
        <v>329</v>
      </c>
      <c r="F558" s="12" t="s">
        <v>330</v>
      </c>
      <c r="G558" s="2">
        <v>5</v>
      </c>
      <c r="H558" s="3">
        <v>221</v>
      </c>
      <c r="I558" s="14" t="s">
        <v>355</v>
      </c>
      <c r="J558" s="12" t="s">
        <v>756</v>
      </c>
      <c r="K558" s="2">
        <v>0</v>
      </c>
      <c r="L558" s="12" t="s">
        <v>344</v>
      </c>
      <c r="M558">
        <f>YEAR(VentesMagasins!$C558)</f>
        <v>2025</v>
      </c>
      <c r="N558" t="e" cm="1" vm="1">
        <f t="array" aca="1" ref="N558" ca="1">MONTH(DateVente)</f>
        <v>#VALUE!</v>
      </c>
      <c r="O558" t="str">
        <f>PROPER(VentesMagasins!$F558)</f>
        <v>Décoration</v>
      </c>
      <c r="P558">
        <f>VALUE(CLEAN(TRIM(SUBSTITUTE(VentesMagasins!$I558,".",","))))</f>
        <v>0.1</v>
      </c>
      <c r="Q558">
        <f>VALUE(TRIM(SUBSTITUTE(VentesMagasins!$J558,".",",")))</f>
        <v>994.5</v>
      </c>
      <c r="R558">
        <f t="shared" si="24"/>
        <v>895.05000000000007</v>
      </c>
      <c r="S558">
        <f>IF(VentesMagasins!$K558=1,(-1)*R558,R558)</f>
        <v>895.05000000000007</v>
      </c>
      <c r="T558">
        <f>IFERROR(VALUE(TRIM(SUBSTITUTE(VentesMagasins!$L558,".",","))),0)</f>
        <v>2</v>
      </c>
      <c r="U558">
        <f t="shared" si="25"/>
        <v>2</v>
      </c>
      <c r="V558" t="str">
        <f t="shared" si="26"/>
        <v>faible</v>
      </c>
      <c r="W558" t="str">
        <f>_xlfn.XLOOKUP(VentesMagasins!$B558,Clients!ClientID,Région)</f>
        <v>Ouest</v>
      </c>
      <c r="X558" t="str">
        <f>INDEX(TypeClient,MATCH(VentesMagasins!$B558,Clients!ClientID))</f>
        <v>Fidèle</v>
      </c>
      <c r="Y558" t="str">
        <v>mai</v>
      </c>
    </row>
    <row r="559" spans="1:25" x14ac:dyDescent="0.25">
      <c r="A559" s="2">
        <v>558</v>
      </c>
      <c r="B559" s="12" t="s">
        <v>3</v>
      </c>
      <c r="C559" s="13">
        <v>45124</v>
      </c>
      <c r="D559" s="12" t="s">
        <v>328</v>
      </c>
      <c r="E559" s="14" t="s">
        <v>334</v>
      </c>
      <c r="F559" s="12" t="s">
        <v>341</v>
      </c>
      <c r="G559" s="2">
        <v>2</v>
      </c>
      <c r="H559" s="3">
        <v>97</v>
      </c>
      <c r="I559" s="14" t="s">
        <v>342</v>
      </c>
      <c r="J559" s="12" t="s">
        <v>865</v>
      </c>
      <c r="K559" s="2">
        <v>0</v>
      </c>
      <c r="L559" s="12" t="s">
        <v>337</v>
      </c>
      <c r="M559">
        <f>YEAR(VentesMagasins!$C559)</f>
        <v>2023</v>
      </c>
      <c r="N559" t="e" cm="1" vm="1">
        <f t="array" aca="1" ref="N559" ca="1">MONTH(DateVente)</f>
        <v>#VALUE!</v>
      </c>
      <c r="O559" t="str">
        <f>PROPER(VentesMagasins!$F559)</f>
        <v>Meuble</v>
      </c>
      <c r="P559">
        <f>VALUE(CLEAN(TRIM(SUBSTITUTE(VentesMagasins!$I559,".",","))))</f>
        <v>0.05</v>
      </c>
      <c r="Q559">
        <f>VALUE(TRIM(SUBSTITUTE(VentesMagasins!$J559,".",",")))</f>
        <v>184.29999999999899</v>
      </c>
      <c r="R559">
        <f t="shared" si="24"/>
        <v>175.08499999999904</v>
      </c>
      <c r="S559">
        <f>IF(VentesMagasins!$K559=1,(-1)*R559,R559)</f>
        <v>175.08499999999904</v>
      </c>
      <c r="T559">
        <f>IFERROR(VALUE(TRIM(SUBSTITUTE(VentesMagasins!$L559,".",","))),0)</f>
        <v>3</v>
      </c>
      <c r="U559">
        <f t="shared" si="25"/>
        <v>3</v>
      </c>
      <c r="V559" t="str">
        <f t="shared" si="26"/>
        <v>moyenne</v>
      </c>
      <c r="W559" t="str">
        <f>_xlfn.XLOOKUP(VentesMagasins!$B559,Clients!ClientID,Région)</f>
        <v>Centre</v>
      </c>
      <c r="X559" t="str">
        <f>INDEX(TypeClient,MATCH(VentesMagasins!$B559,Clients!ClientID))</f>
        <v>Occasionnel</v>
      </c>
      <c r="Y559" t="str">
        <v>juil</v>
      </c>
    </row>
    <row r="560" spans="1:25" x14ac:dyDescent="0.25">
      <c r="A560" s="2">
        <v>559</v>
      </c>
      <c r="B560" s="12" t="s">
        <v>27</v>
      </c>
      <c r="C560" s="13">
        <v>45838</v>
      </c>
      <c r="D560" s="12" t="s">
        <v>322</v>
      </c>
      <c r="E560" s="14" t="s">
        <v>329</v>
      </c>
      <c r="F560" s="12" t="s">
        <v>341</v>
      </c>
      <c r="G560" s="2">
        <v>3</v>
      </c>
      <c r="H560" s="3">
        <v>340</v>
      </c>
      <c r="I560" s="14" t="s">
        <v>355</v>
      </c>
      <c r="J560" s="12" t="s">
        <v>866</v>
      </c>
      <c r="K560" s="2">
        <v>0</v>
      </c>
      <c r="L560" s="12" t="s">
        <v>352</v>
      </c>
      <c r="M560">
        <f>YEAR(VentesMagasins!$C560)</f>
        <v>2025</v>
      </c>
      <c r="N560" t="e" cm="1" vm="1">
        <f t="array" aca="1" ref="N560" ca="1">MONTH(DateVente)</f>
        <v>#VALUE!</v>
      </c>
      <c r="O560" t="str">
        <f>PROPER(VentesMagasins!$F560)</f>
        <v>Meuble</v>
      </c>
      <c r="P560">
        <f>VALUE(CLEAN(TRIM(SUBSTITUTE(VentesMagasins!$I560,".",","))))</f>
        <v>0.1</v>
      </c>
      <c r="Q560">
        <f>VALUE(TRIM(SUBSTITUTE(VentesMagasins!$J560,".",",")))</f>
        <v>918</v>
      </c>
      <c r="R560">
        <f t="shared" si="24"/>
        <v>826.2</v>
      </c>
      <c r="S560">
        <f>IF(VentesMagasins!$K560=1,(-1)*R560,R560)</f>
        <v>826.2</v>
      </c>
      <c r="T560">
        <f>IFERROR(VALUE(TRIM(SUBSTITUTE(VentesMagasins!$L560,".",","))),0)</f>
        <v>0</v>
      </c>
      <c r="U560">
        <f t="shared" si="25"/>
        <v>2</v>
      </c>
      <c r="V560" t="str">
        <f t="shared" si="26"/>
        <v>faible</v>
      </c>
      <c r="W560" t="str">
        <f>_xlfn.XLOOKUP(VentesMagasins!$B560,Clients!ClientID,Région)</f>
        <v>Sud</v>
      </c>
      <c r="X560" t="str">
        <f>INDEX(TypeClient,MATCH(VentesMagasins!$B560,Clients!ClientID))</f>
        <v>Occasionnel</v>
      </c>
      <c r="Y560" t="str">
        <v>juin</v>
      </c>
    </row>
    <row r="561" spans="1:25" x14ac:dyDescent="0.25">
      <c r="A561" s="2">
        <v>560</v>
      </c>
      <c r="B561" s="12" t="s">
        <v>66</v>
      </c>
      <c r="C561" s="13">
        <v>45854</v>
      </c>
      <c r="D561" s="12" t="s">
        <v>328</v>
      </c>
      <c r="E561" s="14" t="s">
        <v>329</v>
      </c>
      <c r="F561" s="12" t="s">
        <v>341</v>
      </c>
      <c r="G561" s="2">
        <v>4</v>
      </c>
      <c r="H561" s="3">
        <v>282</v>
      </c>
      <c r="I561" s="14" t="s">
        <v>335</v>
      </c>
      <c r="J561" s="12" t="s">
        <v>867</v>
      </c>
      <c r="K561" s="2">
        <v>0</v>
      </c>
      <c r="L561" s="12" t="s">
        <v>344</v>
      </c>
      <c r="M561">
        <f>YEAR(VentesMagasins!$C561)</f>
        <v>2025</v>
      </c>
      <c r="N561" t="e" cm="1" vm="1">
        <f t="array" aca="1" ref="N561" ca="1">MONTH(DateVente)</f>
        <v>#VALUE!</v>
      </c>
      <c r="O561" t="str">
        <f>PROPER(VentesMagasins!$F561)</f>
        <v>Meuble</v>
      </c>
      <c r="P561">
        <f>VALUE(CLEAN(TRIM(SUBSTITUTE(VentesMagasins!$I561,".",","))))</f>
        <v>0</v>
      </c>
      <c r="Q561">
        <f>VALUE(TRIM(SUBSTITUTE(VentesMagasins!$J561,".",",")))</f>
        <v>1128</v>
      </c>
      <c r="R561">
        <f t="shared" si="24"/>
        <v>1128</v>
      </c>
      <c r="S561">
        <f>IF(VentesMagasins!$K561=1,(-1)*R561,R561)</f>
        <v>1128</v>
      </c>
      <c r="T561">
        <f>IFERROR(VALUE(TRIM(SUBSTITUTE(VentesMagasins!$L561,".",","))),0)</f>
        <v>2</v>
      </c>
      <c r="U561">
        <f t="shared" si="25"/>
        <v>2</v>
      </c>
      <c r="V561" t="str">
        <f t="shared" si="26"/>
        <v>faible</v>
      </c>
      <c r="W561" t="str">
        <f>_xlfn.XLOOKUP(VentesMagasins!$B561,Clients!ClientID,Région)</f>
        <v>Centre</v>
      </c>
      <c r="X561" t="str">
        <f>INDEX(TypeClient,MATCH(VentesMagasins!$B561,Clients!ClientID))</f>
        <v>Fidèle</v>
      </c>
      <c r="Y561" t="str">
        <v>juil</v>
      </c>
    </row>
    <row r="562" spans="1:25" x14ac:dyDescent="0.25">
      <c r="A562" s="2">
        <v>561</v>
      </c>
      <c r="B562" s="12" t="s">
        <v>150</v>
      </c>
      <c r="C562" s="13">
        <v>45249</v>
      </c>
      <c r="D562" s="12" t="s">
        <v>333</v>
      </c>
      <c r="E562" s="14" t="s">
        <v>334</v>
      </c>
      <c r="F562" s="12" t="s">
        <v>341</v>
      </c>
      <c r="G562" s="2">
        <v>1</v>
      </c>
      <c r="H562" s="3">
        <v>41</v>
      </c>
      <c r="I562" s="14" t="s">
        <v>335</v>
      </c>
      <c r="J562" s="12" t="s">
        <v>868</v>
      </c>
      <c r="K562" s="2">
        <v>0</v>
      </c>
      <c r="L562" s="12" t="s">
        <v>352</v>
      </c>
      <c r="M562">
        <f>YEAR(VentesMagasins!$C562)</f>
        <v>2023</v>
      </c>
      <c r="N562" t="e" cm="1" vm="1">
        <f t="array" aca="1" ref="N562" ca="1">MONTH(DateVente)</f>
        <v>#VALUE!</v>
      </c>
      <c r="O562" t="str">
        <f>PROPER(VentesMagasins!$F562)</f>
        <v>Meuble</v>
      </c>
      <c r="P562">
        <f>VALUE(CLEAN(TRIM(SUBSTITUTE(VentesMagasins!$I562,".",","))))</f>
        <v>0</v>
      </c>
      <c r="Q562">
        <f>VALUE(TRIM(SUBSTITUTE(VentesMagasins!$J562,".",",")))</f>
        <v>41</v>
      </c>
      <c r="R562">
        <f t="shared" si="24"/>
        <v>41</v>
      </c>
      <c r="S562">
        <f>IF(VentesMagasins!$K562=1,(-1)*R562,R562)</f>
        <v>41</v>
      </c>
      <c r="T562">
        <f>IFERROR(VALUE(TRIM(SUBSTITUTE(VentesMagasins!$L562,".",","))),0)</f>
        <v>0</v>
      </c>
      <c r="U562">
        <f t="shared" si="25"/>
        <v>2</v>
      </c>
      <c r="V562" t="str">
        <f t="shared" si="26"/>
        <v>faible</v>
      </c>
      <c r="W562" t="str">
        <f>_xlfn.XLOOKUP(VentesMagasins!$B562,Clients!ClientID,Région)</f>
        <v>Sud</v>
      </c>
      <c r="X562" t="str">
        <f>INDEX(TypeClient,MATCH(VentesMagasins!$B562,Clients!ClientID))</f>
        <v>Fidèle</v>
      </c>
      <c r="Y562" t="str">
        <v>nov</v>
      </c>
    </row>
    <row r="563" spans="1:25" x14ac:dyDescent="0.25">
      <c r="A563" s="2">
        <v>562</v>
      </c>
      <c r="B563" s="12" t="s">
        <v>90</v>
      </c>
      <c r="C563" s="13">
        <v>44991</v>
      </c>
      <c r="D563" s="12" t="s">
        <v>328</v>
      </c>
      <c r="E563" s="14" t="s">
        <v>334</v>
      </c>
      <c r="F563" s="12" t="s">
        <v>341</v>
      </c>
      <c r="G563" s="2">
        <v>5</v>
      </c>
      <c r="H563" s="3">
        <v>129</v>
      </c>
      <c r="I563" s="14" t="s">
        <v>325</v>
      </c>
      <c r="J563" s="12" t="s">
        <v>869</v>
      </c>
      <c r="K563" s="2">
        <v>1</v>
      </c>
      <c r="L563" s="12" t="s">
        <v>344</v>
      </c>
      <c r="M563">
        <f>YEAR(VentesMagasins!$C563)</f>
        <v>2023</v>
      </c>
      <c r="N563" t="e" cm="1" vm="1">
        <f t="array" aca="1" ref="N563" ca="1">MONTH(DateVente)</f>
        <v>#VALUE!</v>
      </c>
      <c r="O563" t="str">
        <f>PROPER(VentesMagasins!$F563)</f>
        <v>Meuble</v>
      </c>
      <c r="P563">
        <f>VALUE(CLEAN(TRIM(SUBSTITUTE(VentesMagasins!$I563,".",","))))</f>
        <v>0.15</v>
      </c>
      <c r="Q563">
        <f>VALUE(TRIM(SUBSTITUTE(VentesMagasins!$J563,".",",")))</f>
        <v>548.25</v>
      </c>
      <c r="R563">
        <f t="shared" si="24"/>
        <v>466.01249999999999</v>
      </c>
      <c r="S563">
        <f>IF(VentesMagasins!$K563=1,(-1)*R563,R563)</f>
        <v>-466.01249999999999</v>
      </c>
      <c r="T563">
        <f>IFERROR(VALUE(TRIM(SUBSTITUTE(VentesMagasins!$L563,".",","))),0)</f>
        <v>2</v>
      </c>
      <c r="U563">
        <f t="shared" si="25"/>
        <v>2</v>
      </c>
      <c r="V563" t="str">
        <f t="shared" si="26"/>
        <v>faible</v>
      </c>
      <c r="W563" t="str">
        <f>_xlfn.XLOOKUP(VentesMagasins!$B563,Clients!ClientID,Région)</f>
        <v>Est</v>
      </c>
      <c r="X563" t="str">
        <f>INDEX(TypeClient,MATCH(VentesMagasins!$B563,Clients!ClientID))</f>
        <v>Fidèle</v>
      </c>
      <c r="Y563" t="str">
        <v>mars</v>
      </c>
    </row>
    <row r="564" spans="1:25" x14ac:dyDescent="0.25">
      <c r="A564" s="2">
        <v>563</v>
      </c>
      <c r="B564" s="12" t="s">
        <v>136</v>
      </c>
      <c r="C564" s="13">
        <v>45667</v>
      </c>
      <c r="D564" s="12" t="s">
        <v>333</v>
      </c>
      <c r="E564" s="14" t="s">
        <v>339</v>
      </c>
      <c r="F564" s="12" t="s">
        <v>324</v>
      </c>
      <c r="G564" s="2">
        <v>5</v>
      </c>
      <c r="H564" s="3">
        <v>112</v>
      </c>
      <c r="I564" s="14" t="s">
        <v>325</v>
      </c>
      <c r="J564" s="12" t="s">
        <v>870</v>
      </c>
      <c r="K564" s="2">
        <v>0</v>
      </c>
      <c r="L564" s="12" t="s">
        <v>369</v>
      </c>
      <c r="M564">
        <f>YEAR(VentesMagasins!$C564)</f>
        <v>2025</v>
      </c>
      <c r="N564" t="e" cm="1" vm="1">
        <f t="array" aca="1" ref="N564" ca="1">MONTH(DateVente)</f>
        <v>#VALUE!</v>
      </c>
      <c r="O564" t="str">
        <f>PROPER(VentesMagasins!$F564)</f>
        <v>Électronique</v>
      </c>
      <c r="P564">
        <f>VALUE(CLEAN(TRIM(SUBSTITUTE(VentesMagasins!$I564,".",","))))</f>
        <v>0.15</v>
      </c>
      <c r="Q564">
        <f>VALUE(TRIM(SUBSTITUTE(VentesMagasins!$J564,".",",")))</f>
        <v>476</v>
      </c>
      <c r="R564">
        <f t="shared" si="24"/>
        <v>404.59999999999997</v>
      </c>
      <c r="S564">
        <f>IF(VentesMagasins!$K564=1,(-1)*R564,R564)</f>
        <v>404.59999999999997</v>
      </c>
      <c r="T564">
        <f>IFERROR(VALUE(TRIM(SUBSTITUTE(VentesMagasins!$L564,".",","))),0)</f>
        <v>1</v>
      </c>
      <c r="U564">
        <f t="shared" si="25"/>
        <v>1</v>
      </c>
      <c r="V564" t="str">
        <f t="shared" si="26"/>
        <v>faible</v>
      </c>
      <c r="W564" t="str">
        <f>_xlfn.XLOOKUP(VentesMagasins!$B564,Clients!ClientID,Région)</f>
        <v>Sud</v>
      </c>
      <c r="X564" t="str">
        <f>INDEX(TypeClient,MATCH(VentesMagasins!$B564,Clients!ClientID))</f>
        <v>Fidèle</v>
      </c>
      <c r="Y564" t="str">
        <v>janv</v>
      </c>
    </row>
    <row r="565" spans="1:25" x14ac:dyDescent="0.25">
      <c r="A565" s="2">
        <v>564</v>
      </c>
      <c r="B565" s="12" t="s">
        <v>297</v>
      </c>
      <c r="C565" s="13">
        <v>45310</v>
      </c>
      <c r="D565" s="12" t="s">
        <v>338</v>
      </c>
      <c r="E565" s="14" t="s">
        <v>364</v>
      </c>
      <c r="F565" s="12" t="s">
        <v>324</v>
      </c>
      <c r="G565" s="2">
        <v>4</v>
      </c>
      <c r="H565" s="3">
        <v>270</v>
      </c>
      <c r="I565" s="14" t="s">
        <v>342</v>
      </c>
      <c r="J565" s="12" t="s">
        <v>871</v>
      </c>
      <c r="K565" s="2">
        <v>0</v>
      </c>
      <c r="L565" s="12" t="s">
        <v>344</v>
      </c>
      <c r="M565">
        <f>YEAR(VentesMagasins!$C565)</f>
        <v>2024</v>
      </c>
      <c r="N565" t="e" cm="1" vm="1">
        <f t="array" aca="1" ref="N565" ca="1">MONTH(DateVente)</f>
        <v>#VALUE!</v>
      </c>
      <c r="O565" t="str">
        <f>PROPER(VentesMagasins!$F565)</f>
        <v>Électronique</v>
      </c>
      <c r="P565">
        <f>VALUE(CLEAN(TRIM(SUBSTITUTE(VentesMagasins!$I565,".",","))))</f>
        <v>0.05</v>
      </c>
      <c r="Q565">
        <f>VALUE(TRIM(SUBSTITUTE(VentesMagasins!$J565,".",",")))</f>
        <v>1026</v>
      </c>
      <c r="R565">
        <f t="shared" si="24"/>
        <v>974.69999999999993</v>
      </c>
      <c r="S565">
        <f>IF(VentesMagasins!$K565=1,(-1)*R565,R565)</f>
        <v>974.69999999999993</v>
      </c>
      <c r="T565">
        <f>IFERROR(VALUE(TRIM(SUBSTITUTE(VentesMagasins!$L565,".",","))),0)</f>
        <v>2</v>
      </c>
      <c r="U565">
        <f t="shared" si="25"/>
        <v>2</v>
      </c>
      <c r="V565" t="str">
        <f t="shared" si="26"/>
        <v>faible</v>
      </c>
      <c r="W565" t="str">
        <f>_xlfn.XLOOKUP(VentesMagasins!$B565,Clients!ClientID,Région)</f>
        <v>Nord</v>
      </c>
      <c r="X565" t="str">
        <f>INDEX(TypeClient,MATCH(VentesMagasins!$B565,Clients!ClientID))</f>
        <v>Occasionnel</v>
      </c>
      <c r="Y565" t="str">
        <v>janv</v>
      </c>
    </row>
    <row r="566" spans="1:25" x14ac:dyDescent="0.25">
      <c r="A566" s="2">
        <v>565</v>
      </c>
      <c r="B566" s="12" t="s">
        <v>271</v>
      </c>
      <c r="C566" s="13">
        <v>45959</v>
      </c>
      <c r="D566" s="12" t="s">
        <v>338</v>
      </c>
      <c r="E566" s="14" t="s">
        <v>364</v>
      </c>
      <c r="F566" s="12" t="s">
        <v>330</v>
      </c>
      <c r="G566" s="2">
        <v>4</v>
      </c>
      <c r="H566" s="3">
        <v>231</v>
      </c>
      <c r="I566" s="14" t="s">
        <v>325</v>
      </c>
      <c r="J566" s="12" t="s">
        <v>872</v>
      </c>
      <c r="K566" s="2">
        <v>0</v>
      </c>
      <c r="L566" s="12" t="s">
        <v>352</v>
      </c>
      <c r="M566">
        <f>YEAR(VentesMagasins!$C566)</f>
        <v>2025</v>
      </c>
      <c r="N566" t="e" cm="1" vm="1">
        <f t="array" aca="1" ref="N566" ca="1">MONTH(DateVente)</f>
        <v>#VALUE!</v>
      </c>
      <c r="O566" t="str">
        <f>PROPER(VentesMagasins!$F566)</f>
        <v>Décoration</v>
      </c>
      <c r="P566">
        <f>VALUE(CLEAN(TRIM(SUBSTITUTE(VentesMagasins!$I566,".",","))))</f>
        <v>0.15</v>
      </c>
      <c r="Q566">
        <f>VALUE(TRIM(SUBSTITUTE(VentesMagasins!$J566,".",",")))</f>
        <v>785.4</v>
      </c>
      <c r="R566">
        <f t="shared" si="24"/>
        <v>667.58999999999992</v>
      </c>
      <c r="S566">
        <f>IF(VentesMagasins!$K566=1,(-1)*R566,R566)</f>
        <v>667.58999999999992</v>
      </c>
      <c r="T566">
        <f>IFERROR(VALUE(TRIM(SUBSTITUTE(VentesMagasins!$L566,".",","))),0)</f>
        <v>0</v>
      </c>
      <c r="U566">
        <f t="shared" si="25"/>
        <v>3</v>
      </c>
      <c r="V566" t="str">
        <f t="shared" si="26"/>
        <v>moyenne</v>
      </c>
      <c r="W566" t="str">
        <f>_xlfn.XLOOKUP(VentesMagasins!$B566,Clients!ClientID,Région)</f>
        <v>Centre</v>
      </c>
      <c r="X566" t="str">
        <f>INDEX(TypeClient,MATCH(VentesMagasins!$B566,Clients!ClientID))</f>
        <v>Occasionnel</v>
      </c>
      <c r="Y566" t="str">
        <v>oct</v>
      </c>
    </row>
    <row r="567" spans="1:25" x14ac:dyDescent="0.25">
      <c r="A567" s="2">
        <v>566</v>
      </c>
      <c r="B567" s="12" t="s">
        <v>188</v>
      </c>
      <c r="C567" s="13">
        <v>45482</v>
      </c>
      <c r="D567" s="12" t="s">
        <v>328</v>
      </c>
      <c r="E567" s="14" t="s">
        <v>334</v>
      </c>
      <c r="F567" s="12" t="s">
        <v>324</v>
      </c>
      <c r="G567" s="2">
        <v>1</v>
      </c>
      <c r="H567" s="3">
        <v>106</v>
      </c>
      <c r="I567" s="14" t="s">
        <v>342</v>
      </c>
      <c r="J567" s="12" t="s">
        <v>858</v>
      </c>
      <c r="K567" s="2">
        <v>0</v>
      </c>
      <c r="L567" s="12" t="s">
        <v>352</v>
      </c>
      <c r="M567">
        <f>YEAR(VentesMagasins!$C567)</f>
        <v>2024</v>
      </c>
      <c r="N567" t="e" cm="1" vm="1">
        <f t="array" aca="1" ref="N567" ca="1">MONTH(DateVente)</f>
        <v>#VALUE!</v>
      </c>
      <c r="O567" t="str">
        <f>PROPER(VentesMagasins!$F567)</f>
        <v>Électronique</v>
      </c>
      <c r="P567">
        <f>VALUE(CLEAN(TRIM(SUBSTITUTE(VentesMagasins!$I567,".",","))))</f>
        <v>0.05</v>
      </c>
      <c r="Q567">
        <f>VALUE(TRIM(SUBSTITUTE(VentesMagasins!$J567,".",",")))</f>
        <v>100.69999999999899</v>
      </c>
      <c r="R567">
        <f t="shared" si="24"/>
        <v>95.66499999999904</v>
      </c>
      <c r="S567">
        <f>IF(VentesMagasins!$K567=1,(-1)*R567,R567)</f>
        <v>95.66499999999904</v>
      </c>
      <c r="T567">
        <f>IFERROR(VALUE(TRIM(SUBSTITUTE(VentesMagasins!$L567,".",","))),0)</f>
        <v>0</v>
      </c>
      <c r="U567">
        <f t="shared" si="25"/>
        <v>3</v>
      </c>
      <c r="V567" t="str">
        <f t="shared" si="26"/>
        <v>moyenne</v>
      </c>
      <c r="W567" t="str">
        <f>_xlfn.XLOOKUP(VentesMagasins!$B567,Clients!ClientID,Région)</f>
        <v>Nord</v>
      </c>
      <c r="X567" t="str">
        <f>INDEX(TypeClient,MATCH(VentesMagasins!$B567,Clients!ClientID))</f>
        <v>Occasionnel</v>
      </c>
      <c r="Y567" t="str">
        <v>juil</v>
      </c>
    </row>
    <row r="568" spans="1:25" x14ac:dyDescent="0.25">
      <c r="A568" s="2">
        <v>567</v>
      </c>
      <c r="B568" s="12" t="s">
        <v>123</v>
      </c>
      <c r="C568" s="13">
        <v>45180</v>
      </c>
      <c r="D568" s="12" t="s">
        <v>350</v>
      </c>
      <c r="E568" s="14" t="s">
        <v>345</v>
      </c>
      <c r="F568" s="12" t="s">
        <v>324</v>
      </c>
      <c r="G568" s="2">
        <v>1</v>
      </c>
      <c r="H568" s="3">
        <v>72</v>
      </c>
      <c r="I568" s="14" t="s">
        <v>355</v>
      </c>
      <c r="J568" s="12" t="s">
        <v>873</v>
      </c>
      <c r="K568" s="2">
        <v>1</v>
      </c>
      <c r="L568" s="12" t="s">
        <v>337</v>
      </c>
      <c r="M568">
        <f>YEAR(VentesMagasins!$C568)</f>
        <v>2023</v>
      </c>
      <c r="N568" t="e" cm="1" vm="1">
        <f t="array" aca="1" ref="N568" ca="1">MONTH(DateVente)</f>
        <v>#VALUE!</v>
      </c>
      <c r="O568" t="str">
        <f>PROPER(VentesMagasins!$F568)</f>
        <v>Électronique</v>
      </c>
      <c r="P568">
        <f>VALUE(CLEAN(TRIM(SUBSTITUTE(VentesMagasins!$I568,".",","))))</f>
        <v>0.1</v>
      </c>
      <c r="Q568">
        <f>VALUE(TRIM(SUBSTITUTE(VentesMagasins!$J568,".",",")))</f>
        <v>64.8</v>
      </c>
      <c r="R568">
        <f t="shared" si="24"/>
        <v>58.32</v>
      </c>
      <c r="S568">
        <f>IF(VentesMagasins!$K568=1,(-1)*R568,R568)</f>
        <v>-58.32</v>
      </c>
      <c r="T568">
        <f>IFERROR(VALUE(TRIM(SUBSTITUTE(VentesMagasins!$L568,".",","))),0)</f>
        <v>3</v>
      </c>
      <c r="U568">
        <f t="shared" si="25"/>
        <v>3</v>
      </c>
      <c r="V568" t="str">
        <f t="shared" si="26"/>
        <v>moyenne</v>
      </c>
      <c r="W568" t="str">
        <f>_xlfn.XLOOKUP(VentesMagasins!$B568,Clients!ClientID,Région)</f>
        <v>Nord</v>
      </c>
      <c r="X568" t="str">
        <f>INDEX(TypeClient,MATCH(VentesMagasins!$B568,Clients!ClientID))</f>
        <v>Occasionnel</v>
      </c>
      <c r="Y568" t="str">
        <v>sept</v>
      </c>
    </row>
    <row r="569" spans="1:25" x14ac:dyDescent="0.25">
      <c r="A569" s="2">
        <v>568</v>
      </c>
      <c r="B569" s="12" t="s">
        <v>92</v>
      </c>
      <c r="C569" s="13">
        <v>44967</v>
      </c>
      <c r="D569" s="12" t="s">
        <v>350</v>
      </c>
      <c r="E569" s="14" t="s">
        <v>345</v>
      </c>
      <c r="F569" s="12" t="s">
        <v>324</v>
      </c>
      <c r="G569" s="2">
        <v>1</v>
      </c>
      <c r="H569" s="3">
        <v>344</v>
      </c>
      <c r="I569" s="14" t="s">
        <v>325</v>
      </c>
      <c r="J569" s="12" t="s">
        <v>874</v>
      </c>
      <c r="K569" s="2">
        <v>0</v>
      </c>
      <c r="L569" s="12" t="s">
        <v>352</v>
      </c>
      <c r="M569">
        <f>YEAR(VentesMagasins!$C569)</f>
        <v>2023</v>
      </c>
      <c r="N569" t="e" cm="1" vm="1">
        <f t="array" aca="1" ref="N569" ca="1">MONTH(DateVente)</f>
        <v>#VALUE!</v>
      </c>
      <c r="O569" t="str">
        <f>PROPER(VentesMagasins!$F569)</f>
        <v>Électronique</v>
      </c>
      <c r="P569">
        <f>VALUE(CLEAN(TRIM(SUBSTITUTE(VentesMagasins!$I569,".",","))))</f>
        <v>0.15</v>
      </c>
      <c r="Q569">
        <f>VALUE(TRIM(SUBSTITUTE(VentesMagasins!$J569,".",",")))</f>
        <v>292.39999999999998</v>
      </c>
      <c r="R569">
        <f t="shared" si="24"/>
        <v>248.53999999999996</v>
      </c>
      <c r="S569">
        <f>IF(VentesMagasins!$K569=1,(-1)*R569,R569)</f>
        <v>248.53999999999996</v>
      </c>
      <c r="T569">
        <f>IFERROR(VALUE(TRIM(SUBSTITUTE(VentesMagasins!$L569,".",","))),0)</f>
        <v>0</v>
      </c>
      <c r="U569">
        <f t="shared" si="25"/>
        <v>3</v>
      </c>
      <c r="V569" t="str">
        <f t="shared" si="26"/>
        <v>moyenne</v>
      </c>
      <c r="W569" t="str">
        <f>_xlfn.XLOOKUP(VentesMagasins!$B569,Clients!ClientID,Région)</f>
        <v>Centre</v>
      </c>
      <c r="X569" t="str">
        <f>INDEX(TypeClient,MATCH(VentesMagasins!$B569,Clients!ClientID))</f>
        <v>Fidèle</v>
      </c>
      <c r="Y569" t="str">
        <v>févr</v>
      </c>
    </row>
    <row r="570" spans="1:25" x14ac:dyDescent="0.25">
      <c r="A570" s="2">
        <v>569</v>
      </c>
      <c r="B570" s="12" t="s">
        <v>48</v>
      </c>
      <c r="C570" s="13">
        <v>45011</v>
      </c>
      <c r="D570" s="12" t="s">
        <v>328</v>
      </c>
      <c r="E570" s="14" t="s">
        <v>348</v>
      </c>
      <c r="F570" s="12" t="s">
        <v>341</v>
      </c>
      <c r="G570" s="2">
        <v>1</v>
      </c>
      <c r="H570" s="3">
        <v>123</v>
      </c>
      <c r="I570" s="14" t="s">
        <v>342</v>
      </c>
      <c r="J570" s="12" t="s">
        <v>875</v>
      </c>
      <c r="K570" s="2">
        <v>0</v>
      </c>
      <c r="L570" s="12" t="s">
        <v>344</v>
      </c>
      <c r="M570">
        <f>YEAR(VentesMagasins!$C570)</f>
        <v>2023</v>
      </c>
      <c r="N570" t="e" cm="1" vm="1">
        <f t="array" aca="1" ref="N570" ca="1">MONTH(DateVente)</f>
        <v>#VALUE!</v>
      </c>
      <c r="O570" t="str">
        <f>PROPER(VentesMagasins!$F570)</f>
        <v>Meuble</v>
      </c>
      <c r="P570">
        <f>VALUE(CLEAN(TRIM(SUBSTITUTE(VentesMagasins!$I570,".",","))))</f>
        <v>0.05</v>
      </c>
      <c r="Q570">
        <f>VALUE(TRIM(SUBSTITUTE(VentesMagasins!$J570,".",",")))</f>
        <v>116.85</v>
      </c>
      <c r="R570">
        <f t="shared" si="24"/>
        <v>111.00749999999999</v>
      </c>
      <c r="S570">
        <f>IF(VentesMagasins!$K570=1,(-1)*R570,R570)</f>
        <v>111.00749999999999</v>
      </c>
      <c r="T570">
        <f>IFERROR(VALUE(TRIM(SUBSTITUTE(VentesMagasins!$L570,".",","))),0)</f>
        <v>2</v>
      </c>
      <c r="U570">
        <f t="shared" si="25"/>
        <v>2</v>
      </c>
      <c r="V570" t="str">
        <f t="shared" si="26"/>
        <v>faible</v>
      </c>
      <c r="W570" t="str">
        <f>_xlfn.XLOOKUP(VentesMagasins!$B570,Clients!ClientID,Région)</f>
        <v>Sud</v>
      </c>
      <c r="X570" t="str">
        <f>INDEX(TypeClient,MATCH(VentesMagasins!$B570,Clients!ClientID))</f>
        <v>Fidèle</v>
      </c>
      <c r="Y570" t="str">
        <v>mars</v>
      </c>
    </row>
    <row r="571" spans="1:25" x14ac:dyDescent="0.25">
      <c r="A571" s="2">
        <v>570</v>
      </c>
      <c r="B571" s="12" t="s">
        <v>60</v>
      </c>
      <c r="C571" s="13">
        <v>45125</v>
      </c>
      <c r="D571" s="12" t="s">
        <v>333</v>
      </c>
      <c r="E571" s="14" t="s">
        <v>348</v>
      </c>
      <c r="F571" s="12" t="s">
        <v>330</v>
      </c>
      <c r="G571" s="2">
        <v>3</v>
      </c>
      <c r="H571" s="3">
        <v>301</v>
      </c>
      <c r="I571" s="14" t="s">
        <v>355</v>
      </c>
      <c r="J571" s="12" t="s">
        <v>876</v>
      </c>
      <c r="K571" s="2">
        <v>0</v>
      </c>
      <c r="L571" s="12" t="s">
        <v>344</v>
      </c>
      <c r="M571">
        <f>YEAR(VentesMagasins!$C571)</f>
        <v>2023</v>
      </c>
      <c r="N571" t="e" cm="1" vm="1">
        <f t="array" aca="1" ref="N571" ca="1">MONTH(DateVente)</f>
        <v>#VALUE!</v>
      </c>
      <c r="O571" t="str">
        <f>PROPER(VentesMagasins!$F571)</f>
        <v>Décoration</v>
      </c>
      <c r="P571">
        <f>VALUE(CLEAN(TRIM(SUBSTITUTE(VentesMagasins!$I571,".",","))))</f>
        <v>0.1</v>
      </c>
      <c r="Q571">
        <f>VALUE(TRIM(SUBSTITUTE(VentesMagasins!$J571,".",",")))</f>
        <v>812.7</v>
      </c>
      <c r="R571">
        <f t="shared" si="24"/>
        <v>731.43000000000006</v>
      </c>
      <c r="S571">
        <f>IF(VentesMagasins!$K571=1,(-1)*R571,R571)</f>
        <v>731.43000000000006</v>
      </c>
      <c r="T571">
        <f>IFERROR(VALUE(TRIM(SUBSTITUTE(VentesMagasins!$L571,".",","))),0)</f>
        <v>2</v>
      </c>
      <c r="U571">
        <f t="shared" si="25"/>
        <v>2</v>
      </c>
      <c r="V571" t="str">
        <f t="shared" si="26"/>
        <v>faible</v>
      </c>
      <c r="W571" t="str">
        <f>_xlfn.XLOOKUP(VentesMagasins!$B571,Clients!ClientID,Région)</f>
        <v>Centre</v>
      </c>
      <c r="X571" t="str">
        <f>INDEX(TypeClient,MATCH(VentesMagasins!$B571,Clients!ClientID))</f>
        <v>Fidèle</v>
      </c>
      <c r="Y571" t="str">
        <v>juil</v>
      </c>
    </row>
    <row r="572" spans="1:25" x14ac:dyDescent="0.25">
      <c r="A572" s="2">
        <v>571</v>
      </c>
      <c r="B572" s="12" t="s">
        <v>39</v>
      </c>
      <c r="C572" s="13">
        <v>45830</v>
      </c>
      <c r="D572" s="12" t="s">
        <v>350</v>
      </c>
      <c r="E572" s="14" t="s">
        <v>334</v>
      </c>
      <c r="F572" s="12" t="s">
        <v>330</v>
      </c>
      <c r="G572" s="2">
        <v>5</v>
      </c>
      <c r="H572" s="3">
        <v>214</v>
      </c>
      <c r="I572" s="14" t="s">
        <v>335</v>
      </c>
      <c r="J572" s="12" t="s">
        <v>877</v>
      </c>
      <c r="K572" s="2">
        <v>0</v>
      </c>
      <c r="L572" s="12" t="s">
        <v>352</v>
      </c>
      <c r="M572">
        <f>YEAR(VentesMagasins!$C572)</f>
        <v>2025</v>
      </c>
      <c r="N572" t="e" cm="1" vm="1">
        <f t="array" aca="1" ref="N572" ca="1">MONTH(DateVente)</f>
        <v>#VALUE!</v>
      </c>
      <c r="O572" t="str">
        <f>PROPER(VentesMagasins!$F572)</f>
        <v>Décoration</v>
      </c>
      <c r="P572">
        <f>VALUE(CLEAN(TRIM(SUBSTITUTE(VentesMagasins!$I572,".",","))))</f>
        <v>0</v>
      </c>
      <c r="Q572">
        <f>VALUE(TRIM(SUBSTITUTE(VentesMagasins!$J572,".",",")))</f>
        <v>1177</v>
      </c>
      <c r="R572">
        <f t="shared" si="24"/>
        <v>1177</v>
      </c>
      <c r="S572">
        <f>IF(VentesMagasins!$K572=1,(-1)*R572,R572)</f>
        <v>1177</v>
      </c>
      <c r="T572">
        <f>IFERROR(VALUE(TRIM(SUBSTITUTE(VentesMagasins!$L572,".",","))),0)</f>
        <v>0</v>
      </c>
      <c r="U572">
        <f t="shared" si="25"/>
        <v>3</v>
      </c>
      <c r="V572" t="str">
        <f t="shared" si="26"/>
        <v>moyenne</v>
      </c>
      <c r="W572" t="str">
        <f>_xlfn.XLOOKUP(VentesMagasins!$B572,Clients!ClientID,Région)</f>
        <v>Nord</v>
      </c>
      <c r="X572" t="str">
        <f>INDEX(TypeClient,MATCH(VentesMagasins!$B572,Clients!ClientID))</f>
        <v>Nouveau</v>
      </c>
      <c r="Y572" t="str">
        <v>juin</v>
      </c>
    </row>
    <row r="573" spans="1:25" x14ac:dyDescent="0.25">
      <c r="A573" s="2">
        <v>572</v>
      </c>
      <c r="B573" s="12" t="s">
        <v>11</v>
      </c>
      <c r="C573" s="13">
        <v>45910</v>
      </c>
      <c r="D573" s="12" t="s">
        <v>333</v>
      </c>
      <c r="E573" s="14" t="s">
        <v>329</v>
      </c>
      <c r="F573" s="12" t="s">
        <v>324</v>
      </c>
      <c r="G573" s="2">
        <v>3</v>
      </c>
      <c r="H573" s="3">
        <v>387</v>
      </c>
      <c r="I573" s="14" t="s">
        <v>342</v>
      </c>
      <c r="J573" s="12" t="s">
        <v>878</v>
      </c>
      <c r="K573" s="2">
        <v>0</v>
      </c>
      <c r="L573" s="12" t="s">
        <v>332</v>
      </c>
      <c r="M573">
        <f>YEAR(VentesMagasins!$C573)</f>
        <v>2025</v>
      </c>
      <c r="N573" t="e" cm="1" vm="1">
        <f t="array" aca="1" ref="N573" ca="1">MONTH(DateVente)</f>
        <v>#VALUE!</v>
      </c>
      <c r="O573" t="str">
        <f>PROPER(VentesMagasins!$F573)</f>
        <v>Électronique</v>
      </c>
      <c r="P573">
        <f>VALUE(CLEAN(TRIM(SUBSTITUTE(VentesMagasins!$I573,".",","))))</f>
        <v>0.05</v>
      </c>
      <c r="Q573">
        <f>VALUE(TRIM(SUBSTITUTE(VentesMagasins!$J573,".",",")))</f>
        <v>1102.95</v>
      </c>
      <c r="R573">
        <f t="shared" si="24"/>
        <v>1047.8025</v>
      </c>
      <c r="S573">
        <f>IF(VentesMagasins!$K573=1,(-1)*R573,R573)</f>
        <v>1047.8025</v>
      </c>
      <c r="T573">
        <f>IFERROR(VALUE(TRIM(SUBSTITUTE(VentesMagasins!$L573,".",","))),0)</f>
        <v>4</v>
      </c>
      <c r="U573">
        <f t="shared" si="25"/>
        <v>4</v>
      </c>
      <c r="V573" t="str">
        <f t="shared" si="26"/>
        <v>moyenne</v>
      </c>
      <c r="W573" t="str">
        <f>_xlfn.XLOOKUP(VentesMagasins!$B573,Clients!ClientID,Région)</f>
        <v>Centre</v>
      </c>
      <c r="X573" t="str">
        <f>INDEX(TypeClient,MATCH(VentesMagasins!$B573,Clients!ClientID))</f>
        <v>Fidèle</v>
      </c>
      <c r="Y573" t="str">
        <v>sept</v>
      </c>
    </row>
    <row r="574" spans="1:25" x14ac:dyDescent="0.25">
      <c r="A574" s="2">
        <v>573</v>
      </c>
      <c r="B574" s="12" t="s">
        <v>116</v>
      </c>
      <c r="C574" s="13">
        <v>45782</v>
      </c>
      <c r="D574" s="12" t="s">
        <v>338</v>
      </c>
      <c r="E574" s="14" t="s">
        <v>339</v>
      </c>
      <c r="F574" s="12" t="s">
        <v>324</v>
      </c>
      <c r="G574" s="2">
        <v>1</v>
      </c>
      <c r="H574" s="3">
        <v>354</v>
      </c>
      <c r="I574" s="14" t="s">
        <v>325</v>
      </c>
      <c r="J574" s="12" t="s">
        <v>879</v>
      </c>
      <c r="K574" s="2">
        <v>1</v>
      </c>
      <c r="L574" s="12" t="s">
        <v>327</v>
      </c>
      <c r="M574">
        <f>YEAR(VentesMagasins!$C574)</f>
        <v>2025</v>
      </c>
      <c r="N574" t="e" cm="1" vm="1">
        <f t="array" aca="1" ref="N574" ca="1">MONTH(DateVente)</f>
        <v>#VALUE!</v>
      </c>
      <c r="O574" t="str">
        <f>PROPER(VentesMagasins!$F574)</f>
        <v>Électronique</v>
      </c>
      <c r="P574">
        <f>VALUE(CLEAN(TRIM(SUBSTITUTE(VentesMagasins!$I574,".",","))))</f>
        <v>0.15</v>
      </c>
      <c r="Q574">
        <f>VALUE(TRIM(SUBSTITUTE(VentesMagasins!$J574,".",",")))</f>
        <v>300.89999999999998</v>
      </c>
      <c r="R574">
        <f t="shared" si="24"/>
        <v>255.76499999999999</v>
      </c>
      <c r="S574">
        <f>IF(VentesMagasins!$K574=1,(-1)*R574,R574)</f>
        <v>-255.76499999999999</v>
      </c>
      <c r="T574">
        <f>IFERROR(VALUE(TRIM(SUBSTITUTE(VentesMagasins!$L574,".",","))),0)</f>
        <v>5</v>
      </c>
      <c r="U574">
        <f t="shared" si="25"/>
        <v>5</v>
      </c>
      <c r="V574" t="str">
        <f t="shared" si="26"/>
        <v>élévé</v>
      </c>
      <c r="W574" t="str">
        <f>_xlfn.XLOOKUP(VentesMagasins!$B574,Clients!ClientID,Région)</f>
        <v>Sud</v>
      </c>
      <c r="X574" t="str">
        <f>INDEX(TypeClient,MATCH(VentesMagasins!$B574,Clients!ClientID))</f>
        <v>Occasionnel</v>
      </c>
      <c r="Y574" t="str">
        <v>mai</v>
      </c>
    </row>
    <row r="575" spans="1:25" x14ac:dyDescent="0.25">
      <c r="A575" s="2">
        <v>574</v>
      </c>
      <c r="B575" s="12" t="s">
        <v>115</v>
      </c>
      <c r="C575" s="13">
        <v>45121</v>
      </c>
      <c r="D575" s="12" t="s">
        <v>350</v>
      </c>
      <c r="E575" s="14" t="s">
        <v>364</v>
      </c>
      <c r="F575" s="12" t="s">
        <v>330</v>
      </c>
      <c r="G575" s="2">
        <v>3</v>
      </c>
      <c r="H575" s="3">
        <v>352</v>
      </c>
      <c r="I575" s="14" t="s">
        <v>335</v>
      </c>
      <c r="J575" s="12" t="s">
        <v>880</v>
      </c>
      <c r="K575" s="2">
        <v>1</v>
      </c>
      <c r="L575" s="12" t="s">
        <v>352</v>
      </c>
      <c r="M575">
        <f>YEAR(VentesMagasins!$C575)</f>
        <v>2023</v>
      </c>
      <c r="N575" t="e" cm="1" vm="1">
        <f t="array" aca="1" ref="N575" ca="1">MONTH(DateVente)</f>
        <v>#VALUE!</v>
      </c>
      <c r="O575" t="str">
        <f>PROPER(VentesMagasins!$F575)</f>
        <v>Décoration</v>
      </c>
      <c r="P575">
        <f>VALUE(CLEAN(TRIM(SUBSTITUTE(VentesMagasins!$I575,".",","))))</f>
        <v>0</v>
      </c>
      <c r="Q575">
        <f>VALUE(TRIM(SUBSTITUTE(VentesMagasins!$J575,".",",")))</f>
        <v>950.4</v>
      </c>
      <c r="R575">
        <f t="shared" si="24"/>
        <v>950.4</v>
      </c>
      <c r="S575">
        <f>IF(VentesMagasins!$K575=1,(-1)*R575,R575)</f>
        <v>-950.4</v>
      </c>
      <c r="T575">
        <f>IFERROR(VALUE(TRIM(SUBSTITUTE(VentesMagasins!$L575,".",","))),0)</f>
        <v>0</v>
      </c>
      <c r="U575">
        <f t="shared" si="25"/>
        <v>3</v>
      </c>
      <c r="V575" t="str">
        <f t="shared" si="26"/>
        <v>moyenne</v>
      </c>
      <c r="W575" t="str">
        <f>_xlfn.XLOOKUP(VentesMagasins!$B575,Clients!ClientID,Région)</f>
        <v>Centre</v>
      </c>
      <c r="X575" t="str">
        <f>INDEX(TypeClient,MATCH(VentesMagasins!$B575,Clients!ClientID))</f>
        <v>Fidèle</v>
      </c>
      <c r="Y575" t="str">
        <v>juil</v>
      </c>
    </row>
    <row r="576" spans="1:25" x14ac:dyDescent="0.25">
      <c r="A576" s="2">
        <v>575</v>
      </c>
      <c r="B576" s="12" t="s">
        <v>204</v>
      </c>
      <c r="C576" s="13">
        <v>45232</v>
      </c>
      <c r="D576" s="12" t="s">
        <v>328</v>
      </c>
      <c r="E576" s="14" t="s">
        <v>339</v>
      </c>
      <c r="F576" s="12" t="s">
        <v>341</v>
      </c>
      <c r="G576" s="2">
        <v>4</v>
      </c>
      <c r="H576" s="3">
        <v>114</v>
      </c>
      <c r="I576" s="14" t="s">
        <v>355</v>
      </c>
      <c r="J576" s="12" t="s">
        <v>881</v>
      </c>
      <c r="K576" s="2">
        <v>0</v>
      </c>
      <c r="L576" s="12" t="s">
        <v>369</v>
      </c>
      <c r="M576">
        <f>YEAR(VentesMagasins!$C576)</f>
        <v>2023</v>
      </c>
      <c r="N576" t="e" cm="1" vm="1">
        <f t="array" aca="1" ref="N576" ca="1">MONTH(DateVente)</f>
        <v>#VALUE!</v>
      </c>
      <c r="O576" t="str">
        <f>PROPER(VentesMagasins!$F576)</f>
        <v>Meuble</v>
      </c>
      <c r="P576">
        <f>VALUE(CLEAN(TRIM(SUBSTITUTE(VentesMagasins!$I576,".",","))))</f>
        <v>0.1</v>
      </c>
      <c r="Q576">
        <f>VALUE(TRIM(SUBSTITUTE(VentesMagasins!$J576,".",",")))</f>
        <v>410.4</v>
      </c>
      <c r="R576">
        <f t="shared" si="24"/>
        <v>369.36</v>
      </c>
      <c r="S576">
        <f>IF(VentesMagasins!$K576=1,(-1)*R576,R576)</f>
        <v>369.36</v>
      </c>
      <c r="T576">
        <f>IFERROR(VALUE(TRIM(SUBSTITUTE(VentesMagasins!$L576,".",","))),0)</f>
        <v>1</v>
      </c>
      <c r="U576">
        <f t="shared" si="25"/>
        <v>1</v>
      </c>
      <c r="V576" t="str">
        <f t="shared" si="26"/>
        <v>faible</v>
      </c>
      <c r="W576" t="str">
        <f>_xlfn.XLOOKUP(VentesMagasins!$B576,Clients!ClientID,Région)</f>
        <v>Centre</v>
      </c>
      <c r="X576" t="str">
        <f>INDEX(TypeClient,MATCH(VentesMagasins!$B576,Clients!ClientID))</f>
        <v>Occasionnel</v>
      </c>
      <c r="Y576" t="str">
        <v>nov</v>
      </c>
    </row>
    <row r="577" spans="1:25" x14ac:dyDescent="0.25">
      <c r="A577" s="2">
        <v>576</v>
      </c>
      <c r="B577" s="12" t="s">
        <v>177</v>
      </c>
      <c r="C577" s="13">
        <v>45093</v>
      </c>
      <c r="D577" s="12" t="s">
        <v>322</v>
      </c>
      <c r="E577" s="14" t="s">
        <v>339</v>
      </c>
      <c r="F577" s="12" t="s">
        <v>341</v>
      </c>
      <c r="G577" s="2">
        <v>1</v>
      </c>
      <c r="H577" s="3">
        <v>464</v>
      </c>
      <c r="I577" s="14" t="s">
        <v>335</v>
      </c>
      <c r="J577" s="12" t="s">
        <v>882</v>
      </c>
      <c r="K577" s="2">
        <v>0</v>
      </c>
      <c r="L577" s="12" t="s">
        <v>332</v>
      </c>
      <c r="M577">
        <f>YEAR(VentesMagasins!$C577)</f>
        <v>2023</v>
      </c>
      <c r="N577" t="e" cm="1" vm="1">
        <f t="array" aca="1" ref="N577" ca="1">MONTH(DateVente)</f>
        <v>#VALUE!</v>
      </c>
      <c r="O577" t="str">
        <f>PROPER(VentesMagasins!$F577)</f>
        <v>Meuble</v>
      </c>
      <c r="P577">
        <f>VALUE(CLEAN(TRIM(SUBSTITUTE(VentesMagasins!$I577,".",","))))</f>
        <v>0</v>
      </c>
      <c r="Q577">
        <f>VALUE(TRIM(SUBSTITUTE(VentesMagasins!$J577,".",",")))</f>
        <v>464</v>
      </c>
      <c r="R577">
        <f t="shared" si="24"/>
        <v>464</v>
      </c>
      <c r="S577">
        <f>IF(VentesMagasins!$K577=1,(-1)*R577,R577)</f>
        <v>464</v>
      </c>
      <c r="T577">
        <f>IFERROR(VALUE(TRIM(SUBSTITUTE(VentesMagasins!$L577,".",","))),0)</f>
        <v>4</v>
      </c>
      <c r="U577">
        <f t="shared" si="25"/>
        <v>4</v>
      </c>
      <c r="V577" t="str">
        <f t="shared" si="26"/>
        <v>moyenne</v>
      </c>
      <c r="W577" t="str">
        <f>_xlfn.XLOOKUP(VentesMagasins!$B577,Clients!ClientID,Région)</f>
        <v>Est</v>
      </c>
      <c r="X577" t="str">
        <f>INDEX(TypeClient,MATCH(VentesMagasins!$B577,Clients!ClientID))</f>
        <v>Nouveau</v>
      </c>
      <c r="Y577" t="str">
        <v>juin</v>
      </c>
    </row>
    <row r="578" spans="1:25" x14ac:dyDescent="0.25">
      <c r="A578" s="2">
        <v>577</v>
      </c>
      <c r="B578" s="12" t="s">
        <v>212</v>
      </c>
      <c r="C578" s="13">
        <v>45553</v>
      </c>
      <c r="D578" s="12" t="s">
        <v>322</v>
      </c>
      <c r="E578" s="14" t="s">
        <v>334</v>
      </c>
      <c r="F578" s="12" t="s">
        <v>341</v>
      </c>
      <c r="G578" s="2">
        <v>2</v>
      </c>
      <c r="H578" s="3">
        <v>429</v>
      </c>
      <c r="I578" s="14" t="s">
        <v>335</v>
      </c>
      <c r="J578" s="12" t="s">
        <v>883</v>
      </c>
      <c r="K578" s="2">
        <v>1</v>
      </c>
      <c r="L578" s="12" t="s">
        <v>369</v>
      </c>
      <c r="M578">
        <f>YEAR(VentesMagasins!$C578)</f>
        <v>2024</v>
      </c>
      <c r="N578" t="e" cm="1" vm="1">
        <f t="array" aca="1" ref="N578" ca="1">MONTH(DateVente)</f>
        <v>#VALUE!</v>
      </c>
      <c r="O578" t="str">
        <f>PROPER(VentesMagasins!$F578)</f>
        <v>Meuble</v>
      </c>
      <c r="P578">
        <f>VALUE(CLEAN(TRIM(SUBSTITUTE(VentesMagasins!$I578,".",","))))</f>
        <v>0</v>
      </c>
      <c r="Q578">
        <f>VALUE(TRIM(SUBSTITUTE(VentesMagasins!$J578,".",",")))</f>
        <v>858</v>
      </c>
      <c r="R578">
        <f t="shared" si="24"/>
        <v>858</v>
      </c>
      <c r="S578">
        <f>IF(VentesMagasins!$K578=1,(-1)*R578,R578)</f>
        <v>-858</v>
      </c>
      <c r="T578">
        <f>IFERROR(VALUE(TRIM(SUBSTITUTE(VentesMagasins!$L578,".",","))),0)</f>
        <v>1</v>
      </c>
      <c r="U578">
        <f t="shared" si="25"/>
        <v>1</v>
      </c>
      <c r="V578" t="str">
        <f t="shared" si="26"/>
        <v>faible</v>
      </c>
      <c r="W578" t="str">
        <f>_xlfn.XLOOKUP(VentesMagasins!$B578,Clients!ClientID,Région)</f>
        <v>Sud</v>
      </c>
      <c r="X578" t="str">
        <f>INDEX(TypeClient,MATCH(VentesMagasins!$B578,Clients!ClientID))</f>
        <v>Fidèle</v>
      </c>
      <c r="Y578" t="str">
        <v>sept</v>
      </c>
    </row>
    <row r="579" spans="1:25" x14ac:dyDescent="0.25">
      <c r="A579" s="2">
        <v>578</v>
      </c>
      <c r="B579" s="12" t="s">
        <v>248</v>
      </c>
      <c r="C579" s="13">
        <v>45353</v>
      </c>
      <c r="D579" s="12" t="s">
        <v>322</v>
      </c>
      <c r="E579" s="14" t="s">
        <v>364</v>
      </c>
      <c r="F579" s="12" t="s">
        <v>324</v>
      </c>
      <c r="G579" s="2">
        <v>5</v>
      </c>
      <c r="H579" s="3">
        <v>363</v>
      </c>
      <c r="I579" s="14" t="s">
        <v>355</v>
      </c>
      <c r="J579" s="12" t="s">
        <v>884</v>
      </c>
      <c r="K579" s="2">
        <v>0</v>
      </c>
      <c r="L579" s="12" t="s">
        <v>352</v>
      </c>
      <c r="M579">
        <f>YEAR(VentesMagasins!$C579)</f>
        <v>2024</v>
      </c>
      <c r="N579" t="e" cm="1" vm="1">
        <f t="array" aca="1" ref="N579" ca="1">MONTH(DateVente)</f>
        <v>#VALUE!</v>
      </c>
      <c r="O579" t="str">
        <f>PROPER(VentesMagasins!$F579)</f>
        <v>Électronique</v>
      </c>
      <c r="P579">
        <f>VALUE(CLEAN(TRIM(SUBSTITUTE(VentesMagasins!$I579,".",","))))</f>
        <v>0.1</v>
      </c>
      <c r="Q579">
        <f>VALUE(TRIM(SUBSTITUTE(VentesMagasins!$J579,".",",")))</f>
        <v>1633.5</v>
      </c>
      <c r="R579">
        <f t="shared" ref="R579:R642" si="27">Q579*(1-P579)</f>
        <v>1470.15</v>
      </c>
      <c r="S579">
        <f>IF(VentesMagasins!$K579=1,(-1)*R579,R579)</f>
        <v>1470.15</v>
      </c>
      <c r="T579">
        <f>IFERROR(VALUE(TRIM(SUBSTITUTE(VentesMagasins!$L579,".",","))),0)</f>
        <v>0</v>
      </c>
      <c r="U579">
        <f t="shared" ref="U579:U642" si="28">ROUND(IF(T579=0,AVERAGE(T579:T1578),T579),0)</f>
        <v>3</v>
      </c>
      <c r="V579" t="str">
        <f t="shared" ref="V579:V642" si="29">IF(AND(U579&gt;0,U579&lt;=2),"faible",IF(AND(U579&gt;=3,U579&lt;=4),"moyenne",IF(U579=5,"élévé",0)))</f>
        <v>moyenne</v>
      </c>
      <c r="W579" t="str">
        <f>_xlfn.XLOOKUP(VentesMagasins!$B579,Clients!ClientID,Région)</f>
        <v>Ouest</v>
      </c>
      <c r="X579" t="str">
        <f>INDEX(TypeClient,MATCH(VentesMagasins!$B579,Clients!ClientID))</f>
        <v>Nouveau</v>
      </c>
      <c r="Y579" t="str">
        <v>mars</v>
      </c>
    </row>
    <row r="580" spans="1:25" x14ac:dyDescent="0.25">
      <c r="A580" s="2">
        <v>579</v>
      </c>
      <c r="B580" s="12" t="s">
        <v>21</v>
      </c>
      <c r="C580" s="13">
        <v>45536</v>
      </c>
      <c r="D580" s="12" t="s">
        <v>350</v>
      </c>
      <c r="E580" s="14" t="s">
        <v>364</v>
      </c>
      <c r="F580" s="12" t="s">
        <v>324</v>
      </c>
      <c r="G580" s="2">
        <v>3</v>
      </c>
      <c r="H580" s="3">
        <v>386</v>
      </c>
      <c r="I580" s="14" t="s">
        <v>335</v>
      </c>
      <c r="J580" s="12" t="s">
        <v>885</v>
      </c>
      <c r="K580" s="2">
        <v>1</v>
      </c>
      <c r="L580" s="12" t="s">
        <v>337</v>
      </c>
      <c r="M580">
        <f>YEAR(VentesMagasins!$C580)</f>
        <v>2024</v>
      </c>
      <c r="N580" t="e" cm="1" vm="1">
        <f t="array" aca="1" ref="N580" ca="1">MONTH(DateVente)</f>
        <v>#VALUE!</v>
      </c>
      <c r="O580" t="str">
        <f>PROPER(VentesMagasins!$F580)</f>
        <v>Électronique</v>
      </c>
      <c r="P580">
        <f>VALUE(CLEAN(TRIM(SUBSTITUTE(VentesMagasins!$I580,".",","))))</f>
        <v>0</v>
      </c>
      <c r="Q580">
        <f>VALUE(TRIM(SUBSTITUTE(VentesMagasins!$J580,".",",")))</f>
        <v>1158</v>
      </c>
      <c r="R580">
        <f t="shared" si="27"/>
        <v>1158</v>
      </c>
      <c r="S580">
        <f>IF(VentesMagasins!$K580=1,(-1)*R580,R580)</f>
        <v>-1158</v>
      </c>
      <c r="T580">
        <f>IFERROR(VALUE(TRIM(SUBSTITUTE(VentesMagasins!$L580,".",","))),0)</f>
        <v>3</v>
      </c>
      <c r="U580">
        <f t="shared" si="28"/>
        <v>3</v>
      </c>
      <c r="V580" t="str">
        <f t="shared" si="29"/>
        <v>moyenne</v>
      </c>
      <c r="W580" t="str">
        <f>_xlfn.XLOOKUP(VentesMagasins!$B580,Clients!ClientID,Région)</f>
        <v>Centre</v>
      </c>
      <c r="X580" t="str">
        <f>INDEX(TypeClient,MATCH(VentesMagasins!$B580,Clients!ClientID))</f>
        <v>Nouveau</v>
      </c>
      <c r="Y580" t="str">
        <v>sept</v>
      </c>
    </row>
    <row r="581" spans="1:25" x14ac:dyDescent="0.25">
      <c r="A581" s="2">
        <v>580</v>
      </c>
      <c r="B581" s="12" t="s">
        <v>294</v>
      </c>
      <c r="C581" s="13">
        <v>45229</v>
      </c>
      <c r="D581" s="12" t="s">
        <v>328</v>
      </c>
      <c r="E581" s="14" t="s">
        <v>362</v>
      </c>
      <c r="F581" s="12" t="s">
        <v>341</v>
      </c>
      <c r="G581" s="2">
        <v>3</v>
      </c>
      <c r="H581" s="3">
        <v>241</v>
      </c>
      <c r="I581" s="14" t="s">
        <v>355</v>
      </c>
      <c r="J581" s="12" t="s">
        <v>886</v>
      </c>
      <c r="K581" s="2">
        <v>0</v>
      </c>
      <c r="L581" s="12" t="s">
        <v>352</v>
      </c>
      <c r="M581">
        <f>YEAR(VentesMagasins!$C581)</f>
        <v>2023</v>
      </c>
      <c r="N581" t="e" cm="1" vm="1">
        <f t="array" aca="1" ref="N581" ca="1">MONTH(DateVente)</f>
        <v>#VALUE!</v>
      </c>
      <c r="O581" t="str">
        <f>PROPER(VentesMagasins!$F581)</f>
        <v>Meuble</v>
      </c>
      <c r="P581">
        <f>VALUE(CLEAN(TRIM(SUBSTITUTE(VentesMagasins!$I581,".",","))))</f>
        <v>0.1</v>
      </c>
      <c r="Q581">
        <f>VALUE(TRIM(SUBSTITUTE(VentesMagasins!$J581,".",",")))</f>
        <v>650.70000000000005</v>
      </c>
      <c r="R581">
        <f t="shared" si="27"/>
        <v>585.63000000000011</v>
      </c>
      <c r="S581">
        <f>IF(VentesMagasins!$K581=1,(-1)*R581,R581)</f>
        <v>585.63000000000011</v>
      </c>
      <c r="T581">
        <f>IFERROR(VALUE(TRIM(SUBSTITUTE(VentesMagasins!$L581,".",","))),0)</f>
        <v>0</v>
      </c>
      <c r="U581">
        <f t="shared" si="28"/>
        <v>3</v>
      </c>
      <c r="V581" t="str">
        <f t="shared" si="29"/>
        <v>moyenne</v>
      </c>
      <c r="W581" t="str">
        <f>_xlfn.XLOOKUP(VentesMagasins!$B581,Clients!ClientID,Région)</f>
        <v>Centre</v>
      </c>
      <c r="X581" t="str">
        <f>INDEX(TypeClient,MATCH(VentesMagasins!$B581,Clients!ClientID))</f>
        <v>Occasionnel</v>
      </c>
      <c r="Y581" t="str">
        <v>oct</v>
      </c>
    </row>
    <row r="582" spans="1:25" x14ac:dyDescent="0.25">
      <c r="A582" s="2">
        <v>581</v>
      </c>
      <c r="B582" s="12" t="s">
        <v>266</v>
      </c>
      <c r="C582" s="13">
        <v>45586</v>
      </c>
      <c r="D582" s="12" t="s">
        <v>350</v>
      </c>
      <c r="E582" s="14" t="s">
        <v>339</v>
      </c>
      <c r="F582" s="12" t="s">
        <v>324</v>
      </c>
      <c r="G582" s="2">
        <v>3</v>
      </c>
      <c r="H582" s="3">
        <v>308</v>
      </c>
      <c r="I582" s="14" t="s">
        <v>342</v>
      </c>
      <c r="J582" s="12" t="s">
        <v>887</v>
      </c>
      <c r="K582" s="2">
        <v>0</v>
      </c>
      <c r="L582" s="12" t="s">
        <v>369</v>
      </c>
      <c r="M582">
        <f>YEAR(VentesMagasins!$C582)</f>
        <v>2024</v>
      </c>
      <c r="N582" t="e" cm="1" vm="1">
        <f t="array" aca="1" ref="N582" ca="1">MONTH(DateVente)</f>
        <v>#VALUE!</v>
      </c>
      <c r="O582" t="str">
        <f>PROPER(VentesMagasins!$F582)</f>
        <v>Électronique</v>
      </c>
      <c r="P582">
        <f>VALUE(CLEAN(TRIM(SUBSTITUTE(VentesMagasins!$I582,".",","))))</f>
        <v>0.05</v>
      </c>
      <c r="Q582">
        <f>VALUE(TRIM(SUBSTITUTE(VentesMagasins!$J582,".",",")))</f>
        <v>877.8</v>
      </c>
      <c r="R582">
        <f t="shared" si="27"/>
        <v>833.91</v>
      </c>
      <c r="S582">
        <f>IF(VentesMagasins!$K582=1,(-1)*R582,R582)</f>
        <v>833.91</v>
      </c>
      <c r="T582">
        <f>IFERROR(VALUE(TRIM(SUBSTITUTE(VentesMagasins!$L582,".",","))),0)</f>
        <v>1</v>
      </c>
      <c r="U582">
        <f t="shared" si="28"/>
        <v>1</v>
      </c>
      <c r="V582" t="str">
        <f t="shared" si="29"/>
        <v>faible</v>
      </c>
      <c r="W582" t="str">
        <f>_xlfn.XLOOKUP(VentesMagasins!$B582,Clients!ClientID,Région)</f>
        <v>Nord</v>
      </c>
      <c r="X582" t="str">
        <f>INDEX(TypeClient,MATCH(VentesMagasins!$B582,Clients!ClientID))</f>
        <v>Nouveau</v>
      </c>
      <c r="Y582" t="str">
        <v>oct</v>
      </c>
    </row>
    <row r="583" spans="1:25" x14ac:dyDescent="0.25">
      <c r="A583" s="2">
        <v>582</v>
      </c>
      <c r="B583" s="12" t="s">
        <v>273</v>
      </c>
      <c r="C583" s="13">
        <v>44927</v>
      </c>
      <c r="D583" s="12" t="s">
        <v>338</v>
      </c>
      <c r="E583" s="14" t="s">
        <v>364</v>
      </c>
      <c r="F583" s="12" t="s">
        <v>324</v>
      </c>
      <c r="G583" s="2">
        <v>2</v>
      </c>
      <c r="H583" s="3">
        <v>213</v>
      </c>
      <c r="I583" s="14" t="s">
        <v>325</v>
      </c>
      <c r="J583" s="12" t="s">
        <v>888</v>
      </c>
      <c r="K583" s="2">
        <v>0</v>
      </c>
      <c r="L583" s="12" t="s">
        <v>369</v>
      </c>
      <c r="M583">
        <f>YEAR(VentesMagasins!$C583)</f>
        <v>2023</v>
      </c>
      <c r="N583" t="e" cm="1" vm="1">
        <f t="array" aca="1" ref="N583" ca="1">MONTH(DateVente)</f>
        <v>#VALUE!</v>
      </c>
      <c r="O583" t="str">
        <f>PROPER(VentesMagasins!$F583)</f>
        <v>Électronique</v>
      </c>
      <c r="P583">
        <f>VALUE(CLEAN(TRIM(SUBSTITUTE(VentesMagasins!$I583,".",","))))</f>
        <v>0.15</v>
      </c>
      <c r="Q583">
        <f>VALUE(TRIM(SUBSTITUTE(VentesMagasins!$J583,".",",")))</f>
        <v>362.099999999999</v>
      </c>
      <c r="R583">
        <f t="shared" si="27"/>
        <v>307.78499999999912</v>
      </c>
      <c r="S583">
        <f>IF(VentesMagasins!$K583=1,(-1)*R583,R583)</f>
        <v>307.78499999999912</v>
      </c>
      <c r="T583">
        <f>IFERROR(VALUE(TRIM(SUBSTITUTE(VentesMagasins!$L583,".",","))),0)</f>
        <v>1</v>
      </c>
      <c r="U583">
        <f t="shared" si="28"/>
        <v>1</v>
      </c>
      <c r="V583" t="str">
        <f t="shared" si="29"/>
        <v>faible</v>
      </c>
      <c r="W583" t="str">
        <f>_xlfn.XLOOKUP(VentesMagasins!$B583,Clients!ClientID,Région)</f>
        <v>Nord</v>
      </c>
      <c r="X583" t="str">
        <f>INDEX(TypeClient,MATCH(VentesMagasins!$B583,Clients!ClientID))</f>
        <v>Occasionnel</v>
      </c>
      <c r="Y583" t="str">
        <v>janv</v>
      </c>
    </row>
    <row r="584" spans="1:25" x14ac:dyDescent="0.25">
      <c r="A584" s="2">
        <v>583</v>
      </c>
      <c r="B584" s="12" t="s">
        <v>68</v>
      </c>
      <c r="C584" s="13">
        <v>45655</v>
      </c>
      <c r="D584" s="12" t="s">
        <v>328</v>
      </c>
      <c r="E584" s="14" t="s">
        <v>334</v>
      </c>
      <c r="F584" s="12" t="s">
        <v>341</v>
      </c>
      <c r="G584" s="2">
        <v>2</v>
      </c>
      <c r="H584" s="3">
        <v>275</v>
      </c>
      <c r="I584" s="14" t="s">
        <v>342</v>
      </c>
      <c r="J584" s="12" t="s">
        <v>889</v>
      </c>
      <c r="K584" s="2">
        <v>0</v>
      </c>
      <c r="L584" s="12" t="s">
        <v>332</v>
      </c>
      <c r="M584">
        <f>YEAR(VentesMagasins!$C584)</f>
        <v>2024</v>
      </c>
      <c r="N584" t="e" cm="1" vm="1">
        <f t="array" aca="1" ref="N584" ca="1">MONTH(DateVente)</f>
        <v>#VALUE!</v>
      </c>
      <c r="O584" t="str">
        <f>PROPER(VentesMagasins!$F584)</f>
        <v>Meuble</v>
      </c>
      <c r="P584">
        <f>VALUE(CLEAN(TRIM(SUBSTITUTE(VentesMagasins!$I584,".",","))))</f>
        <v>0.05</v>
      </c>
      <c r="Q584">
        <f>VALUE(TRIM(SUBSTITUTE(VentesMagasins!$J584,".",",")))</f>
        <v>522.5</v>
      </c>
      <c r="R584">
        <f t="shared" si="27"/>
        <v>496.375</v>
      </c>
      <c r="S584">
        <f>IF(VentesMagasins!$K584=1,(-1)*R584,R584)</f>
        <v>496.375</v>
      </c>
      <c r="T584">
        <f>IFERROR(VALUE(TRIM(SUBSTITUTE(VentesMagasins!$L584,".",","))),0)</f>
        <v>4</v>
      </c>
      <c r="U584">
        <f t="shared" si="28"/>
        <v>4</v>
      </c>
      <c r="V584" t="str">
        <f t="shared" si="29"/>
        <v>moyenne</v>
      </c>
      <c r="W584" t="str">
        <f>_xlfn.XLOOKUP(VentesMagasins!$B584,Clients!ClientID,Région)</f>
        <v>Nord</v>
      </c>
      <c r="X584" t="str">
        <f>INDEX(TypeClient,MATCH(VentesMagasins!$B584,Clients!ClientID))</f>
        <v>Occasionnel</v>
      </c>
      <c r="Y584" t="str">
        <v>déc</v>
      </c>
    </row>
    <row r="585" spans="1:25" x14ac:dyDescent="0.25">
      <c r="A585" s="2">
        <v>584</v>
      </c>
      <c r="B585" s="12" t="s">
        <v>284</v>
      </c>
      <c r="C585" s="13">
        <v>45199</v>
      </c>
      <c r="D585" s="12" t="s">
        <v>350</v>
      </c>
      <c r="E585" s="14" t="s">
        <v>348</v>
      </c>
      <c r="F585" s="12" t="s">
        <v>330</v>
      </c>
      <c r="G585" s="2">
        <v>1</v>
      </c>
      <c r="H585" s="3">
        <v>483</v>
      </c>
      <c r="I585" s="14" t="s">
        <v>342</v>
      </c>
      <c r="J585" s="12" t="s">
        <v>890</v>
      </c>
      <c r="K585" s="2">
        <v>0</v>
      </c>
      <c r="L585" s="12" t="s">
        <v>332</v>
      </c>
      <c r="M585">
        <f>YEAR(VentesMagasins!$C585)</f>
        <v>2023</v>
      </c>
      <c r="N585" t="e" cm="1" vm="1">
        <f t="array" aca="1" ref="N585" ca="1">MONTH(DateVente)</f>
        <v>#VALUE!</v>
      </c>
      <c r="O585" t="str">
        <f>PROPER(VentesMagasins!$F585)</f>
        <v>Décoration</v>
      </c>
      <c r="P585">
        <f>VALUE(CLEAN(TRIM(SUBSTITUTE(VentesMagasins!$I585,".",","))))</f>
        <v>0.05</v>
      </c>
      <c r="Q585">
        <f>VALUE(TRIM(SUBSTITUTE(VentesMagasins!$J585,".",",")))</f>
        <v>458.849999999999</v>
      </c>
      <c r="R585">
        <f t="shared" si="27"/>
        <v>435.907499999999</v>
      </c>
      <c r="S585">
        <f>IF(VentesMagasins!$K585=1,(-1)*R585,R585)</f>
        <v>435.907499999999</v>
      </c>
      <c r="T585">
        <f>IFERROR(VALUE(TRIM(SUBSTITUTE(VentesMagasins!$L585,".",","))),0)</f>
        <v>4</v>
      </c>
      <c r="U585">
        <f t="shared" si="28"/>
        <v>4</v>
      </c>
      <c r="V585" t="str">
        <f t="shared" si="29"/>
        <v>moyenne</v>
      </c>
      <c r="W585" t="str">
        <f>_xlfn.XLOOKUP(VentesMagasins!$B585,Clients!ClientID,Région)</f>
        <v>Ouest</v>
      </c>
      <c r="X585" t="str">
        <f>INDEX(TypeClient,MATCH(VentesMagasins!$B585,Clients!ClientID))</f>
        <v>Fidèle</v>
      </c>
      <c r="Y585" t="str">
        <v>sept</v>
      </c>
    </row>
    <row r="586" spans="1:25" x14ac:dyDescent="0.25">
      <c r="A586" s="2">
        <v>585</v>
      </c>
      <c r="B586" s="12" t="s">
        <v>42</v>
      </c>
      <c r="C586" s="13">
        <v>45626</v>
      </c>
      <c r="D586" s="12" t="s">
        <v>322</v>
      </c>
      <c r="E586" s="14" t="s">
        <v>323</v>
      </c>
      <c r="F586" s="12" t="s">
        <v>341</v>
      </c>
      <c r="G586" s="2">
        <v>5</v>
      </c>
      <c r="H586" s="3">
        <v>93</v>
      </c>
      <c r="I586" s="14" t="s">
        <v>342</v>
      </c>
      <c r="J586" s="12" t="s">
        <v>891</v>
      </c>
      <c r="K586" s="2">
        <v>0</v>
      </c>
      <c r="L586" s="12" t="s">
        <v>352</v>
      </c>
      <c r="M586">
        <f>YEAR(VentesMagasins!$C586)</f>
        <v>2024</v>
      </c>
      <c r="N586" t="e" cm="1" vm="1">
        <f t="array" aca="1" ref="N586" ca="1">MONTH(DateVente)</f>
        <v>#VALUE!</v>
      </c>
      <c r="O586" t="str">
        <f>PROPER(VentesMagasins!$F586)</f>
        <v>Meuble</v>
      </c>
      <c r="P586">
        <f>VALUE(CLEAN(TRIM(SUBSTITUTE(VentesMagasins!$I586,".",","))))</f>
        <v>0.05</v>
      </c>
      <c r="Q586">
        <f>VALUE(TRIM(SUBSTITUTE(VentesMagasins!$J586,".",",")))</f>
        <v>441.75</v>
      </c>
      <c r="R586">
        <f t="shared" si="27"/>
        <v>419.66249999999997</v>
      </c>
      <c r="S586">
        <f>IF(VentesMagasins!$K586=1,(-1)*R586,R586)</f>
        <v>419.66249999999997</v>
      </c>
      <c r="T586">
        <f>IFERROR(VALUE(TRIM(SUBSTITUTE(VentesMagasins!$L586,".",","))),0)</f>
        <v>0</v>
      </c>
      <c r="U586">
        <f t="shared" si="28"/>
        <v>3</v>
      </c>
      <c r="V586" t="str">
        <f t="shared" si="29"/>
        <v>moyenne</v>
      </c>
      <c r="W586" t="str">
        <f>_xlfn.XLOOKUP(VentesMagasins!$B586,Clients!ClientID,Région)</f>
        <v>Ouest</v>
      </c>
      <c r="X586" t="str">
        <f>INDEX(TypeClient,MATCH(VentesMagasins!$B586,Clients!ClientID))</f>
        <v>Occasionnel</v>
      </c>
      <c r="Y586" t="str">
        <v>nov</v>
      </c>
    </row>
    <row r="587" spans="1:25" x14ac:dyDescent="0.25">
      <c r="A587" s="2">
        <v>586</v>
      </c>
      <c r="B587" s="12" t="s">
        <v>208</v>
      </c>
      <c r="C587" s="13">
        <v>45136</v>
      </c>
      <c r="D587" s="12" t="s">
        <v>350</v>
      </c>
      <c r="E587" s="14" t="s">
        <v>334</v>
      </c>
      <c r="F587" s="12" t="s">
        <v>324</v>
      </c>
      <c r="G587" s="2">
        <v>5</v>
      </c>
      <c r="H587" s="3">
        <v>412</v>
      </c>
      <c r="I587" s="14" t="s">
        <v>325</v>
      </c>
      <c r="J587" s="12" t="s">
        <v>892</v>
      </c>
      <c r="K587" s="2">
        <v>1</v>
      </c>
      <c r="L587" s="12" t="s">
        <v>332</v>
      </c>
      <c r="M587">
        <f>YEAR(VentesMagasins!$C587)</f>
        <v>2023</v>
      </c>
      <c r="N587" t="e" cm="1" vm="1">
        <f t="array" aca="1" ref="N587" ca="1">MONTH(DateVente)</f>
        <v>#VALUE!</v>
      </c>
      <c r="O587" t="str">
        <f>PROPER(VentesMagasins!$F587)</f>
        <v>Électronique</v>
      </c>
      <c r="P587">
        <f>VALUE(CLEAN(TRIM(SUBSTITUTE(VentesMagasins!$I587,".",","))))</f>
        <v>0.15</v>
      </c>
      <c r="Q587">
        <f>VALUE(TRIM(SUBSTITUTE(VentesMagasins!$J587,".",",")))</f>
        <v>1751</v>
      </c>
      <c r="R587">
        <f t="shared" si="27"/>
        <v>1488.35</v>
      </c>
      <c r="S587">
        <f>IF(VentesMagasins!$K587=1,(-1)*R587,R587)</f>
        <v>-1488.35</v>
      </c>
      <c r="T587">
        <f>IFERROR(VALUE(TRIM(SUBSTITUTE(VentesMagasins!$L587,".",","))),0)</f>
        <v>4</v>
      </c>
      <c r="U587">
        <f t="shared" si="28"/>
        <v>4</v>
      </c>
      <c r="V587" t="str">
        <f t="shared" si="29"/>
        <v>moyenne</v>
      </c>
      <c r="W587" t="str">
        <f>_xlfn.XLOOKUP(VentesMagasins!$B587,Clients!ClientID,Région)</f>
        <v>Nord</v>
      </c>
      <c r="X587" t="str">
        <f>INDEX(TypeClient,MATCH(VentesMagasins!$B587,Clients!ClientID))</f>
        <v>Fidèle</v>
      </c>
      <c r="Y587" t="str">
        <v>juil</v>
      </c>
    </row>
    <row r="588" spans="1:25" x14ac:dyDescent="0.25">
      <c r="A588" s="2">
        <v>587</v>
      </c>
      <c r="B588" s="12" t="s">
        <v>195</v>
      </c>
      <c r="C588" s="13">
        <v>45699</v>
      </c>
      <c r="D588" s="12" t="s">
        <v>350</v>
      </c>
      <c r="E588" s="14" t="s">
        <v>334</v>
      </c>
      <c r="F588" s="12" t="s">
        <v>330</v>
      </c>
      <c r="G588" s="2">
        <v>1</v>
      </c>
      <c r="H588" s="3">
        <v>39</v>
      </c>
      <c r="I588" s="14" t="s">
        <v>355</v>
      </c>
      <c r="J588" s="12" t="s">
        <v>893</v>
      </c>
      <c r="K588" s="2">
        <v>0</v>
      </c>
      <c r="L588" s="12" t="s">
        <v>352</v>
      </c>
      <c r="M588">
        <f>YEAR(VentesMagasins!$C588)</f>
        <v>2025</v>
      </c>
      <c r="N588" t="e" cm="1" vm="1">
        <f t="array" aca="1" ref="N588" ca="1">MONTH(DateVente)</f>
        <v>#VALUE!</v>
      </c>
      <c r="O588" t="str">
        <f>PROPER(VentesMagasins!$F588)</f>
        <v>Décoration</v>
      </c>
      <c r="P588">
        <f>VALUE(CLEAN(TRIM(SUBSTITUTE(VentesMagasins!$I588,".",","))))</f>
        <v>0.1</v>
      </c>
      <c r="Q588">
        <f>VALUE(TRIM(SUBSTITUTE(VentesMagasins!$J588,".",",")))</f>
        <v>35.1</v>
      </c>
      <c r="R588">
        <f t="shared" si="27"/>
        <v>31.590000000000003</v>
      </c>
      <c r="S588">
        <f>IF(VentesMagasins!$K588=1,(-1)*R588,R588)</f>
        <v>31.590000000000003</v>
      </c>
      <c r="T588">
        <f>IFERROR(VALUE(TRIM(SUBSTITUTE(VentesMagasins!$L588,".",","))),0)</f>
        <v>0</v>
      </c>
      <c r="U588">
        <f t="shared" si="28"/>
        <v>3</v>
      </c>
      <c r="V588" t="str">
        <f t="shared" si="29"/>
        <v>moyenne</v>
      </c>
      <c r="W588" t="str">
        <f>_xlfn.XLOOKUP(VentesMagasins!$B588,Clients!ClientID,Région)</f>
        <v>Ouest</v>
      </c>
      <c r="X588" t="str">
        <f>INDEX(TypeClient,MATCH(VentesMagasins!$B588,Clients!ClientID))</f>
        <v>Occasionnel</v>
      </c>
      <c r="Y588" t="str">
        <v>févr</v>
      </c>
    </row>
    <row r="589" spans="1:25" x14ac:dyDescent="0.25">
      <c r="A589" s="2">
        <v>588</v>
      </c>
      <c r="B589" s="12" t="s">
        <v>277</v>
      </c>
      <c r="C589" s="13">
        <v>45922</v>
      </c>
      <c r="D589" s="12" t="s">
        <v>350</v>
      </c>
      <c r="E589" s="14" t="s">
        <v>334</v>
      </c>
      <c r="F589" s="12" t="s">
        <v>341</v>
      </c>
      <c r="G589" s="2">
        <v>4</v>
      </c>
      <c r="H589" s="3">
        <v>78</v>
      </c>
      <c r="I589" s="14" t="s">
        <v>325</v>
      </c>
      <c r="J589" s="12" t="s">
        <v>894</v>
      </c>
      <c r="K589" s="2">
        <v>1</v>
      </c>
      <c r="L589" s="12" t="s">
        <v>369</v>
      </c>
      <c r="M589">
        <f>YEAR(VentesMagasins!$C589)</f>
        <v>2025</v>
      </c>
      <c r="N589" t="e" cm="1" vm="1">
        <f t="array" aca="1" ref="N589" ca="1">MONTH(DateVente)</f>
        <v>#VALUE!</v>
      </c>
      <c r="O589" t="str">
        <f>PROPER(VentesMagasins!$F589)</f>
        <v>Meuble</v>
      </c>
      <c r="P589">
        <f>VALUE(CLEAN(TRIM(SUBSTITUTE(VentesMagasins!$I589,".",","))))</f>
        <v>0.15</v>
      </c>
      <c r="Q589">
        <f>VALUE(TRIM(SUBSTITUTE(VentesMagasins!$J589,".",",")))</f>
        <v>265.2</v>
      </c>
      <c r="R589">
        <f t="shared" si="27"/>
        <v>225.42</v>
      </c>
      <c r="S589">
        <f>IF(VentesMagasins!$K589=1,(-1)*R589,R589)</f>
        <v>-225.42</v>
      </c>
      <c r="T589">
        <f>IFERROR(VALUE(TRIM(SUBSTITUTE(VentesMagasins!$L589,".",","))),0)</f>
        <v>1</v>
      </c>
      <c r="U589">
        <f t="shared" si="28"/>
        <v>1</v>
      </c>
      <c r="V589" t="str">
        <f t="shared" si="29"/>
        <v>faible</v>
      </c>
      <c r="W589" t="str">
        <f>_xlfn.XLOOKUP(VentesMagasins!$B589,Clients!ClientID,Région)</f>
        <v>Ouest</v>
      </c>
      <c r="X589" t="str">
        <f>INDEX(TypeClient,MATCH(VentesMagasins!$B589,Clients!ClientID))</f>
        <v>Fidèle</v>
      </c>
      <c r="Y589" t="str">
        <v>sept</v>
      </c>
    </row>
    <row r="590" spans="1:25" x14ac:dyDescent="0.25">
      <c r="A590" s="2">
        <v>589</v>
      </c>
      <c r="B590" s="12" t="s">
        <v>29</v>
      </c>
      <c r="C590" s="13">
        <v>45725</v>
      </c>
      <c r="D590" s="12" t="s">
        <v>425</v>
      </c>
      <c r="E590" s="14" t="s">
        <v>362</v>
      </c>
      <c r="F590" s="12" t="s">
        <v>330</v>
      </c>
      <c r="G590" s="2">
        <v>2</v>
      </c>
      <c r="H590" s="3">
        <v>303</v>
      </c>
      <c r="I590" s="14" t="s">
        <v>325</v>
      </c>
      <c r="J590" s="12" t="s">
        <v>895</v>
      </c>
      <c r="K590" s="2">
        <v>1</v>
      </c>
      <c r="L590" s="12" t="s">
        <v>344</v>
      </c>
      <c r="M590">
        <f>YEAR(VentesMagasins!$C590)</f>
        <v>2025</v>
      </c>
      <c r="N590" t="e" cm="1" vm="1">
        <f t="array" aca="1" ref="N590" ca="1">MONTH(DateVente)</f>
        <v>#VALUE!</v>
      </c>
      <c r="O590" t="str">
        <f>PROPER(VentesMagasins!$F590)</f>
        <v>Décoration</v>
      </c>
      <c r="P590">
        <f>VALUE(CLEAN(TRIM(SUBSTITUTE(VentesMagasins!$I590,".",","))))</f>
        <v>0.15</v>
      </c>
      <c r="Q590">
        <f>VALUE(TRIM(SUBSTITUTE(VentesMagasins!$J590,".",",")))</f>
        <v>515.1</v>
      </c>
      <c r="R590">
        <f t="shared" si="27"/>
        <v>437.83499999999998</v>
      </c>
      <c r="S590">
        <f>IF(VentesMagasins!$K590=1,(-1)*R590,R590)</f>
        <v>-437.83499999999998</v>
      </c>
      <c r="T590">
        <f>IFERROR(VALUE(TRIM(SUBSTITUTE(VentesMagasins!$L590,".",","))),0)</f>
        <v>2</v>
      </c>
      <c r="U590">
        <f t="shared" si="28"/>
        <v>2</v>
      </c>
      <c r="V590" t="str">
        <f t="shared" si="29"/>
        <v>faible</v>
      </c>
      <c r="W590" t="str">
        <f>_xlfn.XLOOKUP(VentesMagasins!$B590,Clients!ClientID,Région)</f>
        <v>Centre</v>
      </c>
      <c r="X590" t="str">
        <f>INDEX(TypeClient,MATCH(VentesMagasins!$B590,Clients!ClientID))</f>
        <v>Fidèle</v>
      </c>
      <c r="Y590" t="str">
        <v>mars</v>
      </c>
    </row>
    <row r="591" spans="1:25" x14ac:dyDescent="0.25">
      <c r="A591" s="2">
        <v>590</v>
      </c>
      <c r="B591" s="12" t="s">
        <v>84</v>
      </c>
      <c r="C591" s="13">
        <v>45595</v>
      </c>
      <c r="D591" s="12" t="s">
        <v>328</v>
      </c>
      <c r="E591" s="14" t="s">
        <v>348</v>
      </c>
      <c r="F591" s="12" t="s">
        <v>330</v>
      </c>
      <c r="G591" s="2">
        <v>5</v>
      </c>
      <c r="H591" s="3">
        <v>460</v>
      </c>
      <c r="I591" s="14" t="s">
        <v>335</v>
      </c>
      <c r="J591" s="12" t="s">
        <v>896</v>
      </c>
      <c r="K591" s="2">
        <v>0</v>
      </c>
      <c r="L591" s="12" t="s">
        <v>344</v>
      </c>
      <c r="M591">
        <f>YEAR(VentesMagasins!$C591)</f>
        <v>2024</v>
      </c>
      <c r="N591" t="e" cm="1" vm="1">
        <f t="array" aca="1" ref="N591" ca="1">MONTH(DateVente)</f>
        <v>#VALUE!</v>
      </c>
      <c r="O591" t="str">
        <f>PROPER(VentesMagasins!$F591)</f>
        <v>Décoration</v>
      </c>
      <c r="P591">
        <f>VALUE(CLEAN(TRIM(SUBSTITUTE(VentesMagasins!$I591,".",","))))</f>
        <v>0</v>
      </c>
      <c r="Q591">
        <f>VALUE(TRIM(SUBSTITUTE(VentesMagasins!$J591,".",",")))</f>
        <v>2300</v>
      </c>
      <c r="R591">
        <f t="shared" si="27"/>
        <v>2300</v>
      </c>
      <c r="S591">
        <f>IF(VentesMagasins!$K591=1,(-1)*R591,R591)</f>
        <v>2300</v>
      </c>
      <c r="T591">
        <f>IFERROR(VALUE(TRIM(SUBSTITUTE(VentesMagasins!$L591,".",","))),0)</f>
        <v>2</v>
      </c>
      <c r="U591">
        <f t="shared" si="28"/>
        <v>2</v>
      </c>
      <c r="V591" t="str">
        <f t="shared" si="29"/>
        <v>faible</v>
      </c>
      <c r="W591" t="str">
        <f>_xlfn.XLOOKUP(VentesMagasins!$B591,Clients!ClientID,Région)</f>
        <v>Sud</v>
      </c>
      <c r="X591" t="str">
        <f>INDEX(TypeClient,MATCH(VentesMagasins!$B591,Clients!ClientID))</f>
        <v>Occasionnel</v>
      </c>
      <c r="Y591" t="str">
        <v>oct</v>
      </c>
    </row>
    <row r="592" spans="1:25" x14ac:dyDescent="0.25">
      <c r="A592" s="2">
        <v>591</v>
      </c>
      <c r="B592" s="12" t="s">
        <v>143</v>
      </c>
      <c r="C592" s="13">
        <v>45623</v>
      </c>
      <c r="D592" s="12" t="s">
        <v>322</v>
      </c>
      <c r="E592" s="14" t="s">
        <v>329</v>
      </c>
      <c r="F592" s="12" t="s">
        <v>341</v>
      </c>
      <c r="G592" s="2">
        <v>5</v>
      </c>
      <c r="H592" s="3">
        <v>137</v>
      </c>
      <c r="I592" s="14" t="s">
        <v>325</v>
      </c>
      <c r="J592" s="12" t="s">
        <v>764</v>
      </c>
      <c r="K592" s="2">
        <v>1</v>
      </c>
      <c r="L592" s="12" t="s">
        <v>327</v>
      </c>
      <c r="M592">
        <f>YEAR(VentesMagasins!$C592)</f>
        <v>2024</v>
      </c>
      <c r="N592" t="e" cm="1" vm="1">
        <f t="array" aca="1" ref="N592" ca="1">MONTH(DateVente)</f>
        <v>#VALUE!</v>
      </c>
      <c r="O592" t="str">
        <f>PROPER(VentesMagasins!$F592)</f>
        <v>Meuble</v>
      </c>
      <c r="P592">
        <f>VALUE(CLEAN(TRIM(SUBSTITUTE(VentesMagasins!$I592,".",","))))</f>
        <v>0.15</v>
      </c>
      <c r="Q592">
        <f>VALUE(TRIM(SUBSTITUTE(VentesMagasins!$J592,".",",")))</f>
        <v>582.25</v>
      </c>
      <c r="R592">
        <f t="shared" si="27"/>
        <v>494.91249999999997</v>
      </c>
      <c r="S592">
        <f>IF(VentesMagasins!$K592=1,(-1)*R592,R592)</f>
        <v>-494.91249999999997</v>
      </c>
      <c r="T592">
        <f>IFERROR(VALUE(TRIM(SUBSTITUTE(VentesMagasins!$L592,".",","))),0)</f>
        <v>5</v>
      </c>
      <c r="U592">
        <f t="shared" si="28"/>
        <v>5</v>
      </c>
      <c r="V592" t="str">
        <f t="shared" si="29"/>
        <v>élévé</v>
      </c>
      <c r="W592" t="str">
        <f>_xlfn.XLOOKUP(VentesMagasins!$B592,Clients!ClientID,Région)</f>
        <v>Nord</v>
      </c>
      <c r="X592" t="str">
        <f>INDEX(TypeClient,MATCH(VentesMagasins!$B592,Clients!ClientID))</f>
        <v>Fidèle</v>
      </c>
      <c r="Y592" t="str">
        <v>nov</v>
      </c>
    </row>
    <row r="593" spans="1:25" x14ac:dyDescent="0.25">
      <c r="A593" s="2">
        <v>592</v>
      </c>
      <c r="B593" s="12" t="s">
        <v>70</v>
      </c>
      <c r="C593" s="13">
        <v>44973</v>
      </c>
      <c r="D593" s="12" t="s">
        <v>338</v>
      </c>
      <c r="E593" s="14" t="s">
        <v>323</v>
      </c>
      <c r="F593" s="12" t="s">
        <v>341</v>
      </c>
      <c r="G593" s="2">
        <v>1</v>
      </c>
      <c r="H593" s="3">
        <v>74</v>
      </c>
      <c r="I593" s="14" t="s">
        <v>355</v>
      </c>
      <c r="J593" s="12" t="s">
        <v>897</v>
      </c>
      <c r="K593" s="2">
        <v>0</v>
      </c>
      <c r="L593" s="12" t="s">
        <v>369</v>
      </c>
      <c r="M593">
        <f>YEAR(VentesMagasins!$C593)</f>
        <v>2023</v>
      </c>
      <c r="N593" t="e" cm="1" vm="1">
        <f t="array" aca="1" ref="N593" ca="1">MONTH(DateVente)</f>
        <v>#VALUE!</v>
      </c>
      <c r="O593" t="str">
        <f>PROPER(VentesMagasins!$F593)</f>
        <v>Meuble</v>
      </c>
      <c r="P593">
        <f>VALUE(CLEAN(TRIM(SUBSTITUTE(VentesMagasins!$I593,".",","))))</f>
        <v>0.1</v>
      </c>
      <c r="Q593">
        <f>VALUE(TRIM(SUBSTITUTE(VentesMagasins!$J593,".",",")))</f>
        <v>66.599999999999994</v>
      </c>
      <c r="R593">
        <f t="shared" si="27"/>
        <v>59.94</v>
      </c>
      <c r="S593">
        <f>IF(VentesMagasins!$K593=1,(-1)*R593,R593)</f>
        <v>59.94</v>
      </c>
      <c r="T593">
        <f>IFERROR(VALUE(TRIM(SUBSTITUTE(VentesMagasins!$L593,".",","))),0)</f>
        <v>1</v>
      </c>
      <c r="U593">
        <f t="shared" si="28"/>
        <v>1</v>
      </c>
      <c r="V593" t="str">
        <f t="shared" si="29"/>
        <v>faible</v>
      </c>
      <c r="W593" t="str">
        <f>_xlfn.XLOOKUP(VentesMagasins!$B593,Clients!ClientID,Région)</f>
        <v>Ouest</v>
      </c>
      <c r="X593" t="str">
        <f>INDEX(TypeClient,MATCH(VentesMagasins!$B593,Clients!ClientID))</f>
        <v>Nouveau</v>
      </c>
      <c r="Y593" t="str">
        <v>févr</v>
      </c>
    </row>
    <row r="594" spans="1:25" x14ac:dyDescent="0.25">
      <c r="A594" s="2">
        <v>593</v>
      </c>
      <c r="B594" s="12" t="s">
        <v>90</v>
      </c>
      <c r="C594" s="13">
        <v>45457</v>
      </c>
      <c r="D594" s="12" t="s">
        <v>333</v>
      </c>
      <c r="E594" s="14" t="s">
        <v>323</v>
      </c>
      <c r="F594" s="12" t="s">
        <v>324</v>
      </c>
      <c r="G594" s="2">
        <v>4</v>
      </c>
      <c r="H594" s="3">
        <v>311</v>
      </c>
      <c r="I594" s="14" t="s">
        <v>325</v>
      </c>
      <c r="J594" s="12" t="s">
        <v>898</v>
      </c>
      <c r="K594" s="2">
        <v>0</v>
      </c>
      <c r="L594" s="12" t="s">
        <v>344</v>
      </c>
      <c r="M594">
        <f>YEAR(VentesMagasins!$C594)</f>
        <v>2024</v>
      </c>
      <c r="N594" t="e" cm="1" vm="1">
        <f t="array" aca="1" ref="N594" ca="1">MONTH(DateVente)</f>
        <v>#VALUE!</v>
      </c>
      <c r="O594" t="str">
        <f>PROPER(VentesMagasins!$F594)</f>
        <v>Électronique</v>
      </c>
      <c r="P594">
        <f>VALUE(CLEAN(TRIM(SUBSTITUTE(VentesMagasins!$I594,".",","))))</f>
        <v>0.15</v>
      </c>
      <c r="Q594">
        <f>VALUE(TRIM(SUBSTITUTE(VentesMagasins!$J594,".",",")))</f>
        <v>1057.3999999999901</v>
      </c>
      <c r="R594">
        <f t="shared" si="27"/>
        <v>898.78999999999155</v>
      </c>
      <c r="S594">
        <f>IF(VentesMagasins!$K594=1,(-1)*R594,R594)</f>
        <v>898.78999999999155</v>
      </c>
      <c r="T594">
        <f>IFERROR(VALUE(TRIM(SUBSTITUTE(VentesMagasins!$L594,".",","))),0)</f>
        <v>2</v>
      </c>
      <c r="U594">
        <f t="shared" si="28"/>
        <v>2</v>
      </c>
      <c r="V594" t="str">
        <f t="shared" si="29"/>
        <v>faible</v>
      </c>
      <c r="W594" t="str">
        <f>_xlfn.XLOOKUP(VentesMagasins!$B594,Clients!ClientID,Région)</f>
        <v>Est</v>
      </c>
      <c r="X594" t="str">
        <f>INDEX(TypeClient,MATCH(VentesMagasins!$B594,Clients!ClientID))</f>
        <v>Fidèle</v>
      </c>
      <c r="Y594" t="str">
        <v>juin</v>
      </c>
    </row>
    <row r="595" spans="1:25" x14ac:dyDescent="0.25">
      <c r="A595" s="2">
        <v>594</v>
      </c>
      <c r="B595" s="12" t="s">
        <v>87</v>
      </c>
      <c r="C595" s="13">
        <v>44935</v>
      </c>
      <c r="D595" s="12" t="s">
        <v>350</v>
      </c>
      <c r="E595" s="14" t="s">
        <v>323</v>
      </c>
      <c r="F595" s="12" t="s">
        <v>324</v>
      </c>
      <c r="G595" s="2">
        <v>4</v>
      </c>
      <c r="H595" s="3">
        <v>131</v>
      </c>
      <c r="I595" s="14" t="s">
        <v>335</v>
      </c>
      <c r="J595" s="12" t="s">
        <v>899</v>
      </c>
      <c r="K595" s="2">
        <v>0</v>
      </c>
      <c r="L595" s="12" t="s">
        <v>344</v>
      </c>
      <c r="M595">
        <f>YEAR(VentesMagasins!$C595)</f>
        <v>2023</v>
      </c>
      <c r="N595" t="e" cm="1" vm="1">
        <f t="array" aca="1" ref="N595" ca="1">MONTH(DateVente)</f>
        <v>#VALUE!</v>
      </c>
      <c r="O595" t="str">
        <f>PROPER(VentesMagasins!$F595)</f>
        <v>Électronique</v>
      </c>
      <c r="P595">
        <f>VALUE(CLEAN(TRIM(SUBSTITUTE(VentesMagasins!$I595,".",","))))</f>
        <v>0</v>
      </c>
      <c r="Q595">
        <f>VALUE(TRIM(SUBSTITUTE(VentesMagasins!$J595,".",",")))</f>
        <v>524</v>
      </c>
      <c r="R595">
        <f t="shared" si="27"/>
        <v>524</v>
      </c>
      <c r="S595">
        <f>IF(VentesMagasins!$K595=1,(-1)*R595,R595)</f>
        <v>524</v>
      </c>
      <c r="T595">
        <f>IFERROR(VALUE(TRIM(SUBSTITUTE(VentesMagasins!$L595,".",","))),0)</f>
        <v>2</v>
      </c>
      <c r="U595">
        <f t="shared" si="28"/>
        <v>2</v>
      </c>
      <c r="V595" t="str">
        <f t="shared" si="29"/>
        <v>faible</v>
      </c>
      <c r="W595" t="str">
        <f>_xlfn.XLOOKUP(VentesMagasins!$B595,Clients!ClientID,Région)</f>
        <v>Ouest</v>
      </c>
      <c r="X595" t="str">
        <f>INDEX(TypeClient,MATCH(VentesMagasins!$B595,Clients!ClientID))</f>
        <v>Occasionnel</v>
      </c>
      <c r="Y595" t="str">
        <v>janv</v>
      </c>
    </row>
    <row r="596" spans="1:25" x14ac:dyDescent="0.25">
      <c r="A596" s="2">
        <v>595</v>
      </c>
      <c r="B596" s="12" t="s">
        <v>238</v>
      </c>
      <c r="C596" s="13">
        <v>45431</v>
      </c>
      <c r="D596" s="12" t="s">
        <v>328</v>
      </c>
      <c r="E596" s="14" t="s">
        <v>334</v>
      </c>
      <c r="F596" s="12" t="s">
        <v>330</v>
      </c>
      <c r="G596" s="2">
        <v>4</v>
      </c>
      <c r="H596" s="3">
        <v>126</v>
      </c>
      <c r="I596" s="14" t="s">
        <v>342</v>
      </c>
      <c r="J596" s="12" t="s">
        <v>900</v>
      </c>
      <c r="K596" s="2">
        <v>1</v>
      </c>
      <c r="L596" s="12" t="s">
        <v>369</v>
      </c>
      <c r="M596">
        <f>YEAR(VentesMagasins!$C596)</f>
        <v>2024</v>
      </c>
      <c r="N596" t="e" cm="1" vm="1">
        <f t="array" aca="1" ref="N596" ca="1">MONTH(DateVente)</f>
        <v>#VALUE!</v>
      </c>
      <c r="O596" t="str">
        <f>PROPER(VentesMagasins!$F596)</f>
        <v>Décoration</v>
      </c>
      <c r="P596">
        <f>VALUE(CLEAN(TRIM(SUBSTITUTE(VentesMagasins!$I596,".",","))))</f>
        <v>0.05</v>
      </c>
      <c r="Q596">
        <f>VALUE(TRIM(SUBSTITUTE(VentesMagasins!$J596,".",",")))</f>
        <v>478.79999999999899</v>
      </c>
      <c r="R596">
        <f t="shared" si="27"/>
        <v>454.85999999999899</v>
      </c>
      <c r="S596">
        <f>IF(VentesMagasins!$K596=1,(-1)*R596,R596)</f>
        <v>-454.85999999999899</v>
      </c>
      <c r="T596">
        <f>IFERROR(VALUE(TRIM(SUBSTITUTE(VentesMagasins!$L596,".",","))),0)</f>
        <v>1</v>
      </c>
      <c r="U596">
        <f t="shared" si="28"/>
        <v>1</v>
      </c>
      <c r="V596" t="str">
        <f t="shared" si="29"/>
        <v>faible</v>
      </c>
      <c r="W596" t="str">
        <f>_xlfn.XLOOKUP(VentesMagasins!$B596,Clients!ClientID,Région)</f>
        <v>Centre</v>
      </c>
      <c r="X596" t="str">
        <f>INDEX(TypeClient,MATCH(VentesMagasins!$B596,Clients!ClientID))</f>
        <v>Occasionnel</v>
      </c>
      <c r="Y596" t="str">
        <v>mai</v>
      </c>
    </row>
    <row r="597" spans="1:25" x14ac:dyDescent="0.25">
      <c r="A597" s="2">
        <v>596</v>
      </c>
      <c r="B597" s="12" t="s">
        <v>30</v>
      </c>
      <c r="C597" s="13">
        <v>45361</v>
      </c>
      <c r="D597" s="12" t="s">
        <v>328</v>
      </c>
      <c r="E597" s="14" t="s">
        <v>339</v>
      </c>
      <c r="F597" s="12" t="s">
        <v>324</v>
      </c>
      <c r="G597" s="2">
        <v>1</v>
      </c>
      <c r="H597" s="3">
        <v>302</v>
      </c>
      <c r="I597" s="14" t="s">
        <v>342</v>
      </c>
      <c r="J597" s="12" t="s">
        <v>498</v>
      </c>
      <c r="K597" s="2">
        <v>0</v>
      </c>
      <c r="L597" s="12" t="s">
        <v>344</v>
      </c>
      <c r="M597">
        <f>YEAR(VentesMagasins!$C597)</f>
        <v>2024</v>
      </c>
      <c r="N597" t="e" cm="1" vm="1">
        <f t="array" aca="1" ref="N597" ca="1">MONTH(DateVente)</f>
        <v>#VALUE!</v>
      </c>
      <c r="O597" t="str">
        <f>PROPER(VentesMagasins!$F597)</f>
        <v>Électronique</v>
      </c>
      <c r="P597">
        <f>VALUE(CLEAN(TRIM(SUBSTITUTE(VentesMagasins!$I597,".",","))))</f>
        <v>0.05</v>
      </c>
      <c r="Q597">
        <f>VALUE(TRIM(SUBSTITUTE(VentesMagasins!$J597,".",",")))</f>
        <v>286.89999999999998</v>
      </c>
      <c r="R597">
        <f t="shared" si="27"/>
        <v>272.55499999999995</v>
      </c>
      <c r="S597">
        <f>IF(VentesMagasins!$K597=1,(-1)*R597,R597)</f>
        <v>272.55499999999995</v>
      </c>
      <c r="T597">
        <f>IFERROR(VALUE(TRIM(SUBSTITUTE(VentesMagasins!$L597,".",","))),0)</f>
        <v>2</v>
      </c>
      <c r="U597">
        <f t="shared" si="28"/>
        <v>2</v>
      </c>
      <c r="V597" t="str">
        <f t="shared" si="29"/>
        <v>faible</v>
      </c>
      <c r="W597" t="str">
        <f>_xlfn.XLOOKUP(VentesMagasins!$B597,Clients!ClientID,Région)</f>
        <v>Centre</v>
      </c>
      <c r="X597" t="str">
        <f>INDEX(TypeClient,MATCH(VentesMagasins!$B597,Clients!ClientID))</f>
        <v>Fidèle</v>
      </c>
      <c r="Y597" t="str">
        <v>mars</v>
      </c>
    </row>
    <row r="598" spans="1:25" x14ac:dyDescent="0.25">
      <c r="A598" s="2">
        <v>597</v>
      </c>
      <c r="B598" s="12" t="s">
        <v>291</v>
      </c>
      <c r="C598" s="13">
        <v>45427</v>
      </c>
      <c r="D598" s="12" t="s">
        <v>338</v>
      </c>
      <c r="E598" s="14" t="s">
        <v>345</v>
      </c>
      <c r="F598" s="12" t="s">
        <v>330</v>
      </c>
      <c r="G598" s="2">
        <v>1</v>
      </c>
      <c r="H598" s="3">
        <v>141</v>
      </c>
      <c r="I598" s="14" t="s">
        <v>342</v>
      </c>
      <c r="J598" s="12" t="s">
        <v>901</v>
      </c>
      <c r="K598" s="2">
        <v>1</v>
      </c>
      <c r="L598" s="12" t="s">
        <v>352</v>
      </c>
      <c r="M598">
        <f>YEAR(VentesMagasins!$C598)</f>
        <v>2024</v>
      </c>
      <c r="N598" t="e" cm="1" vm="1">
        <f t="array" aca="1" ref="N598" ca="1">MONTH(DateVente)</f>
        <v>#VALUE!</v>
      </c>
      <c r="O598" t="str">
        <f>PROPER(VentesMagasins!$F598)</f>
        <v>Décoration</v>
      </c>
      <c r="P598">
        <f>VALUE(CLEAN(TRIM(SUBSTITUTE(VentesMagasins!$I598,".",","))))</f>
        <v>0.05</v>
      </c>
      <c r="Q598">
        <f>VALUE(TRIM(SUBSTITUTE(VentesMagasins!$J598,".",",")))</f>
        <v>133.94999999999999</v>
      </c>
      <c r="R598">
        <f t="shared" si="27"/>
        <v>127.25249999999998</v>
      </c>
      <c r="S598">
        <f>IF(VentesMagasins!$K598=1,(-1)*R598,R598)</f>
        <v>-127.25249999999998</v>
      </c>
      <c r="T598">
        <f>IFERROR(VALUE(TRIM(SUBSTITUTE(VentesMagasins!$L598,".",","))),0)</f>
        <v>0</v>
      </c>
      <c r="U598">
        <f t="shared" si="28"/>
        <v>3</v>
      </c>
      <c r="V598" t="str">
        <f t="shared" si="29"/>
        <v>moyenne</v>
      </c>
      <c r="W598" t="str">
        <f>_xlfn.XLOOKUP(VentesMagasins!$B598,Clients!ClientID,Région)</f>
        <v>Ouest</v>
      </c>
      <c r="X598" t="str">
        <f>INDEX(TypeClient,MATCH(VentesMagasins!$B598,Clients!ClientID))</f>
        <v>Nouveau</v>
      </c>
      <c r="Y598" t="str">
        <v>mai</v>
      </c>
    </row>
    <row r="599" spans="1:25" x14ac:dyDescent="0.25">
      <c r="A599" s="2">
        <v>598</v>
      </c>
      <c r="B599" s="12" t="s">
        <v>137</v>
      </c>
      <c r="C599" s="13">
        <v>45508</v>
      </c>
      <c r="D599" s="12" t="s">
        <v>328</v>
      </c>
      <c r="E599" s="14" t="s">
        <v>364</v>
      </c>
      <c r="F599" s="12" t="s">
        <v>324</v>
      </c>
      <c r="G599" s="2">
        <v>4</v>
      </c>
      <c r="H599" s="3">
        <v>461</v>
      </c>
      <c r="I599" s="14" t="s">
        <v>325</v>
      </c>
      <c r="J599" s="12" t="s">
        <v>902</v>
      </c>
      <c r="K599" s="2">
        <v>0</v>
      </c>
      <c r="L599" s="12" t="s">
        <v>332</v>
      </c>
      <c r="M599">
        <f>YEAR(VentesMagasins!$C599)</f>
        <v>2024</v>
      </c>
      <c r="N599" t="e" cm="1" vm="1">
        <f t="array" aca="1" ref="N599" ca="1">MONTH(DateVente)</f>
        <v>#VALUE!</v>
      </c>
      <c r="O599" t="str">
        <f>PROPER(VentesMagasins!$F599)</f>
        <v>Électronique</v>
      </c>
      <c r="P599">
        <f>VALUE(CLEAN(TRIM(SUBSTITUTE(VentesMagasins!$I599,".",","))))</f>
        <v>0.15</v>
      </c>
      <c r="Q599">
        <f>VALUE(TRIM(SUBSTITUTE(VentesMagasins!$J599,".",",")))</f>
        <v>1567.3999999999901</v>
      </c>
      <c r="R599">
        <f t="shared" si="27"/>
        <v>1332.2899999999916</v>
      </c>
      <c r="S599">
        <f>IF(VentesMagasins!$K599=1,(-1)*R599,R599)</f>
        <v>1332.2899999999916</v>
      </c>
      <c r="T599">
        <f>IFERROR(VALUE(TRIM(SUBSTITUTE(VentesMagasins!$L599,".",","))),0)</f>
        <v>4</v>
      </c>
      <c r="U599">
        <f t="shared" si="28"/>
        <v>4</v>
      </c>
      <c r="V599" t="str">
        <f t="shared" si="29"/>
        <v>moyenne</v>
      </c>
      <c r="W599" t="str">
        <f>_xlfn.XLOOKUP(VentesMagasins!$B599,Clients!ClientID,Région)</f>
        <v>Sud</v>
      </c>
      <c r="X599" t="str">
        <f>INDEX(TypeClient,MATCH(VentesMagasins!$B599,Clients!ClientID))</f>
        <v>Nouveau</v>
      </c>
      <c r="Y599" t="str">
        <v>août</v>
      </c>
    </row>
    <row r="600" spans="1:25" x14ac:dyDescent="0.25">
      <c r="A600" s="2">
        <v>599</v>
      </c>
      <c r="B600" s="12" t="s">
        <v>11</v>
      </c>
      <c r="C600" s="13">
        <v>45150</v>
      </c>
      <c r="D600" s="12" t="s">
        <v>350</v>
      </c>
      <c r="E600" s="14" t="s">
        <v>362</v>
      </c>
      <c r="F600" s="12" t="s">
        <v>324</v>
      </c>
      <c r="G600" s="2">
        <v>4</v>
      </c>
      <c r="H600" s="3">
        <v>159</v>
      </c>
      <c r="I600" s="14" t="s">
        <v>335</v>
      </c>
      <c r="J600" s="12" t="s">
        <v>903</v>
      </c>
      <c r="K600" s="2">
        <v>0</v>
      </c>
      <c r="L600" s="12" t="s">
        <v>344</v>
      </c>
      <c r="M600">
        <f>YEAR(VentesMagasins!$C600)</f>
        <v>2023</v>
      </c>
      <c r="N600" t="e" cm="1" vm="1">
        <f t="array" aca="1" ref="N600" ca="1">MONTH(DateVente)</f>
        <v>#VALUE!</v>
      </c>
      <c r="O600" t="str">
        <f>PROPER(VentesMagasins!$F600)</f>
        <v>Électronique</v>
      </c>
      <c r="P600">
        <f>VALUE(CLEAN(TRIM(SUBSTITUTE(VentesMagasins!$I600,".",","))))</f>
        <v>0</v>
      </c>
      <c r="Q600">
        <f>VALUE(TRIM(SUBSTITUTE(VentesMagasins!$J600,".",",")))</f>
        <v>636</v>
      </c>
      <c r="R600">
        <f t="shared" si="27"/>
        <v>636</v>
      </c>
      <c r="S600">
        <f>IF(VentesMagasins!$K600=1,(-1)*R600,R600)</f>
        <v>636</v>
      </c>
      <c r="T600">
        <f>IFERROR(VALUE(TRIM(SUBSTITUTE(VentesMagasins!$L600,".",","))),0)</f>
        <v>2</v>
      </c>
      <c r="U600">
        <f t="shared" si="28"/>
        <v>2</v>
      </c>
      <c r="V600" t="str">
        <f t="shared" si="29"/>
        <v>faible</v>
      </c>
      <c r="W600" t="str">
        <f>_xlfn.XLOOKUP(VentesMagasins!$B600,Clients!ClientID,Région)</f>
        <v>Centre</v>
      </c>
      <c r="X600" t="str">
        <f>INDEX(TypeClient,MATCH(VentesMagasins!$B600,Clients!ClientID))</f>
        <v>Fidèle</v>
      </c>
      <c r="Y600" t="str">
        <v>août</v>
      </c>
    </row>
    <row r="601" spans="1:25" x14ac:dyDescent="0.25">
      <c r="A601" s="2">
        <v>600</v>
      </c>
      <c r="B601" s="12" t="s">
        <v>60</v>
      </c>
      <c r="C601" s="13">
        <v>44969</v>
      </c>
      <c r="D601" s="12" t="s">
        <v>322</v>
      </c>
      <c r="E601" s="14" t="s">
        <v>329</v>
      </c>
      <c r="F601" s="12" t="s">
        <v>341</v>
      </c>
      <c r="G601" s="2">
        <v>1</v>
      </c>
      <c r="H601" s="3">
        <v>166</v>
      </c>
      <c r="I601" s="14" t="s">
        <v>325</v>
      </c>
      <c r="J601" s="12" t="s">
        <v>904</v>
      </c>
      <c r="K601" s="2">
        <v>1</v>
      </c>
      <c r="L601" s="12" t="s">
        <v>332</v>
      </c>
      <c r="M601">
        <f>YEAR(VentesMagasins!$C601)</f>
        <v>2023</v>
      </c>
      <c r="N601" t="e" cm="1" vm="1">
        <f t="array" aca="1" ref="N601" ca="1">MONTH(DateVente)</f>
        <v>#VALUE!</v>
      </c>
      <c r="O601" t="str">
        <f>PROPER(VentesMagasins!$F601)</f>
        <v>Meuble</v>
      </c>
      <c r="P601">
        <f>VALUE(CLEAN(TRIM(SUBSTITUTE(VentesMagasins!$I601,".",","))))</f>
        <v>0.15</v>
      </c>
      <c r="Q601">
        <f>VALUE(TRIM(SUBSTITUTE(VentesMagasins!$J601,".",",")))</f>
        <v>141.1</v>
      </c>
      <c r="R601">
        <f t="shared" si="27"/>
        <v>119.93499999999999</v>
      </c>
      <c r="S601">
        <f>IF(VentesMagasins!$K601=1,(-1)*R601,R601)</f>
        <v>-119.93499999999999</v>
      </c>
      <c r="T601">
        <f>IFERROR(VALUE(TRIM(SUBSTITUTE(VentesMagasins!$L601,".",","))),0)</f>
        <v>4</v>
      </c>
      <c r="U601">
        <f t="shared" si="28"/>
        <v>4</v>
      </c>
      <c r="V601" t="str">
        <f t="shared" si="29"/>
        <v>moyenne</v>
      </c>
      <c r="W601" t="str">
        <f>_xlfn.XLOOKUP(VentesMagasins!$B601,Clients!ClientID,Région)</f>
        <v>Centre</v>
      </c>
      <c r="X601" t="str">
        <f>INDEX(TypeClient,MATCH(VentesMagasins!$B601,Clients!ClientID))</f>
        <v>Fidèle</v>
      </c>
      <c r="Y601" t="str">
        <v>févr</v>
      </c>
    </row>
    <row r="602" spans="1:25" x14ac:dyDescent="0.25">
      <c r="A602" s="2">
        <v>601</v>
      </c>
      <c r="B602" s="12" t="s">
        <v>291</v>
      </c>
      <c r="C602" s="13">
        <v>45356</v>
      </c>
      <c r="D602" s="12" t="s">
        <v>350</v>
      </c>
      <c r="E602" s="14" t="s">
        <v>329</v>
      </c>
      <c r="F602" s="12" t="s">
        <v>330</v>
      </c>
      <c r="G602" s="2">
        <v>1</v>
      </c>
      <c r="H602" s="3">
        <v>487</v>
      </c>
      <c r="I602" s="14" t="s">
        <v>355</v>
      </c>
      <c r="J602" s="12" t="s">
        <v>905</v>
      </c>
      <c r="K602" s="2">
        <v>0</v>
      </c>
      <c r="L602" s="12" t="s">
        <v>344</v>
      </c>
      <c r="M602">
        <f>YEAR(VentesMagasins!$C602)</f>
        <v>2024</v>
      </c>
      <c r="N602" t="e" cm="1" vm="1">
        <f t="array" aca="1" ref="N602" ca="1">MONTH(DateVente)</f>
        <v>#VALUE!</v>
      </c>
      <c r="O602" t="str">
        <f>PROPER(VentesMagasins!$F602)</f>
        <v>Décoration</v>
      </c>
      <c r="P602">
        <f>VALUE(CLEAN(TRIM(SUBSTITUTE(VentesMagasins!$I602,".",","))))</f>
        <v>0.1</v>
      </c>
      <c r="Q602">
        <f>VALUE(TRIM(SUBSTITUTE(VentesMagasins!$J602,".",",")))</f>
        <v>438.3</v>
      </c>
      <c r="R602">
        <f t="shared" si="27"/>
        <v>394.47</v>
      </c>
      <c r="S602">
        <f>IF(VentesMagasins!$K602=1,(-1)*R602,R602)</f>
        <v>394.47</v>
      </c>
      <c r="T602">
        <f>IFERROR(VALUE(TRIM(SUBSTITUTE(VentesMagasins!$L602,".",","))),0)</f>
        <v>2</v>
      </c>
      <c r="U602">
        <f t="shared" si="28"/>
        <v>2</v>
      </c>
      <c r="V602" t="str">
        <f t="shared" si="29"/>
        <v>faible</v>
      </c>
      <c r="W602" t="str">
        <f>_xlfn.XLOOKUP(VentesMagasins!$B602,Clients!ClientID,Région)</f>
        <v>Ouest</v>
      </c>
      <c r="X602" t="str">
        <f>INDEX(TypeClient,MATCH(VentesMagasins!$B602,Clients!ClientID))</f>
        <v>Nouveau</v>
      </c>
      <c r="Y602" t="str">
        <v>mars</v>
      </c>
    </row>
    <row r="603" spans="1:25" x14ac:dyDescent="0.25">
      <c r="A603" s="2">
        <v>602</v>
      </c>
      <c r="B603" s="12" t="s">
        <v>35</v>
      </c>
      <c r="C603" s="13">
        <v>45472</v>
      </c>
      <c r="D603" s="12" t="s">
        <v>333</v>
      </c>
      <c r="E603" s="14" t="s">
        <v>329</v>
      </c>
      <c r="F603" s="12" t="s">
        <v>330</v>
      </c>
      <c r="G603" s="2">
        <v>3</v>
      </c>
      <c r="H603" s="3">
        <v>394</v>
      </c>
      <c r="I603" s="14" t="s">
        <v>355</v>
      </c>
      <c r="J603" s="12" t="s">
        <v>906</v>
      </c>
      <c r="K603" s="2">
        <v>0</v>
      </c>
      <c r="L603" s="12" t="s">
        <v>327</v>
      </c>
      <c r="M603">
        <f>YEAR(VentesMagasins!$C603)</f>
        <v>2024</v>
      </c>
      <c r="N603" t="e" cm="1" vm="1">
        <f t="array" aca="1" ref="N603" ca="1">MONTH(DateVente)</f>
        <v>#VALUE!</v>
      </c>
      <c r="O603" t="str">
        <f>PROPER(VentesMagasins!$F603)</f>
        <v>Décoration</v>
      </c>
      <c r="P603">
        <f>VALUE(CLEAN(TRIM(SUBSTITUTE(VentesMagasins!$I603,".",","))))</f>
        <v>0.1</v>
      </c>
      <c r="Q603">
        <f>VALUE(TRIM(SUBSTITUTE(VentesMagasins!$J603,".",",")))</f>
        <v>1170.18</v>
      </c>
      <c r="R603">
        <f t="shared" si="27"/>
        <v>1053.162</v>
      </c>
      <c r="S603">
        <f>IF(VentesMagasins!$K603=1,(-1)*R603,R603)</f>
        <v>1053.162</v>
      </c>
      <c r="T603">
        <f>IFERROR(VALUE(TRIM(SUBSTITUTE(VentesMagasins!$L603,".",","))),0)</f>
        <v>5</v>
      </c>
      <c r="U603">
        <f t="shared" si="28"/>
        <v>5</v>
      </c>
      <c r="V603" t="str">
        <f t="shared" si="29"/>
        <v>élévé</v>
      </c>
      <c r="W603" t="str">
        <f>_xlfn.XLOOKUP(VentesMagasins!$B603,Clients!ClientID,Région)</f>
        <v>Ouest</v>
      </c>
      <c r="X603" t="str">
        <f>INDEX(TypeClient,MATCH(VentesMagasins!$B603,Clients!ClientID))</f>
        <v>Occasionnel</v>
      </c>
      <c r="Y603" t="str">
        <v>juin</v>
      </c>
    </row>
    <row r="604" spans="1:25" x14ac:dyDescent="0.25">
      <c r="A604" s="2">
        <v>603</v>
      </c>
      <c r="B604" s="12" t="s">
        <v>155</v>
      </c>
      <c r="C604" s="13">
        <v>45664</v>
      </c>
      <c r="D604" s="12" t="s">
        <v>338</v>
      </c>
      <c r="E604" s="14" t="s">
        <v>329</v>
      </c>
      <c r="F604" s="12" t="s">
        <v>324</v>
      </c>
      <c r="G604" s="2">
        <v>5</v>
      </c>
      <c r="H604" s="3">
        <v>124</v>
      </c>
      <c r="I604" s="14" t="s">
        <v>355</v>
      </c>
      <c r="J604" s="12" t="s">
        <v>634</v>
      </c>
      <c r="K604" s="2">
        <v>1</v>
      </c>
      <c r="L604" s="12" t="s">
        <v>369</v>
      </c>
      <c r="M604">
        <f>YEAR(VentesMagasins!$C604)</f>
        <v>2025</v>
      </c>
      <c r="N604" t="e" cm="1" vm="1">
        <f t="array" aca="1" ref="N604" ca="1">MONTH(DateVente)</f>
        <v>#VALUE!</v>
      </c>
      <c r="O604" t="str">
        <f>PROPER(VentesMagasins!$F604)</f>
        <v>Électronique</v>
      </c>
      <c r="P604">
        <f>VALUE(CLEAN(TRIM(SUBSTITUTE(VentesMagasins!$I604,".",","))))</f>
        <v>0.1</v>
      </c>
      <c r="Q604">
        <f>VALUE(TRIM(SUBSTITUTE(VentesMagasins!$J604,".",",")))</f>
        <v>558</v>
      </c>
      <c r="R604">
        <f t="shared" si="27"/>
        <v>502.2</v>
      </c>
      <c r="S604">
        <f>IF(VentesMagasins!$K604=1,(-1)*R604,R604)</f>
        <v>-502.2</v>
      </c>
      <c r="T604">
        <f>IFERROR(VALUE(TRIM(SUBSTITUTE(VentesMagasins!$L604,".",","))),0)</f>
        <v>1</v>
      </c>
      <c r="U604">
        <f t="shared" si="28"/>
        <v>1</v>
      </c>
      <c r="V604" t="str">
        <f t="shared" si="29"/>
        <v>faible</v>
      </c>
      <c r="W604" t="str">
        <f>_xlfn.XLOOKUP(VentesMagasins!$B604,Clients!ClientID,Région)</f>
        <v>Sud</v>
      </c>
      <c r="X604" t="str">
        <f>INDEX(TypeClient,MATCH(VentesMagasins!$B604,Clients!ClientID))</f>
        <v>Nouveau</v>
      </c>
      <c r="Y604" t="str">
        <v>janv</v>
      </c>
    </row>
    <row r="605" spans="1:25" x14ac:dyDescent="0.25">
      <c r="A605" s="2">
        <v>604</v>
      </c>
      <c r="B605" s="12" t="s">
        <v>18</v>
      </c>
      <c r="C605" s="13">
        <v>45958</v>
      </c>
      <c r="D605" s="12" t="s">
        <v>322</v>
      </c>
      <c r="E605" s="14" t="s">
        <v>334</v>
      </c>
      <c r="F605" s="12" t="s">
        <v>341</v>
      </c>
      <c r="G605" s="2">
        <v>5</v>
      </c>
      <c r="H605" s="3">
        <v>33</v>
      </c>
      <c r="I605" s="14" t="s">
        <v>325</v>
      </c>
      <c r="J605" s="12" t="s">
        <v>907</v>
      </c>
      <c r="K605" s="2">
        <v>0</v>
      </c>
      <c r="L605" s="12" t="s">
        <v>369</v>
      </c>
      <c r="M605">
        <f>YEAR(VentesMagasins!$C605)</f>
        <v>2025</v>
      </c>
      <c r="N605" t="e" cm="1" vm="1">
        <f t="array" aca="1" ref="N605" ca="1">MONTH(DateVente)</f>
        <v>#VALUE!</v>
      </c>
      <c r="O605" t="str">
        <f>PROPER(VentesMagasins!$F605)</f>
        <v>Meuble</v>
      </c>
      <c r="P605">
        <f>VALUE(CLEAN(TRIM(SUBSTITUTE(VentesMagasins!$I605,".",","))))</f>
        <v>0.15</v>
      </c>
      <c r="Q605">
        <f>VALUE(TRIM(SUBSTITUTE(VentesMagasins!$J605,".",",")))</f>
        <v>140.25</v>
      </c>
      <c r="R605">
        <f t="shared" si="27"/>
        <v>119.21249999999999</v>
      </c>
      <c r="S605">
        <f>IF(VentesMagasins!$K605=1,(-1)*R605,R605)</f>
        <v>119.21249999999999</v>
      </c>
      <c r="T605">
        <f>IFERROR(VALUE(TRIM(SUBSTITUTE(VentesMagasins!$L605,".",","))),0)</f>
        <v>1</v>
      </c>
      <c r="U605">
        <f t="shared" si="28"/>
        <v>1</v>
      </c>
      <c r="V605" t="str">
        <f t="shared" si="29"/>
        <v>faible</v>
      </c>
      <c r="W605" t="str">
        <f>_xlfn.XLOOKUP(VentesMagasins!$B605,Clients!ClientID,Région)</f>
        <v>Nord</v>
      </c>
      <c r="X605" t="str">
        <f>INDEX(TypeClient,MATCH(VentesMagasins!$B605,Clients!ClientID))</f>
        <v>Fidèle</v>
      </c>
      <c r="Y605" t="str">
        <v>oct</v>
      </c>
    </row>
    <row r="606" spans="1:25" x14ac:dyDescent="0.25">
      <c r="A606" s="2">
        <v>605</v>
      </c>
      <c r="B606" s="12" t="s">
        <v>94</v>
      </c>
      <c r="C606" s="13">
        <v>45478</v>
      </c>
      <c r="D606" s="12" t="s">
        <v>350</v>
      </c>
      <c r="E606" s="14" t="s">
        <v>362</v>
      </c>
      <c r="F606" s="12" t="s">
        <v>341</v>
      </c>
      <c r="G606" s="2">
        <v>5</v>
      </c>
      <c r="H606" s="3">
        <v>32</v>
      </c>
      <c r="I606" s="14" t="s">
        <v>355</v>
      </c>
      <c r="J606" s="12" t="s">
        <v>908</v>
      </c>
      <c r="K606" s="2">
        <v>1</v>
      </c>
      <c r="L606" s="12" t="s">
        <v>352</v>
      </c>
      <c r="M606">
        <f>YEAR(VentesMagasins!$C606)</f>
        <v>2024</v>
      </c>
      <c r="N606" t="e" cm="1" vm="1">
        <f t="array" aca="1" ref="N606" ca="1">MONTH(DateVente)</f>
        <v>#VALUE!</v>
      </c>
      <c r="O606" t="str">
        <f>PROPER(VentesMagasins!$F606)</f>
        <v>Meuble</v>
      </c>
      <c r="P606">
        <f>VALUE(CLEAN(TRIM(SUBSTITUTE(VentesMagasins!$I606,".",","))))</f>
        <v>0.1</v>
      </c>
      <c r="Q606">
        <f>VALUE(TRIM(SUBSTITUTE(VentesMagasins!$J606,".",",")))</f>
        <v>144</v>
      </c>
      <c r="R606">
        <f t="shared" si="27"/>
        <v>129.6</v>
      </c>
      <c r="S606">
        <f>IF(VentesMagasins!$K606=1,(-1)*R606,R606)</f>
        <v>-129.6</v>
      </c>
      <c r="T606">
        <f>IFERROR(VALUE(TRIM(SUBSTITUTE(VentesMagasins!$L606,".",","))),0)</f>
        <v>0</v>
      </c>
      <c r="U606">
        <f t="shared" si="28"/>
        <v>3</v>
      </c>
      <c r="V606" t="str">
        <f t="shared" si="29"/>
        <v>moyenne</v>
      </c>
      <c r="W606" t="str">
        <f>_xlfn.XLOOKUP(VentesMagasins!$B606,Clients!ClientID,Région)</f>
        <v>Centre</v>
      </c>
      <c r="X606" t="str">
        <f>INDEX(TypeClient,MATCH(VentesMagasins!$B606,Clients!ClientID))</f>
        <v>Fidèle</v>
      </c>
      <c r="Y606" t="str">
        <v>juil</v>
      </c>
    </row>
    <row r="607" spans="1:25" x14ac:dyDescent="0.25">
      <c r="A607" s="2">
        <v>606</v>
      </c>
      <c r="B607" s="12" t="s">
        <v>240</v>
      </c>
      <c r="C607" s="13">
        <v>45723</v>
      </c>
      <c r="D607" s="12" t="s">
        <v>350</v>
      </c>
      <c r="E607" s="14" t="s">
        <v>329</v>
      </c>
      <c r="F607" s="12" t="s">
        <v>330</v>
      </c>
      <c r="G607" s="2">
        <v>2</v>
      </c>
      <c r="H607" s="3">
        <v>403</v>
      </c>
      <c r="I607" s="14" t="s">
        <v>355</v>
      </c>
      <c r="J607" s="12" t="s">
        <v>909</v>
      </c>
      <c r="K607" s="2">
        <v>0</v>
      </c>
      <c r="L607" s="12" t="s">
        <v>344</v>
      </c>
      <c r="M607">
        <f>YEAR(VentesMagasins!$C607)</f>
        <v>2025</v>
      </c>
      <c r="N607" t="e" cm="1" vm="1">
        <f t="array" aca="1" ref="N607" ca="1">MONTH(DateVente)</f>
        <v>#VALUE!</v>
      </c>
      <c r="O607" t="str">
        <f>PROPER(VentesMagasins!$F607)</f>
        <v>Décoration</v>
      </c>
      <c r="P607">
        <f>VALUE(CLEAN(TRIM(SUBSTITUTE(VentesMagasins!$I607,".",","))))</f>
        <v>0.1</v>
      </c>
      <c r="Q607">
        <f>VALUE(TRIM(SUBSTITUTE(VentesMagasins!$J607,".",",")))</f>
        <v>725.4</v>
      </c>
      <c r="R607">
        <f t="shared" si="27"/>
        <v>652.86</v>
      </c>
      <c r="S607">
        <f>IF(VentesMagasins!$K607=1,(-1)*R607,R607)</f>
        <v>652.86</v>
      </c>
      <c r="T607">
        <f>IFERROR(VALUE(TRIM(SUBSTITUTE(VentesMagasins!$L607,".",","))),0)</f>
        <v>2</v>
      </c>
      <c r="U607">
        <f t="shared" si="28"/>
        <v>2</v>
      </c>
      <c r="V607" t="str">
        <f t="shared" si="29"/>
        <v>faible</v>
      </c>
      <c r="W607" t="str">
        <f>_xlfn.XLOOKUP(VentesMagasins!$B607,Clients!ClientID,Région)</f>
        <v>Est</v>
      </c>
      <c r="X607" t="str">
        <f>INDEX(TypeClient,MATCH(VentesMagasins!$B607,Clients!ClientID))</f>
        <v>Nouveau</v>
      </c>
      <c r="Y607" t="str">
        <v>mars</v>
      </c>
    </row>
    <row r="608" spans="1:25" x14ac:dyDescent="0.25">
      <c r="A608" s="2">
        <v>607</v>
      </c>
      <c r="B608" s="12" t="s">
        <v>235</v>
      </c>
      <c r="C608" s="13">
        <v>45280</v>
      </c>
      <c r="D608" s="12" t="s">
        <v>333</v>
      </c>
      <c r="E608" s="14" t="s">
        <v>339</v>
      </c>
      <c r="F608" s="12" t="s">
        <v>330</v>
      </c>
      <c r="G608" s="2">
        <v>4</v>
      </c>
      <c r="H608" s="3">
        <v>364</v>
      </c>
      <c r="I608" s="14" t="s">
        <v>335</v>
      </c>
      <c r="J608" s="12" t="s">
        <v>910</v>
      </c>
      <c r="K608" s="2">
        <v>0</v>
      </c>
      <c r="L608" s="12" t="s">
        <v>369</v>
      </c>
      <c r="M608">
        <f>YEAR(VentesMagasins!$C608)</f>
        <v>2023</v>
      </c>
      <c r="N608" t="e" cm="1" vm="1">
        <f t="array" aca="1" ref="N608" ca="1">MONTH(DateVente)</f>
        <v>#VALUE!</v>
      </c>
      <c r="O608" t="str">
        <f>PROPER(VentesMagasins!$F608)</f>
        <v>Décoration</v>
      </c>
      <c r="P608">
        <f>VALUE(CLEAN(TRIM(SUBSTITUTE(VentesMagasins!$I608,".",","))))</f>
        <v>0</v>
      </c>
      <c r="Q608">
        <f>VALUE(TRIM(SUBSTITUTE(VentesMagasins!$J608,".",",")))</f>
        <v>1456</v>
      </c>
      <c r="R608">
        <f t="shared" si="27"/>
        <v>1456</v>
      </c>
      <c r="S608">
        <f>IF(VentesMagasins!$K608=1,(-1)*R608,R608)</f>
        <v>1456</v>
      </c>
      <c r="T608">
        <f>IFERROR(VALUE(TRIM(SUBSTITUTE(VentesMagasins!$L608,".",","))),0)</f>
        <v>1</v>
      </c>
      <c r="U608">
        <f t="shared" si="28"/>
        <v>1</v>
      </c>
      <c r="V608" t="str">
        <f t="shared" si="29"/>
        <v>faible</v>
      </c>
      <c r="W608" t="str">
        <f>_xlfn.XLOOKUP(VentesMagasins!$B608,Clients!ClientID,Région)</f>
        <v>Sud</v>
      </c>
      <c r="X608" t="str">
        <f>INDEX(TypeClient,MATCH(VentesMagasins!$B608,Clients!ClientID))</f>
        <v>Fidèle</v>
      </c>
      <c r="Y608" t="str">
        <v>déc</v>
      </c>
    </row>
    <row r="609" spans="1:25" x14ac:dyDescent="0.25">
      <c r="A609" s="2">
        <v>608</v>
      </c>
      <c r="B609" s="12" t="s">
        <v>226</v>
      </c>
      <c r="C609" s="13">
        <v>44988</v>
      </c>
      <c r="D609" s="12" t="s">
        <v>333</v>
      </c>
      <c r="E609" s="14" t="s">
        <v>362</v>
      </c>
      <c r="F609" s="12" t="s">
        <v>341</v>
      </c>
      <c r="G609" s="2">
        <v>1</v>
      </c>
      <c r="H609" s="3">
        <v>233</v>
      </c>
      <c r="I609" s="14" t="s">
        <v>325</v>
      </c>
      <c r="J609" s="12" t="s">
        <v>911</v>
      </c>
      <c r="K609" s="2">
        <v>1</v>
      </c>
      <c r="L609" s="12" t="s">
        <v>344</v>
      </c>
      <c r="M609">
        <f>YEAR(VentesMagasins!$C609)</f>
        <v>2023</v>
      </c>
      <c r="N609" t="e" cm="1" vm="1">
        <f t="array" aca="1" ref="N609" ca="1">MONTH(DateVente)</f>
        <v>#VALUE!</v>
      </c>
      <c r="O609" t="str">
        <f>PROPER(VentesMagasins!$F609)</f>
        <v>Meuble</v>
      </c>
      <c r="P609">
        <f>VALUE(CLEAN(TRIM(SUBSTITUTE(VentesMagasins!$I609,".",","))))</f>
        <v>0.15</v>
      </c>
      <c r="Q609">
        <f>VALUE(TRIM(SUBSTITUTE(VentesMagasins!$J609,".",",")))</f>
        <v>198.04999999999899</v>
      </c>
      <c r="R609">
        <f t="shared" si="27"/>
        <v>168.34249999999915</v>
      </c>
      <c r="S609">
        <f>IF(VentesMagasins!$K609=1,(-1)*R609,R609)</f>
        <v>-168.34249999999915</v>
      </c>
      <c r="T609">
        <f>IFERROR(VALUE(TRIM(SUBSTITUTE(VentesMagasins!$L609,".",","))),0)</f>
        <v>2</v>
      </c>
      <c r="U609">
        <f t="shared" si="28"/>
        <v>2</v>
      </c>
      <c r="V609" t="str">
        <f t="shared" si="29"/>
        <v>faible</v>
      </c>
      <c r="W609" t="str">
        <f>_xlfn.XLOOKUP(VentesMagasins!$B609,Clients!ClientID,Région)</f>
        <v>Est</v>
      </c>
      <c r="X609" t="str">
        <f>INDEX(TypeClient,MATCH(VentesMagasins!$B609,Clients!ClientID))</f>
        <v>Occasionnel</v>
      </c>
      <c r="Y609" t="str">
        <v>mars</v>
      </c>
    </row>
    <row r="610" spans="1:25" x14ac:dyDescent="0.25">
      <c r="A610" s="2">
        <v>609</v>
      </c>
      <c r="B610" s="12" t="s">
        <v>271</v>
      </c>
      <c r="C610" s="13">
        <v>45279</v>
      </c>
      <c r="D610" s="12" t="s">
        <v>328</v>
      </c>
      <c r="E610" s="14" t="s">
        <v>364</v>
      </c>
      <c r="F610" s="12" t="s">
        <v>341</v>
      </c>
      <c r="G610" s="2">
        <v>5</v>
      </c>
      <c r="H610" s="3">
        <v>29</v>
      </c>
      <c r="I610" s="14" t="s">
        <v>325</v>
      </c>
      <c r="J610" s="12" t="s">
        <v>912</v>
      </c>
      <c r="K610" s="2">
        <v>0</v>
      </c>
      <c r="L610" s="12" t="s">
        <v>344</v>
      </c>
      <c r="M610">
        <f>YEAR(VentesMagasins!$C610)</f>
        <v>2023</v>
      </c>
      <c r="N610" t="e" cm="1" vm="1">
        <f t="array" aca="1" ref="N610" ca="1">MONTH(DateVente)</f>
        <v>#VALUE!</v>
      </c>
      <c r="O610" t="str">
        <f>PROPER(VentesMagasins!$F610)</f>
        <v>Meuble</v>
      </c>
      <c r="P610">
        <f>VALUE(CLEAN(TRIM(SUBSTITUTE(VentesMagasins!$I610,".",","))))</f>
        <v>0.15</v>
      </c>
      <c r="Q610">
        <f>VALUE(TRIM(SUBSTITUTE(VentesMagasins!$J610,".",",")))</f>
        <v>123.25</v>
      </c>
      <c r="R610">
        <f t="shared" si="27"/>
        <v>104.7625</v>
      </c>
      <c r="S610">
        <f>IF(VentesMagasins!$K610=1,(-1)*R610,R610)</f>
        <v>104.7625</v>
      </c>
      <c r="T610">
        <f>IFERROR(VALUE(TRIM(SUBSTITUTE(VentesMagasins!$L610,".",","))),0)</f>
        <v>2</v>
      </c>
      <c r="U610">
        <f t="shared" si="28"/>
        <v>2</v>
      </c>
      <c r="V610" t="str">
        <f t="shared" si="29"/>
        <v>faible</v>
      </c>
      <c r="W610" t="str">
        <f>_xlfn.XLOOKUP(VentesMagasins!$B610,Clients!ClientID,Région)</f>
        <v>Centre</v>
      </c>
      <c r="X610" t="str">
        <f>INDEX(TypeClient,MATCH(VentesMagasins!$B610,Clients!ClientID))</f>
        <v>Occasionnel</v>
      </c>
      <c r="Y610" t="str">
        <v>déc</v>
      </c>
    </row>
    <row r="611" spans="1:25" x14ac:dyDescent="0.25">
      <c r="A611" s="2">
        <v>610</v>
      </c>
      <c r="B611" s="12" t="s">
        <v>227</v>
      </c>
      <c r="C611" s="13">
        <v>45031</v>
      </c>
      <c r="D611" s="12" t="s">
        <v>338</v>
      </c>
      <c r="E611" s="14" t="s">
        <v>348</v>
      </c>
      <c r="F611" s="12" t="s">
        <v>341</v>
      </c>
      <c r="G611" s="2">
        <v>5</v>
      </c>
      <c r="H611" s="3">
        <v>395</v>
      </c>
      <c r="I611" s="14" t="s">
        <v>355</v>
      </c>
      <c r="J611" s="12" t="s">
        <v>913</v>
      </c>
      <c r="K611" s="2">
        <v>1</v>
      </c>
      <c r="L611" s="12" t="s">
        <v>369</v>
      </c>
      <c r="M611">
        <f>YEAR(VentesMagasins!$C611)</f>
        <v>2023</v>
      </c>
      <c r="N611" t="e" cm="1" vm="1">
        <f t="array" aca="1" ref="N611" ca="1">MONTH(DateVente)</f>
        <v>#VALUE!</v>
      </c>
      <c r="O611" t="str">
        <f>PROPER(VentesMagasins!$F611)</f>
        <v>Meuble</v>
      </c>
      <c r="P611">
        <f>VALUE(CLEAN(TRIM(SUBSTITUTE(VentesMagasins!$I611,".",","))))</f>
        <v>0.1</v>
      </c>
      <c r="Q611">
        <f>VALUE(TRIM(SUBSTITUTE(VentesMagasins!$J611,".",",")))</f>
        <v>1777.5</v>
      </c>
      <c r="R611">
        <f t="shared" si="27"/>
        <v>1599.75</v>
      </c>
      <c r="S611">
        <f>IF(VentesMagasins!$K611=1,(-1)*R611,R611)</f>
        <v>-1599.75</v>
      </c>
      <c r="T611">
        <f>IFERROR(VALUE(TRIM(SUBSTITUTE(VentesMagasins!$L611,".",","))),0)</f>
        <v>1</v>
      </c>
      <c r="U611">
        <f t="shared" si="28"/>
        <v>1</v>
      </c>
      <c r="V611" t="str">
        <f t="shared" si="29"/>
        <v>faible</v>
      </c>
      <c r="W611" t="str">
        <f>_xlfn.XLOOKUP(VentesMagasins!$B611,Clients!ClientID,Région)</f>
        <v>Sud</v>
      </c>
      <c r="X611" t="str">
        <f>INDEX(TypeClient,MATCH(VentesMagasins!$B611,Clients!ClientID))</f>
        <v>Fidèle</v>
      </c>
      <c r="Y611" t="str">
        <v>avr</v>
      </c>
    </row>
    <row r="612" spans="1:25" x14ac:dyDescent="0.25">
      <c r="A612" s="2">
        <v>611</v>
      </c>
      <c r="B612" s="12" t="s">
        <v>59</v>
      </c>
      <c r="C612" s="13">
        <v>44927</v>
      </c>
      <c r="D612" s="12" t="s">
        <v>333</v>
      </c>
      <c r="E612" s="14" t="s">
        <v>334</v>
      </c>
      <c r="F612" s="12" t="s">
        <v>324</v>
      </c>
      <c r="G612" s="2">
        <v>5</v>
      </c>
      <c r="H612" s="3">
        <v>467</v>
      </c>
      <c r="I612" s="14" t="s">
        <v>325</v>
      </c>
      <c r="J612" s="12" t="s">
        <v>914</v>
      </c>
      <c r="K612" s="2">
        <v>0</v>
      </c>
      <c r="L612" s="12" t="s">
        <v>344</v>
      </c>
      <c r="M612">
        <f>YEAR(VentesMagasins!$C612)</f>
        <v>2023</v>
      </c>
      <c r="N612" t="e" cm="1" vm="1">
        <f t="array" aca="1" ref="N612" ca="1">MONTH(DateVente)</f>
        <v>#VALUE!</v>
      </c>
      <c r="O612" t="str">
        <f>PROPER(VentesMagasins!$F612)</f>
        <v>Électronique</v>
      </c>
      <c r="P612">
        <f>VALUE(CLEAN(TRIM(SUBSTITUTE(VentesMagasins!$I612,".",","))))</f>
        <v>0.15</v>
      </c>
      <c r="Q612">
        <f>VALUE(TRIM(SUBSTITUTE(VentesMagasins!$J612,".",",")))</f>
        <v>1984.75</v>
      </c>
      <c r="R612">
        <f t="shared" si="27"/>
        <v>1687.0374999999999</v>
      </c>
      <c r="S612">
        <f>IF(VentesMagasins!$K612=1,(-1)*R612,R612)</f>
        <v>1687.0374999999999</v>
      </c>
      <c r="T612">
        <f>IFERROR(VALUE(TRIM(SUBSTITUTE(VentesMagasins!$L612,".",","))),0)</f>
        <v>2</v>
      </c>
      <c r="U612">
        <f t="shared" si="28"/>
        <v>2</v>
      </c>
      <c r="V612" t="str">
        <f t="shared" si="29"/>
        <v>faible</v>
      </c>
      <c r="W612" t="str">
        <f>_xlfn.XLOOKUP(VentesMagasins!$B612,Clients!ClientID,Région)</f>
        <v>Sud</v>
      </c>
      <c r="X612" t="str">
        <f>INDEX(TypeClient,MATCH(VentesMagasins!$B612,Clients!ClientID))</f>
        <v>Occasionnel</v>
      </c>
      <c r="Y612" t="str">
        <v>janv</v>
      </c>
    </row>
    <row r="613" spans="1:25" x14ac:dyDescent="0.25">
      <c r="A613" s="2">
        <v>612</v>
      </c>
      <c r="B613" s="12" t="s">
        <v>124</v>
      </c>
      <c r="C613" s="13">
        <v>45901</v>
      </c>
      <c r="D613" s="12" t="s">
        <v>350</v>
      </c>
      <c r="E613" s="14" t="s">
        <v>339</v>
      </c>
      <c r="F613" s="12" t="s">
        <v>324</v>
      </c>
      <c r="G613" s="2">
        <v>3</v>
      </c>
      <c r="H613" s="3">
        <v>35</v>
      </c>
      <c r="I613" s="14" t="s">
        <v>342</v>
      </c>
      <c r="J613" s="12" t="s">
        <v>915</v>
      </c>
      <c r="K613" s="2">
        <v>1</v>
      </c>
      <c r="L613" s="12" t="s">
        <v>327</v>
      </c>
      <c r="M613">
        <f>YEAR(VentesMagasins!$C613)</f>
        <v>2025</v>
      </c>
      <c r="N613" t="e" cm="1" vm="1">
        <f t="array" aca="1" ref="N613" ca="1">MONTH(DateVente)</f>
        <v>#VALUE!</v>
      </c>
      <c r="O613" t="str">
        <f>PROPER(VentesMagasins!$F613)</f>
        <v>Électronique</v>
      </c>
      <c r="P613">
        <f>VALUE(CLEAN(TRIM(SUBSTITUTE(VentesMagasins!$I613,".",","))))</f>
        <v>0.05</v>
      </c>
      <c r="Q613">
        <f>VALUE(TRIM(SUBSTITUTE(VentesMagasins!$J613,".",",")))</f>
        <v>99.75</v>
      </c>
      <c r="R613">
        <f t="shared" si="27"/>
        <v>94.762499999999989</v>
      </c>
      <c r="S613">
        <f>IF(VentesMagasins!$K613=1,(-1)*R613,R613)</f>
        <v>-94.762499999999989</v>
      </c>
      <c r="T613">
        <f>IFERROR(VALUE(TRIM(SUBSTITUTE(VentesMagasins!$L613,".",","))),0)</f>
        <v>5</v>
      </c>
      <c r="U613">
        <f t="shared" si="28"/>
        <v>5</v>
      </c>
      <c r="V613" t="str">
        <f t="shared" si="29"/>
        <v>élévé</v>
      </c>
      <c r="W613" t="str">
        <f>_xlfn.XLOOKUP(VentesMagasins!$B613,Clients!ClientID,Région)</f>
        <v>Ouest</v>
      </c>
      <c r="X613" t="str">
        <f>INDEX(TypeClient,MATCH(VentesMagasins!$B613,Clients!ClientID))</f>
        <v>Occasionnel</v>
      </c>
      <c r="Y613" t="str">
        <v>sept</v>
      </c>
    </row>
    <row r="614" spans="1:25" x14ac:dyDescent="0.25">
      <c r="A614" s="2">
        <v>613</v>
      </c>
      <c r="B614" s="12" t="s">
        <v>211</v>
      </c>
      <c r="C614" s="13">
        <v>45519</v>
      </c>
      <c r="D614" s="12" t="s">
        <v>350</v>
      </c>
      <c r="E614" s="14" t="s">
        <v>329</v>
      </c>
      <c r="F614" s="12" t="s">
        <v>341</v>
      </c>
      <c r="G614" s="2">
        <v>5</v>
      </c>
      <c r="H614" s="3">
        <v>37</v>
      </c>
      <c r="I614" s="14" t="s">
        <v>355</v>
      </c>
      <c r="J614" s="12" t="s">
        <v>916</v>
      </c>
      <c r="K614" s="2">
        <v>0</v>
      </c>
      <c r="L614" s="12" t="s">
        <v>369</v>
      </c>
      <c r="M614">
        <f>YEAR(VentesMagasins!$C614)</f>
        <v>2024</v>
      </c>
      <c r="N614" t="e" cm="1" vm="1">
        <f t="array" aca="1" ref="N614" ca="1">MONTH(DateVente)</f>
        <v>#VALUE!</v>
      </c>
      <c r="O614" t="str">
        <f>PROPER(VentesMagasins!$F614)</f>
        <v>Meuble</v>
      </c>
      <c r="P614">
        <f>VALUE(CLEAN(TRIM(SUBSTITUTE(VentesMagasins!$I614,".",","))))</f>
        <v>0.1</v>
      </c>
      <c r="Q614">
        <f>VALUE(TRIM(SUBSTITUTE(VentesMagasins!$J614,".",",")))</f>
        <v>166.5</v>
      </c>
      <c r="R614">
        <f t="shared" si="27"/>
        <v>149.85</v>
      </c>
      <c r="S614">
        <f>IF(VentesMagasins!$K614=1,(-1)*R614,R614)</f>
        <v>149.85</v>
      </c>
      <c r="T614">
        <f>IFERROR(VALUE(TRIM(SUBSTITUTE(VentesMagasins!$L614,".",","))),0)</f>
        <v>1</v>
      </c>
      <c r="U614">
        <f t="shared" si="28"/>
        <v>1</v>
      </c>
      <c r="V614" t="str">
        <f t="shared" si="29"/>
        <v>faible</v>
      </c>
      <c r="W614" t="str">
        <f>_xlfn.XLOOKUP(VentesMagasins!$B614,Clients!ClientID,Région)</f>
        <v>Sud</v>
      </c>
      <c r="X614" t="str">
        <f>INDEX(TypeClient,MATCH(VentesMagasins!$B614,Clients!ClientID))</f>
        <v>Occasionnel</v>
      </c>
      <c r="Y614" t="str">
        <v>août</v>
      </c>
    </row>
    <row r="615" spans="1:25" x14ac:dyDescent="0.25">
      <c r="A615" s="2">
        <v>614</v>
      </c>
      <c r="B615" s="12" t="s">
        <v>172</v>
      </c>
      <c r="C615" s="13">
        <v>45914</v>
      </c>
      <c r="D615" s="12" t="s">
        <v>338</v>
      </c>
      <c r="E615" s="14" t="s">
        <v>364</v>
      </c>
      <c r="F615" s="12" t="s">
        <v>341</v>
      </c>
      <c r="G615" s="2">
        <v>3</v>
      </c>
      <c r="H615" s="3">
        <v>334</v>
      </c>
      <c r="I615" s="14" t="s">
        <v>325</v>
      </c>
      <c r="J615" s="12" t="s">
        <v>917</v>
      </c>
      <c r="K615" s="2">
        <v>0</v>
      </c>
      <c r="L615" s="12" t="s">
        <v>332</v>
      </c>
      <c r="M615">
        <f>YEAR(VentesMagasins!$C615)</f>
        <v>2025</v>
      </c>
      <c r="N615" t="e" cm="1" vm="1">
        <f t="array" aca="1" ref="N615" ca="1">MONTH(DateVente)</f>
        <v>#VALUE!</v>
      </c>
      <c r="O615" t="str">
        <f>PROPER(VentesMagasins!$F615)</f>
        <v>Meuble</v>
      </c>
      <c r="P615">
        <f>VALUE(CLEAN(TRIM(SUBSTITUTE(VentesMagasins!$I615,".",","))))</f>
        <v>0.15</v>
      </c>
      <c r="Q615">
        <f>VALUE(TRIM(SUBSTITUTE(VentesMagasins!$J615,".",",")))</f>
        <v>851.69999999999902</v>
      </c>
      <c r="R615">
        <f t="shared" si="27"/>
        <v>723.94499999999914</v>
      </c>
      <c r="S615">
        <f>IF(VentesMagasins!$K615=1,(-1)*R615,R615)</f>
        <v>723.94499999999914</v>
      </c>
      <c r="T615">
        <f>IFERROR(VALUE(TRIM(SUBSTITUTE(VentesMagasins!$L615,".",","))),0)</f>
        <v>4</v>
      </c>
      <c r="U615">
        <f t="shared" si="28"/>
        <v>4</v>
      </c>
      <c r="V615" t="str">
        <f t="shared" si="29"/>
        <v>moyenne</v>
      </c>
      <c r="W615" t="str">
        <f>_xlfn.XLOOKUP(VentesMagasins!$B615,Clients!ClientID,Région)</f>
        <v>Centre</v>
      </c>
      <c r="X615" t="str">
        <f>INDEX(TypeClient,MATCH(VentesMagasins!$B615,Clients!ClientID))</f>
        <v>Nouveau</v>
      </c>
      <c r="Y615" t="str">
        <v>sept</v>
      </c>
    </row>
    <row r="616" spans="1:25" x14ac:dyDescent="0.25">
      <c r="A616" s="2">
        <v>615</v>
      </c>
      <c r="B616" s="12" t="s">
        <v>182</v>
      </c>
      <c r="C616" s="13">
        <v>45652</v>
      </c>
      <c r="D616" s="12" t="s">
        <v>338</v>
      </c>
      <c r="E616" s="14" t="s">
        <v>334</v>
      </c>
      <c r="F616" s="12" t="s">
        <v>341</v>
      </c>
      <c r="G616" s="2">
        <v>2</v>
      </c>
      <c r="H616" s="3">
        <v>72</v>
      </c>
      <c r="I616" s="14" t="s">
        <v>335</v>
      </c>
      <c r="J616" s="12" t="s">
        <v>908</v>
      </c>
      <c r="K616" s="2">
        <v>0</v>
      </c>
      <c r="L616" s="12" t="s">
        <v>369</v>
      </c>
      <c r="M616">
        <f>YEAR(VentesMagasins!$C616)</f>
        <v>2024</v>
      </c>
      <c r="N616" t="e" cm="1" vm="1">
        <f t="array" aca="1" ref="N616" ca="1">MONTH(DateVente)</f>
        <v>#VALUE!</v>
      </c>
      <c r="O616" t="str">
        <f>PROPER(VentesMagasins!$F616)</f>
        <v>Meuble</v>
      </c>
      <c r="P616">
        <f>VALUE(CLEAN(TRIM(SUBSTITUTE(VentesMagasins!$I616,".",","))))</f>
        <v>0</v>
      </c>
      <c r="Q616">
        <f>VALUE(TRIM(SUBSTITUTE(VentesMagasins!$J616,".",",")))</f>
        <v>144</v>
      </c>
      <c r="R616">
        <f t="shared" si="27"/>
        <v>144</v>
      </c>
      <c r="S616">
        <f>IF(VentesMagasins!$K616=1,(-1)*R616,R616)</f>
        <v>144</v>
      </c>
      <c r="T616">
        <f>IFERROR(VALUE(TRIM(SUBSTITUTE(VentesMagasins!$L616,".",","))),0)</f>
        <v>1</v>
      </c>
      <c r="U616">
        <f t="shared" si="28"/>
        <v>1</v>
      </c>
      <c r="V616" t="str">
        <f t="shared" si="29"/>
        <v>faible</v>
      </c>
      <c r="W616" t="str">
        <f>_xlfn.XLOOKUP(VentesMagasins!$B616,Clients!ClientID,Région)</f>
        <v>Nord</v>
      </c>
      <c r="X616" t="str">
        <f>INDEX(TypeClient,MATCH(VentesMagasins!$B616,Clients!ClientID))</f>
        <v>Fidèle</v>
      </c>
      <c r="Y616" t="str">
        <v>déc</v>
      </c>
    </row>
    <row r="617" spans="1:25" x14ac:dyDescent="0.25">
      <c r="A617" s="2">
        <v>616</v>
      </c>
      <c r="B617" s="12" t="s">
        <v>280</v>
      </c>
      <c r="C617" s="13">
        <v>46014</v>
      </c>
      <c r="D617" s="12" t="s">
        <v>350</v>
      </c>
      <c r="E617" s="14" t="s">
        <v>334</v>
      </c>
      <c r="F617" s="12" t="s">
        <v>358</v>
      </c>
      <c r="G617" s="2">
        <v>2</v>
      </c>
      <c r="H617" s="3">
        <v>470</v>
      </c>
      <c r="I617" s="14" t="s">
        <v>335</v>
      </c>
      <c r="J617" s="12" t="s">
        <v>640</v>
      </c>
      <c r="K617" s="2">
        <v>0</v>
      </c>
      <c r="L617" s="12" t="s">
        <v>344</v>
      </c>
      <c r="M617">
        <f>YEAR(VentesMagasins!$C617)</f>
        <v>2025</v>
      </c>
      <c r="N617" t="e" cm="1" vm="1">
        <f t="array" aca="1" ref="N617" ca="1">MONTH(DateVente)</f>
        <v>#VALUE!</v>
      </c>
      <c r="O617" t="str">
        <f>PROPER(VentesMagasins!$F617)</f>
        <v>Électronique</v>
      </c>
      <c r="P617">
        <f>VALUE(CLEAN(TRIM(SUBSTITUTE(VentesMagasins!$I617,".",","))))</f>
        <v>0</v>
      </c>
      <c r="Q617">
        <f>VALUE(TRIM(SUBSTITUTE(VentesMagasins!$J617,".",",")))</f>
        <v>940</v>
      </c>
      <c r="R617">
        <f t="shared" si="27"/>
        <v>940</v>
      </c>
      <c r="S617">
        <f>IF(VentesMagasins!$K617=1,(-1)*R617,R617)</f>
        <v>940</v>
      </c>
      <c r="T617">
        <f>IFERROR(VALUE(TRIM(SUBSTITUTE(VentesMagasins!$L617,".",","))),0)</f>
        <v>2</v>
      </c>
      <c r="U617">
        <f t="shared" si="28"/>
        <v>2</v>
      </c>
      <c r="V617" t="str">
        <f t="shared" si="29"/>
        <v>faible</v>
      </c>
      <c r="W617" t="str">
        <f>_xlfn.XLOOKUP(VentesMagasins!$B617,Clients!ClientID,Région)</f>
        <v>Ouest</v>
      </c>
      <c r="X617" t="str">
        <f>INDEX(TypeClient,MATCH(VentesMagasins!$B617,Clients!ClientID))</f>
        <v>Nouveau</v>
      </c>
      <c r="Y617" t="str">
        <v>déc</v>
      </c>
    </row>
    <row r="618" spans="1:25" x14ac:dyDescent="0.25">
      <c r="A618" s="2">
        <v>617</v>
      </c>
      <c r="B618" s="12" t="s">
        <v>130</v>
      </c>
      <c r="C618" s="13">
        <v>45360</v>
      </c>
      <c r="D618" s="12" t="s">
        <v>328</v>
      </c>
      <c r="E618" s="14" t="s">
        <v>345</v>
      </c>
      <c r="F618" s="12" t="s">
        <v>341</v>
      </c>
      <c r="G618" s="2">
        <v>5</v>
      </c>
      <c r="H618" s="3">
        <v>177</v>
      </c>
      <c r="I618" s="14" t="s">
        <v>355</v>
      </c>
      <c r="J618" s="12" t="s">
        <v>918</v>
      </c>
      <c r="K618" s="2">
        <v>0</v>
      </c>
      <c r="L618" s="12" t="s">
        <v>352</v>
      </c>
      <c r="M618">
        <f>YEAR(VentesMagasins!$C618)</f>
        <v>2024</v>
      </c>
      <c r="N618" t="e" cm="1" vm="1">
        <f t="array" aca="1" ref="N618" ca="1">MONTH(DateVente)</f>
        <v>#VALUE!</v>
      </c>
      <c r="O618" t="str">
        <f>PROPER(VentesMagasins!$F618)</f>
        <v>Meuble</v>
      </c>
      <c r="P618">
        <f>VALUE(CLEAN(TRIM(SUBSTITUTE(VentesMagasins!$I618,".",","))))</f>
        <v>0.1</v>
      </c>
      <c r="Q618">
        <f>VALUE(TRIM(SUBSTITUTE(VentesMagasins!$J618,".",",")))</f>
        <v>796.5</v>
      </c>
      <c r="R618">
        <f t="shared" si="27"/>
        <v>716.85</v>
      </c>
      <c r="S618">
        <f>IF(VentesMagasins!$K618=1,(-1)*R618,R618)</f>
        <v>716.85</v>
      </c>
      <c r="T618">
        <f>IFERROR(VALUE(TRIM(SUBSTITUTE(VentesMagasins!$L618,".",","))),0)</f>
        <v>0</v>
      </c>
      <c r="U618">
        <f t="shared" si="28"/>
        <v>3</v>
      </c>
      <c r="V618" t="str">
        <f t="shared" si="29"/>
        <v>moyenne</v>
      </c>
      <c r="W618" t="str">
        <f>_xlfn.XLOOKUP(VentesMagasins!$B618,Clients!ClientID,Région)</f>
        <v>Sud</v>
      </c>
      <c r="X618" t="str">
        <f>INDEX(TypeClient,MATCH(VentesMagasins!$B618,Clients!ClientID))</f>
        <v>Occasionnel</v>
      </c>
      <c r="Y618" t="str">
        <v>mars</v>
      </c>
    </row>
    <row r="619" spans="1:25" x14ac:dyDescent="0.25">
      <c r="A619" s="2">
        <v>618</v>
      </c>
      <c r="B619" s="12" t="s">
        <v>68</v>
      </c>
      <c r="C619" s="13">
        <v>45510</v>
      </c>
      <c r="D619" s="12" t="s">
        <v>338</v>
      </c>
      <c r="E619" s="14" t="s">
        <v>348</v>
      </c>
      <c r="F619" s="12" t="s">
        <v>330</v>
      </c>
      <c r="G619" s="2">
        <v>4</v>
      </c>
      <c r="H619" s="3">
        <v>245</v>
      </c>
      <c r="I619" s="14" t="s">
        <v>325</v>
      </c>
      <c r="J619" s="12" t="s">
        <v>919</v>
      </c>
      <c r="K619" s="2">
        <v>0</v>
      </c>
      <c r="L619" s="12" t="s">
        <v>352</v>
      </c>
      <c r="M619">
        <f>YEAR(VentesMagasins!$C619)</f>
        <v>2024</v>
      </c>
      <c r="N619" t="e" cm="1" vm="1">
        <f t="array" aca="1" ref="N619" ca="1">MONTH(DateVente)</f>
        <v>#VALUE!</v>
      </c>
      <c r="O619" t="str">
        <f>PROPER(VentesMagasins!$F619)</f>
        <v>Décoration</v>
      </c>
      <c r="P619">
        <f>VALUE(CLEAN(TRIM(SUBSTITUTE(VentesMagasins!$I619,".",","))))</f>
        <v>0.15</v>
      </c>
      <c r="Q619">
        <f>VALUE(TRIM(SUBSTITUTE(VentesMagasins!$J619,".",",")))</f>
        <v>833</v>
      </c>
      <c r="R619">
        <f t="shared" si="27"/>
        <v>708.05</v>
      </c>
      <c r="S619">
        <f>IF(VentesMagasins!$K619=1,(-1)*R619,R619)</f>
        <v>708.05</v>
      </c>
      <c r="T619">
        <f>IFERROR(VALUE(TRIM(SUBSTITUTE(VentesMagasins!$L619,".",","))),0)</f>
        <v>0</v>
      </c>
      <c r="U619">
        <f t="shared" si="28"/>
        <v>3</v>
      </c>
      <c r="V619" t="str">
        <f t="shared" si="29"/>
        <v>moyenne</v>
      </c>
      <c r="W619" t="str">
        <f>_xlfn.XLOOKUP(VentesMagasins!$B619,Clients!ClientID,Région)</f>
        <v>Nord</v>
      </c>
      <c r="X619" t="str">
        <f>INDEX(TypeClient,MATCH(VentesMagasins!$B619,Clients!ClientID))</f>
        <v>Occasionnel</v>
      </c>
      <c r="Y619" t="str">
        <v>août</v>
      </c>
    </row>
    <row r="620" spans="1:25" x14ac:dyDescent="0.25">
      <c r="A620" s="2">
        <v>619</v>
      </c>
      <c r="B620" s="12" t="s">
        <v>207</v>
      </c>
      <c r="C620" s="13">
        <v>45034</v>
      </c>
      <c r="D620" s="12" t="s">
        <v>338</v>
      </c>
      <c r="E620" s="14" t="s">
        <v>345</v>
      </c>
      <c r="F620" s="12" t="s">
        <v>330</v>
      </c>
      <c r="G620" s="2">
        <v>1</v>
      </c>
      <c r="H620" s="3">
        <v>279</v>
      </c>
      <c r="I620" s="14" t="s">
        <v>335</v>
      </c>
      <c r="J620" s="12" t="s">
        <v>581</v>
      </c>
      <c r="K620" s="2">
        <v>0</v>
      </c>
      <c r="L620" s="12" t="s">
        <v>327</v>
      </c>
      <c r="M620">
        <f>YEAR(VentesMagasins!$C620)</f>
        <v>2023</v>
      </c>
      <c r="N620" t="e" cm="1" vm="1">
        <f t="array" aca="1" ref="N620" ca="1">MONTH(DateVente)</f>
        <v>#VALUE!</v>
      </c>
      <c r="O620" t="str">
        <f>PROPER(VentesMagasins!$F620)</f>
        <v>Décoration</v>
      </c>
      <c r="P620">
        <f>VALUE(CLEAN(TRIM(SUBSTITUTE(VentesMagasins!$I620,".",","))))</f>
        <v>0</v>
      </c>
      <c r="Q620">
        <f>VALUE(TRIM(SUBSTITUTE(VentesMagasins!$J620,".",",")))</f>
        <v>279</v>
      </c>
      <c r="R620">
        <f t="shared" si="27"/>
        <v>279</v>
      </c>
      <c r="S620">
        <f>IF(VentesMagasins!$K620=1,(-1)*R620,R620)</f>
        <v>279</v>
      </c>
      <c r="T620">
        <f>IFERROR(VALUE(TRIM(SUBSTITUTE(VentesMagasins!$L620,".",","))),0)</f>
        <v>5</v>
      </c>
      <c r="U620">
        <f t="shared" si="28"/>
        <v>5</v>
      </c>
      <c r="V620" t="str">
        <f t="shared" si="29"/>
        <v>élévé</v>
      </c>
      <c r="W620" t="str">
        <f>_xlfn.XLOOKUP(VentesMagasins!$B620,Clients!ClientID,Région)</f>
        <v>Ouest</v>
      </c>
      <c r="X620" t="str">
        <f>INDEX(TypeClient,MATCH(VentesMagasins!$B620,Clients!ClientID))</f>
        <v>Nouveau</v>
      </c>
      <c r="Y620" t="str">
        <v>avr</v>
      </c>
    </row>
    <row r="621" spans="1:25" x14ac:dyDescent="0.25">
      <c r="A621" s="2">
        <v>620</v>
      </c>
      <c r="B621" s="12" t="s">
        <v>282</v>
      </c>
      <c r="C621" s="13">
        <v>45267</v>
      </c>
      <c r="D621" s="12" t="s">
        <v>350</v>
      </c>
      <c r="E621" s="14" t="s">
        <v>362</v>
      </c>
      <c r="F621" s="12" t="s">
        <v>324</v>
      </c>
      <c r="G621" s="2">
        <v>2</v>
      </c>
      <c r="H621" s="3">
        <v>405</v>
      </c>
      <c r="I621" s="14" t="s">
        <v>355</v>
      </c>
      <c r="J621" s="12" t="s">
        <v>920</v>
      </c>
      <c r="K621" s="2">
        <v>0</v>
      </c>
      <c r="L621" s="12" t="s">
        <v>337</v>
      </c>
      <c r="M621">
        <f>YEAR(VentesMagasins!$C621)</f>
        <v>2023</v>
      </c>
      <c r="N621" t="e" cm="1" vm="1">
        <f t="array" aca="1" ref="N621" ca="1">MONTH(DateVente)</f>
        <v>#VALUE!</v>
      </c>
      <c r="O621" t="str">
        <f>PROPER(VentesMagasins!$F621)</f>
        <v>Électronique</v>
      </c>
      <c r="P621">
        <f>VALUE(CLEAN(TRIM(SUBSTITUTE(VentesMagasins!$I621,".",","))))</f>
        <v>0.1</v>
      </c>
      <c r="Q621">
        <f>VALUE(TRIM(SUBSTITUTE(VentesMagasins!$J621,".",",")))</f>
        <v>729</v>
      </c>
      <c r="R621">
        <f t="shared" si="27"/>
        <v>656.1</v>
      </c>
      <c r="S621">
        <f>IF(VentesMagasins!$K621=1,(-1)*R621,R621)</f>
        <v>656.1</v>
      </c>
      <c r="T621">
        <f>IFERROR(VALUE(TRIM(SUBSTITUTE(VentesMagasins!$L621,".",","))),0)</f>
        <v>3</v>
      </c>
      <c r="U621">
        <f t="shared" si="28"/>
        <v>3</v>
      </c>
      <c r="V621" t="str">
        <f t="shared" si="29"/>
        <v>moyenne</v>
      </c>
      <c r="W621" t="str">
        <f>_xlfn.XLOOKUP(VentesMagasins!$B621,Clients!ClientID,Région)</f>
        <v>Nord</v>
      </c>
      <c r="X621" t="str">
        <f>INDEX(TypeClient,MATCH(VentesMagasins!$B621,Clients!ClientID))</f>
        <v>Nouveau</v>
      </c>
      <c r="Y621" t="str">
        <v>déc</v>
      </c>
    </row>
    <row r="622" spans="1:25" x14ac:dyDescent="0.25">
      <c r="A622" s="2">
        <v>621</v>
      </c>
      <c r="B622" s="12" t="s">
        <v>246</v>
      </c>
      <c r="C622" s="13">
        <v>45920</v>
      </c>
      <c r="D622" s="12" t="s">
        <v>333</v>
      </c>
      <c r="E622" s="14" t="s">
        <v>345</v>
      </c>
      <c r="F622" s="12" t="s">
        <v>330</v>
      </c>
      <c r="G622" s="2">
        <v>4</v>
      </c>
      <c r="H622" s="3">
        <v>27</v>
      </c>
      <c r="I622" s="14" t="s">
        <v>335</v>
      </c>
      <c r="J622" s="12" t="s">
        <v>921</v>
      </c>
      <c r="K622" s="2">
        <v>0</v>
      </c>
      <c r="L622" s="12" t="s">
        <v>327</v>
      </c>
      <c r="M622">
        <f>YEAR(VentesMagasins!$C622)</f>
        <v>2025</v>
      </c>
      <c r="N622" t="e" cm="1" vm="1">
        <f t="array" aca="1" ref="N622" ca="1">MONTH(DateVente)</f>
        <v>#VALUE!</v>
      </c>
      <c r="O622" t="str">
        <f>PROPER(VentesMagasins!$F622)</f>
        <v>Décoration</v>
      </c>
      <c r="P622">
        <f>VALUE(CLEAN(TRIM(SUBSTITUTE(VentesMagasins!$I622,".",","))))</f>
        <v>0</v>
      </c>
      <c r="Q622">
        <f>VALUE(TRIM(SUBSTITUTE(VentesMagasins!$J622,".",",")))</f>
        <v>108</v>
      </c>
      <c r="R622">
        <f t="shared" si="27"/>
        <v>108</v>
      </c>
      <c r="S622">
        <f>IF(VentesMagasins!$K622=1,(-1)*R622,R622)</f>
        <v>108</v>
      </c>
      <c r="T622">
        <f>IFERROR(VALUE(TRIM(SUBSTITUTE(VentesMagasins!$L622,".",","))),0)</f>
        <v>5</v>
      </c>
      <c r="U622">
        <f t="shared" si="28"/>
        <v>5</v>
      </c>
      <c r="V622" t="str">
        <f t="shared" si="29"/>
        <v>élévé</v>
      </c>
      <c r="W622" t="str">
        <f>_xlfn.XLOOKUP(VentesMagasins!$B622,Clients!ClientID,Région)</f>
        <v>Centre</v>
      </c>
      <c r="X622" t="str">
        <f>INDEX(TypeClient,MATCH(VentesMagasins!$B622,Clients!ClientID))</f>
        <v>Nouveau</v>
      </c>
      <c r="Y622" t="str">
        <v>sept</v>
      </c>
    </row>
    <row r="623" spans="1:25" x14ac:dyDescent="0.25">
      <c r="A623" s="2">
        <v>622</v>
      </c>
      <c r="B623" s="12" t="s">
        <v>308</v>
      </c>
      <c r="C623" s="13">
        <v>45928</v>
      </c>
      <c r="D623" s="12" t="s">
        <v>338</v>
      </c>
      <c r="E623" s="14" t="s">
        <v>345</v>
      </c>
      <c r="F623" s="12" t="s">
        <v>324</v>
      </c>
      <c r="G623" s="2">
        <v>5</v>
      </c>
      <c r="H623" s="3">
        <v>421</v>
      </c>
      <c r="I623" s="14" t="s">
        <v>335</v>
      </c>
      <c r="J623" s="12" t="s">
        <v>922</v>
      </c>
      <c r="K623" s="2">
        <v>1</v>
      </c>
      <c r="L623" s="12" t="s">
        <v>327</v>
      </c>
      <c r="M623">
        <f>YEAR(VentesMagasins!$C623)</f>
        <v>2025</v>
      </c>
      <c r="N623" t="e" cm="1" vm="1">
        <f t="array" aca="1" ref="N623" ca="1">MONTH(DateVente)</f>
        <v>#VALUE!</v>
      </c>
      <c r="O623" t="str">
        <f>PROPER(VentesMagasins!$F623)</f>
        <v>Électronique</v>
      </c>
      <c r="P623">
        <f>VALUE(CLEAN(TRIM(SUBSTITUTE(VentesMagasins!$I623,".",","))))</f>
        <v>0</v>
      </c>
      <c r="Q623">
        <f>VALUE(TRIM(SUBSTITUTE(VentesMagasins!$J623,".",",")))</f>
        <v>2105</v>
      </c>
      <c r="R623">
        <f t="shared" si="27"/>
        <v>2105</v>
      </c>
      <c r="S623">
        <f>IF(VentesMagasins!$K623=1,(-1)*R623,R623)</f>
        <v>-2105</v>
      </c>
      <c r="T623">
        <f>IFERROR(VALUE(TRIM(SUBSTITUTE(VentesMagasins!$L623,".",","))),0)</f>
        <v>5</v>
      </c>
      <c r="U623">
        <f t="shared" si="28"/>
        <v>5</v>
      </c>
      <c r="V623" t="str">
        <f t="shared" si="29"/>
        <v>élévé</v>
      </c>
      <c r="W623" t="str">
        <f>_xlfn.XLOOKUP(VentesMagasins!$B623,Clients!ClientID,Région)</f>
        <v>Centre</v>
      </c>
      <c r="X623" t="str">
        <f>INDEX(TypeClient,MATCH(VentesMagasins!$B623,Clients!ClientID))</f>
        <v>Fidèle</v>
      </c>
      <c r="Y623" t="str">
        <v>sept</v>
      </c>
    </row>
    <row r="624" spans="1:25" x14ac:dyDescent="0.25">
      <c r="A624" s="2">
        <v>623</v>
      </c>
      <c r="B624" s="12" t="s">
        <v>144</v>
      </c>
      <c r="C624" s="13">
        <v>45323</v>
      </c>
      <c r="D624" s="12" t="s">
        <v>322</v>
      </c>
      <c r="E624" s="14" t="s">
        <v>362</v>
      </c>
      <c r="F624" s="12" t="s">
        <v>341</v>
      </c>
      <c r="G624" s="2">
        <v>5</v>
      </c>
      <c r="H624" s="3">
        <v>477</v>
      </c>
      <c r="I624" s="14" t="s">
        <v>335</v>
      </c>
      <c r="J624" s="12" t="s">
        <v>923</v>
      </c>
      <c r="K624" s="2">
        <v>0</v>
      </c>
      <c r="L624" s="12" t="s">
        <v>327</v>
      </c>
      <c r="M624">
        <f>YEAR(VentesMagasins!$C624)</f>
        <v>2024</v>
      </c>
      <c r="N624" t="e" cm="1" vm="1">
        <f t="array" aca="1" ref="N624" ca="1">MONTH(DateVente)</f>
        <v>#VALUE!</v>
      </c>
      <c r="O624" t="str">
        <f>PROPER(VentesMagasins!$F624)</f>
        <v>Meuble</v>
      </c>
      <c r="P624">
        <f>VALUE(CLEAN(TRIM(SUBSTITUTE(VentesMagasins!$I624,".",","))))</f>
        <v>0</v>
      </c>
      <c r="Q624">
        <f>VALUE(TRIM(SUBSTITUTE(VentesMagasins!$J624,".",",")))</f>
        <v>2385</v>
      </c>
      <c r="R624">
        <f t="shared" si="27"/>
        <v>2385</v>
      </c>
      <c r="S624">
        <f>IF(VentesMagasins!$K624=1,(-1)*R624,R624)</f>
        <v>2385</v>
      </c>
      <c r="T624">
        <f>IFERROR(VALUE(TRIM(SUBSTITUTE(VentesMagasins!$L624,".",","))),0)</f>
        <v>5</v>
      </c>
      <c r="U624">
        <f t="shared" si="28"/>
        <v>5</v>
      </c>
      <c r="V624" t="str">
        <f t="shared" si="29"/>
        <v>élévé</v>
      </c>
      <c r="W624" t="str">
        <f>_xlfn.XLOOKUP(VentesMagasins!$B624,Clients!ClientID,Région)</f>
        <v>Centre</v>
      </c>
      <c r="X624" t="str">
        <f>INDEX(TypeClient,MATCH(VentesMagasins!$B624,Clients!ClientID))</f>
        <v>Occasionnel</v>
      </c>
      <c r="Y624" t="str">
        <v>févr</v>
      </c>
    </row>
    <row r="625" spans="1:25" x14ac:dyDescent="0.25">
      <c r="A625" s="2">
        <v>624</v>
      </c>
      <c r="B625" s="12" t="s">
        <v>204</v>
      </c>
      <c r="C625" s="13">
        <v>45515</v>
      </c>
      <c r="D625" s="12" t="s">
        <v>333</v>
      </c>
      <c r="E625" s="14" t="s">
        <v>339</v>
      </c>
      <c r="F625" s="12" t="s">
        <v>341</v>
      </c>
      <c r="G625" s="2">
        <v>2</v>
      </c>
      <c r="H625" s="3">
        <v>254</v>
      </c>
      <c r="I625" s="14" t="s">
        <v>325</v>
      </c>
      <c r="J625" s="12" t="s">
        <v>924</v>
      </c>
      <c r="K625" s="2">
        <v>0</v>
      </c>
      <c r="L625" s="12" t="s">
        <v>344</v>
      </c>
      <c r="M625">
        <f>YEAR(VentesMagasins!$C625)</f>
        <v>2024</v>
      </c>
      <c r="N625" t="e" cm="1" vm="1">
        <f t="array" aca="1" ref="N625" ca="1">MONTH(DateVente)</f>
        <v>#VALUE!</v>
      </c>
      <c r="O625" t="str">
        <f>PROPER(VentesMagasins!$F625)</f>
        <v>Meuble</v>
      </c>
      <c r="P625">
        <f>VALUE(CLEAN(TRIM(SUBSTITUTE(VentesMagasins!$I625,".",","))))</f>
        <v>0.15</v>
      </c>
      <c r="Q625">
        <f>VALUE(TRIM(SUBSTITUTE(VentesMagasins!$J625,".",",")))</f>
        <v>431.8</v>
      </c>
      <c r="R625">
        <f t="shared" si="27"/>
        <v>367.03</v>
      </c>
      <c r="S625">
        <f>IF(VentesMagasins!$K625=1,(-1)*R625,R625)</f>
        <v>367.03</v>
      </c>
      <c r="T625">
        <f>IFERROR(VALUE(TRIM(SUBSTITUTE(VentesMagasins!$L625,".",","))),0)</f>
        <v>2</v>
      </c>
      <c r="U625">
        <f t="shared" si="28"/>
        <v>2</v>
      </c>
      <c r="V625" t="str">
        <f t="shared" si="29"/>
        <v>faible</v>
      </c>
      <c r="W625" t="str">
        <f>_xlfn.XLOOKUP(VentesMagasins!$B625,Clients!ClientID,Région)</f>
        <v>Centre</v>
      </c>
      <c r="X625" t="str">
        <f>INDEX(TypeClient,MATCH(VentesMagasins!$B625,Clients!ClientID))</f>
        <v>Occasionnel</v>
      </c>
      <c r="Y625" t="str">
        <v>août</v>
      </c>
    </row>
    <row r="626" spans="1:25" x14ac:dyDescent="0.25">
      <c r="A626" s="2">
        <v>625</v>
      </c>
      <c r="B626" s="12" t="s">
        <v>20</v>
      </c>
      <c r="C626" s="13">
        <v>45714</v>
      </c>
      <c r="D626" s="12" t="s">
        <v>333</v>
      </c>
      <c r="E626" s="14" t="s">
        <v>329</v>
      </c>
      <c r="F626" s="12" t="s">
        <v>330</v>
      </c>
      <c r="G626" s="2">
        <v>4</v>
      </c>
      <c r="H626" s="3">
        <v>428</v>
      </c>
      <c r="I626" s="14" t="s">
        <v>335</v>
      </c>
      <c r="J626" s="12" t="s">
        <v>925</v>
      </c>
      <c r="K626" s="2">
        <v>0</v>
      </c>
      <c r="L626" s="12" t="s">
        <v>337</v>
      </c>
      <c r="M626">
        <f>YEAR(VentesMagasins!$C626)</f>
        <v>2025</v>
      </c>
      <c r="N626" t="e" cm="1" vm="1">
        <f t="array" aca="1" ref="N626" ca="1">MONTH(DateVente)</f>
        <v>#VALUE!</v>
      </c>
      <c r="O626" t="str">
        <f>PROPER(VentesMagasins!$F626)</f>
        <v>Décoration</v>
      </c>
      <c r="P626">
        <f>VALUE(CLEAN(TRIM(SUBSTITUTE(VentesMagasins!$I626,".",","))))</f>
        <v>0</v>
      </c>
      <c r="Q626">
        <f>VALUE(TRIM(SUBSTITUTE(VentesMagasins!$J626,".",",")))</f>
        <v>1712</v>
      </c>
      <c r="R626">
        <f t="shared" si="27"/>
        <v>1712</v>
      </c>
      <c r="S626">
        <f>IF(VentesMagasins!$K626=1,(-1)*R626,R626)</f>
        <v>1712</v>
      </c>
      <c r="T626">
        <f>IFERROR(VALUE(TRIM(SUBSTITUTE(VentesMagasins!$L626,".",","))),0)</f>
        <v>3</v>
      </c>
      <c r="U626">
        <f t="shared" si="28"/>
        <v>3</v>
      </c>
      <c r="V626" t="str">
        <f t="shared" si="29"/>
        <v>moyenne</v>
      </c>
      <c r="W626" t="str">
        <f>_xlfn.XLOOKUP(VentesMagasins!$B626,Clients!ClientID,Région)</f>
        <v>Centre</v>
      </c>
      <c r="X626" t="str">
        <f>INDEX(TypeClient,MATCH(VentesMagasins!$B626,Clients!ClientID))</f>
        <v>Nouveau</v>
      </c>
      <c r="Y626" t="str">
        <v>févr</v>
      </c>
    </row>
    <row r="627" spans="1:25" x14ac:dyDescent="0.25">
      <c r="A627" s="2">
        <v>626</v>
      </c>
      <c r="B627" s="12" t="s">
        <v>166</v>
      </c>
      <c r="C627" s="13">
        <v>45874</v>
      </c>
      <c r="D627" s="12" t="s">
        <v>350</v>
      </c>
      <c r="E627" s="14" t="s">
        <v>348</v>
      </c>
      <c r="F627" s="12" t="s">
        <v>330</v>
      </c>
      <c r="G627" s="2">
        <v>3</v>
      </c>
      <c r="H627" s="3">
        <v>480</v>
      </c>
      <c r="I627" s="14" t="s">
        <v>335</v>
      </c>
      <c r="J627" s="12" t="s">
        <v>926</v>
      </c>
      <c r="K627" s="2">
        <v>1</v>
      </c>
      <c r="L627" s="12" t="s">
        <v>327</v>
      </c>
      <c r="M627">
        <f>YEAR(VentesMagasins!$C627)</f>
        <v>2025</v>
      </c>
      <c r="N627" t="e" cm="1" vm="1">
        <f t="array" aca="1" ref="N627" ca="1">MONTH(DateVente)</f>
        <v>#VALUE!</v>
      </c>
      <c r="O627" t="str">
        <f>PROPER(VentesMagasins!$F627)</f>
        <v>Décoration</v>
      </c>
      <c r="P627">
        <f>VALUE(CLEAN(TRIM(SUBSTITUTE(VentesMagasins!$I627,".",","))))</f>
        <v>0</v>
      </c>
      <c r="Q627">
        <f>VALUE(TRIM(SUBSTITUTE(VentesMagasins!$J627,".",",")))</f>
        <v>1440</v>
      </c>
      <c r="R627">
        <f t="shared" si="27"/>
        <v>1440</v>
      </c>
      <c r="S627">
        <f>IF(VentesMagasins!$K627=1,(-1)*R627,R627)</f>
        <v>-1440</v>
      </c>
      <c r="T627">
        <f>IFERROR(VALUE(TRIM(SUBSTITUTE(VentesMagasins!$L627,".",","))),0)</f>
        <v>5</v>
      </c>
      <c r="U627">
        <f t="shared" si="28"/>
        <v>5</v>
      </c>
      <c r="V627" t="str">
        <f t="shared" si="29"/>
        <v>élévé</v>
      </c>
      <c r="W627" t="str">
        <f>_xlfn.XLOOKUP(VentesMagasins!$B627,Clients!ClientID,Région)</f>
        <v>Ouest</v>
      </c>
      <c r="X627" t="str">
        <f>INDEX(TypeClient,MATCH(VentesMagasins!$B627,Clients!ClientID))</f>
        <v>Occasionnel</v>
      </c>
      <c r="Y627" t="str">
        <v>août</v>
      </c>
    </row>
    <row r="628" spans="1:25" x14ac:dyDescent="0.25">
      <c r="A628" s="2">
        <v>627</v>
      </c>
      <c r="B628" s="12" t="s">
        <v>85</v>
      </c>
      <c r="C628" s="13">
        <v>45287</v>
      </c>
      <c r="D628" s="12" t="s">
        <v>333</v>
      </c>
      <c r="E628" s="14" t="s">
        <v>362</v>
      </c>
      <c r="F628" s="12" t="s">
        <v>330</v>
      </c>
      <c r="G628" s="2">
        <v>5</v>
      </c>
      <c r="H628" s="3">
        <v>377</v>
      </c>
      <c r="I628" s="14" t="s">
        <v>335</v>
      </c>
      <c r="J628" s="12" t="s">
        <v>927</v>
      </c>
      <c r="K628" s="2">
        <v>0</v>
      </c>
      <c r="L628" s="12" t="s">
        <v>369</v>
      </c>
      <c r="M628">
        <f>YEAR(VentesMagasins!$C628)</f>
        <v>2023</v>
      </c>
      <c r="N628" t="e" cm="1" vm="1">
        <f t="array" aca="1" ref="N628" ca="1">MONTH(DateVente)</f>
        <v>#VALUE!</v>
      </c>
      <c r="O628" t="str">
        <f>PROPER(VentesMagasins!$F628)</f>
        <v>Décoration</v>
      </c>
      <c r="P628">
        <f>VALUE(CLEAN(TRIM(SUBSTITUTE(VentesMagasins!$I628,".",","))))</f>
        <v>0</v>
      </c>
      <c r="Q628">
        <f>VALUE(TRIM(SUBSTITUTE(VentesMagasins!$J628,".",",")))</f>
        <v>2073.5</v>
      </c>
      <c r="R628">
        <f t="shared" si="27"/>
        <v>2073.5</v>
      </c>
      <c r="S628">
        <f>IF(VentesMagasins!$K628=1,(-1)*R628,R628)</f>
        <v>2073.5</v>
      </c>
      <c r="T628">
        <f>IFERROR(VALUE(TRIM(SUBSTITUTE(VentesMagasins!$L628,".",","))),0)</f>
        <v>1</v>
      </c>
      <c r="U628">
        <f t="shared" si="28"/>
        <v>1</v>
      </c>
      <c r="V628" t="str">
        <f t="shared" si="29"/>
        <v>faible</v>
      </c>
      <c r="W628" t="str">
        <f>_xlfn.XLOOKUP(VentesMagasins!$B628,Clients!ClientID,Région)</f>
        <v>Sud</v>
      </c>
      <c r="X628" t="str">
        <f>INDEX(TypeClient,MATCH(VentesMagasins!$B628,Clients!ClientID))</f>
        <v>Fidèle</v>
      </c>
      <c r="Y628" t="str">
        <v>déc</v>
      </c>
    </row>
    <row r="629" spans="1:25" x14ac:dyDescent="0.25">
      <c r="A629" s="2">
        <v>628</v>
      </c>
      <c r="B629" s="12" t="s">
        <v>22</v>
      </c>
      <c r="C629" s="13">
        <v>45661</v>
      </c>
      <c r="D629" s="12" t="s">
        <v>328</v>
      </c>
      <c r="E629" s="14" t="s">
        <v>339</v>
      </c>
      <c r="F629" s="12" t="s">
        <v>330</v>
      </c>
      <c r="G629" s="2">
        <v>1</v>
      </c>
      <c r="H629" s="3">
        <v>55</v>
      </c>
      <c r="I629" s="14" t="s">
        <v>355</v>
      </c>
      <c r="J629" s="12" t="s">
        <v>372</v>
      </c>
      <c r="K629" s="2">
        <v>0</v>
      </c>
      <c r="L629" s="12" t="s">
        <v>369</v>
      </c>
      <c r="M629">
        <f>YEAR(VentesMagasins!$C629)</f>
        <v>2025</v>
      </c>
      <c r="N629" t="e" cm="1" vm="1">
        <f t="array" aca="1" ref="N629" ca="1">MONTH(DateVente)</f>
        <v>#VALUE!</v>
      </c>
      <c r="O629" t="str">
        <f>PROPER(VentesMagasins!$F629)</f>
        <v>Décoration</v>
      </c>
      <c r="P629">
        <f>VALUE(CLEAN(TRIM(SUBSTITUTE(VentesMagasins!$I629,".",","))))</f>
        <v>0.1</v>
      </c>
      <c r="Q629">
        <f>VALUE(TRIM(SUBSTITUTE(VentesMagasins!$J629,".",",")))</f>
        <v>49.5</v>
      </c>
      <c r="R629">
        <f t="shared" si="27"/>
        <v>44.550000000000004</v>
      </c>
      <c r="S629">
        <f>IF(VentesMagasins!$K629=1,(-1)*R629,R629)</f>
        <v>44.550000000000004</v>
      </c>
      <c r="T629">
        <f>IFERROR(VALUE(TRIM(SUBSTITUTE(VentesMagasins!$L629,".",","))),0)</f>
        <v>1</v>
      </c>
      <c r="U629">
        <f t="shared" si="28"/>
        <v>1</v>
      </c>
      <c r="V629" t="str">
        <f t="shared" si="29"/>
        <v>faible</v>
      </c>
      <c r="W629" t="str">
        <f>_xlfn.XLOOKUP(VentesMagasins!$B629,Clients!ClientID,Région)</f>
        <v>Ouest</v>
      </c>
      <c r="X629" t="str">
        <f>INDEX(TypeClient,MATCH(VentesMagasins!$B629,Clients!ClientID))</f>
        <v>Nouveau</v>
      </c>
      <c r="Y629" t="str">
        <v>janv</v>
      </c>
    </row>
    <row r="630" spans="1:25" x14ac:dyDescent="0.25">
      <c r="A630" s="2">
        <v>629</v>
      </c>
      <c r="B630" s="12" t="s">
        <v>228</v>
      </c>
      <c r="C630" s="13">
        <v>45965</v>
      </c>
      <c r="D630" s="12" t="s">
        <v>322</v>
      </c>
      <c r="E630" s="14" t="s">
        <v>323</v>
      </c>
      <c r="F630" s="12" t="s">
        <v>341</v>
      </c>
      <c r="G630" s="2">
        <v>1</v>
      </c>
      <c r="H630" s="3">
        <v>459</v>
      </c>
      <c r="I630" s="14" t="s">
        <v>355</v>
      </c>
      <c r="J630" s="12" t="s">
        <v>928</v>
      </c>
      <c r="K630" s="2">
        <v>0</v>
      </c>
      <c r="L630" s="12" t="s">
        <v>337</v>
      </c>
      <c r="M630">
        <f>YEAR(VentesMagasins!$C630)</f>
        <v>2025</v>
      </c>
      <c r="N630" t="e" cm="1" vm="1">
        <f t="array" aca="1" ref="N630" ca="1">MONTH(DateVente)</f>
        <v>#VALUE!</v>
      </c>
      <c r="O630" t="str">
        <f>PROPER(VentesMagasins!$F630)</f>
        <v>Meuble</v>
      </c>
      <c r="P630">
        <f>VALUE(CLEAN(TRIM(SUBSTITUTE(VentesMagasins!$I630,".",","))))</f>
        <v>0.1</v>
      </c>
      <c r="Q630">
        <f>VALUE(TRIM(SUBSTITUTE(VentesMagasins!$J630,".",",")))</f>
        <v>413.1</v>
      </c>
      <c r="R630">
        <f t="shared" si="27"/>
        <v>371.79</v>
      </c>
      <c r="S630">
        <f>IF(VentesMagasins!$K630=1,(-1)*R630,R630)</f>
        <v>371.79</v>
      </c>
      <c r="T630">
        <f>IFERROR(VALUE(TRIM(SUBSTITUTE(VentesMagasins!$L630,".",","))),0)</f>
        <v>3</v>
      </c>
      <c r="U630">
        <f t="shared" si="28"/>
        <v>3</v>
      </c>
      <c r="V630" t="str">
        <f t="shared" si="29"/>
        <v>moyenne</v>
      </c>
      <c r="W630" t="str">
        <f>_xlfn.XLOOKUP(VentesMagasins!$B630,Clients!ClientID,Région)</f>
        <v>Centre</v>
      </c>
      <c r="X630" t="str">
        <f>INDEX(TypeClient,MATCH(VentesMagasins!$B630,Clients!ClientID))</f>
        <v>Occasionnel</v>
      </c>
      <c r="Y630" t="str">
        <v>nov</v>
      </c>
    </row>
    <row r="631" spans="1:25" x14ac:dyDescent="0.25">
      <c r="A631" s="2">
        <v>630</v>
      </c>
      <c r="B631" s="12" t="s">
        <v>201</v>
      </c>
      <c r="C631" s="13">
        <v>45592</v>
      </c>
      <c r="D631" s="12" t="s">
        <v>338</v>
      </c>
      <c r="E631" s="14" t="s">
        <v>345</v>
      </c>
      <c r="F631" s="12" t="s">
        <v>324</v>
      </c>
      <c r="G631" s="2">
        <v>3</v>
      </c>
      <c r="H631" s="3">
        <v>69</v>
      </c>
      <c r="I631" s="14" t="s">
        <v>325</v>
      </c>
      <c r="J631" s="12" t="s">
        <v>929</v>
      </c>
      <c r="K631" s="2">
        <v>0</v>
      </c>
      <c r="L631" s="12" t="s">
        <v>344</v>
      </c>
      <c r="M631">
        <f>YEAR(VentesMagasins!$C631)</f>
        <v>2024</v>
      </c>
      <c r="N631" t="e" cm="1" vm="1">
        <f t="array" aca="1" ref="N631" ca="1">MONTH(DateVente)</f>
        <v>#VALUE!</v>
      </c>
      <c r="O631" t="str">
        <f>PROPER(VentesMagasins!$F631)</f>
        <v>Électronique</v>
      </c>
      <c r="P631">
        <f>VALUE(CLEAN(TRIM(SUBSTITUTE(VentesMagasins!$I631,".",","))))</f>
        <v>0.15</v>
      </c>
      <c r="Q631">
        <f>VALUE(TRIM(SUBSTITUTE(VentesMagasins!$J631,".",",")))</f>
        <v>175.95</v>
      </c>
      <c r="R631">
        <f t="shared" si="27"/>
        <v>149.55749999999998</v>
      </c>
      <c r="S631">
        <f>IF(VentesMagasins!$K631=1,(-1)*R631,R631)</f>
        <v>149.55749999999998</v>
      </c>
      <c r="T631">
        <f>IFERROR(VALUE(TRIM(SUBSTITUTE(VentesMagasins!$L631,".",","))),0)</f>
        <v>2</v>
      </c>
      <c r="U631">
        <f t="shared" si="28"/>
        <v>2</v>
      </c>
      <c r="V631" t="str">
        <f t="shared" si="29"/>
        <v>faible</v>
      </c>
      <c r="W631" t="str">
        <f>_xlfn.XLOOKUP(VentesMagasins!$B631,Clients!ClientID,Région)</f>
        <v>Nord</v>
      </c>
      <c r="X631" t="str">
        <f>INDEX(TypeClient,MATCH(VentesMagasins!$B631,Clients!ClientID))</f>
        <v>Occasionnel</v>
      </c>
      <c r="Y631" t="str">
        <v>oct</v>
      </c>
    </row>
    <row r="632" spans="1:25" x14ac:dyDescent="0.25">
      <c r="A632" s="2">
        <v>631</v>
      </c>
      <c r="B632" s="12" t="s">
        <v>230</v>
      </c>
      <c r="C632" s="13">
        <v>45643</v>
      </c>
      <c r="D632" s="12" t="s">
        <v>328</v>
      </c>
      <c r="E632" s="14" t="s">
        <v>339</v>
      </c>
      <c r="F632" s="12" t="s">
        <v>324</v>
      </c>
      <c r="G632" s="2">
        <v>4</v>
      </c>
      <c r="H632" s="3">
        <v>245</v>
      </c>
      <c r="I632" s="14" t="s">
        <v>325</v>
      </c>
      <c r="J632" s="12" t="s">
        <v>919</v>
      </c>
      <c r="K632" s="2">
        <v>0</v>
      </c>
      <c r="L632" s="12" t="s">
        <v>352</v>
      </c>
      <c r="M632">
        <f>YEAR(VentesMagasins!$C632)</f>
        <v>2024</v>
      </c>
      <c r="N632" t="e" cm="1" vm="1">
        <f t="array" aca="1" ref="N632" ca="1">MONTH(DateVente)</f>
        <v>#VALUE!</v>
      </c>
      <c r="O632" t="str">
        <f>PROPER(VentesMagasins!$F632)</f>
        <v>Électronique</v>
      </c>
      <c r="P632">
        <f>VALUE(CLEAN(TRIM(SUBSTITUTE(VentesMagasins!$I632,".",","))))</f>
        <v>0.15</v>
      </c>
      <c r="Q632">
        <f>VALUE(TRIM(SUBSTITUTE(VentesMagasins!$J632,".",",")))</f>
        <v>833</v>
      </c>
      <c r="R632">
        <f t="shared" si="27"/>
        <v>708.05</v>
      </c>
      <c r="S632">
        <f>IF(VentesMagasins!$K632=1,(-1)*R632,R632)</f>
        <v>708.05</v>
      </c>
      <c r="T632">
        <f>IFERROR(VALUE(TRIM(SUBSTITUTE(VentesMagasins!$L632,".",","))),0)</f>
        <v>0</v>
      </c>
      <c r="U632">
        <f t="shared" si="28"/>
        <v>3</v>
      </c>
      <c r="V632" t="str">
        <f t="shared" si="29"/>
        <v>moyenne</v>
      </c>
      <c r="W632" t="str">
        <f>_xlfn.XLOOKUP(VentesMagasins!$B632,Clients!ClientID,Région)</f>
        <v>Sud</v>
      </c>
      <c r="X632" t="str">
        <f>INDEX(TypeClient,MATCH(VentesMagasins!$B632,Clients!ClientID))</f>
        <v>Nouveau</v>
      </c>
      <c r="Y632" t="str">
        <v>déc</v>
      </c>
    </row>
    <row r="633" spans="1:25" x14ac:dyDescent="0.25">
      <c r="A633" s="2">
        <v>632</v>
      </c>
      <c r="B633" s="12" t="s">
        <v>97</v>
      </c>
      <c r="C633" s="13">
        <v>45616</v>
      </c>
      <c r="D633" s="12" t="s">
        <v>338</v>
      </c>
      <c r="E633" s="14" t="s">
        <v>345</v>
      </c>
      <c r="F633" s="12" t="s">
        <v>341</v>
      </c>
      <c r="G633" s="2">
        <v>3</v>
      </c>
      <c r="H633" s="3">
        <v>231</v>
      </c>
      <c r="I633" s="14" t="s">
        <v>355</v>
      </c>
      <c r="J633" s="12" t="s">
        <v>930</v>
      </c>
      <c r="K633" s="2">
        <v>1</v>
      </c>
      <c r="L633" s="12" t="s">
        <v>344</v>
      </c>
      <c r="M633">
        <f>YEAR(VentesMagasins!$C633)</f>
        <v>2024</v>
      </c>
      <c r="N633" t="e" cm="1" vm="1">
        <f t="array" aca="1" ref="N633" ca="1">MONTH(DateVente)</f>
        <v>#VALUE!</v>
      </c>
      <c r="O633" t="str">
        <f>PROPER(VentesMagasins!$F633)</f>
        <v>Meuble</v>
      </c>
      <c r="P633">
        <f>VALUE(CLEAN(TRIM(SUBSTITUTE(VentesMagasins!$I633,".",","))))</f>
        <v>0.1</v>
      </c>
      <c r="Q633">
        <f>VALUE(TRIM(SUBSTITUTE(VentesMagasins!$J633,".",",")))</f>
        <v>623.70000000000005</v>
      </c>
      <c r="R633">
        <f t="shared" si="27"/>
        <v>561.33000000000004</v>
      </c>
      <c r="S633">
        <f>IF(VentesMagasins!$K633=1,(-1)*R633,R633)</f>
        <v>-561.33000000000004</v>
      </c>
      <c r="T633">
        <f>IFERROR(VALUE(TRIM(SUBSTITUTE(VentesMagasins!$L633,".",","))),0)</f>
        <v>2</v>
      </c>
      <c r="U633">
        <f t="shared" si="28"/>
        <v>2</v>
      </c>
      <c r="V633" t="str">
        <f t="shared" si="29"/>
        <v>faible</v>
      </c>
      <c r="W633" t="str">
        <f>_xlfn.XLOOKUP(VentesMagasins!$B633,Clients!ClientID,Région)</f>
        <v>Est</v>
      </c>
      <c r="X633" t="str">
        <f>INDEX(TypeClient,MATCH(VentesMagasins!$B633,Clients!ClientID))</f>
        <v>Occasionnel</v>
      </c>
      <c r="Y633" t="str">
        <v>nov</v>
      </c>
    </row>
    <row r="634" spans="1:25" x14ac:dyDescent="0.25">
      <c r="A634" s="2">
        <v>633</v>
      </c>
      <c r="B634" s="12" t="s">
        <v>41</v>
      </c>
      <c r="C634" s="13">
        <v>45107</v>
      </c>
      <c r="D634" s="12" t="s">
        <v>328</v>
      </c>
      <c r="E634" s="14" t="s">
        <v>345</v>
      </c>
      <c r="F634" s="12" t="s">
        <v>324</v>
      </c>
      <c r="G634" s="2">
        <v>2</v>
      </c>
      <c r="H634" s="3">
        <v>172</v>
      </c>
      <c r="I634" s="14" t="s">
        <v>335</v>
      </c>
      <c r="J634" s="12" t="s">
        <v>931</v>
      </c>
      <c r="K634" s="2">
        <v>0</v>
      </c>
      <c r="L634" s="12" t="s">
        <v>327</v>
      </c>
      <c r="M634">
        <f>YEAR(VentesMagasins!$C634)</f>
        <v>2023</v>
      </c>
      <c r="N634" t="e" cm="1" vm="1">
        <f t="array" aca="1" ref="N634" ca="1">MONTH(DateVente)</f>
        <v>#VALUE!</v>
      </c>
      <c r="O634" t="str">
        <f>PROPER(VentesMagasins!$F634)</f>
        <v>Électronique</v>
      </c>
      <c r="P634">
        <f>VALUE(CLEAN(TRIM(SUBSTITUTE(VentesMagasins!$I634,".",","))))</f>
        <v>0</v>
      </c>
      <c r="Q634">
        <f>VALUE(TRIM(SUBSTITUTE(VentesMagasins!$J634,".",",")))</f>
        <v>344</v>
      </c>
      <c r="R634">
        <f t="shared" si="27"/>
        <v>344</v>
      </c>
      <c r="S634">
        <f>IF(VentesMagasins!$K634=1,(-1)*R634,R634)</f>
        <v>344</v>
      </c>
      <c r="T634">
        <f>IFERROR(VALUE(TRIM(SUBSTITUTE(VentesMagasins!$L634,".",","))),0)</f>
        <v>5</v>
      </c>
      <c r="U634">
        <f t="shared" si="28"/>
        <v>5</v>
      </c>
      <c r="V634" t="str">
        <f t="shared" si="29"/>
        <v>élévé</v>
      </c>
      <c r="W634" t="str">
        <f>_xlfn.XLOOKUP(VentesMagasins!$B634,Clients!ClientID,Région)</f>
        <v>Centre</v>
      </c>
      <c r="X634" t="str">
        <f>INDEX(TypeClient,MATCH(VentesMagasins!$B634,Clients!ClientID))</f>
        <v>Nouveau</v>
      </c>
      <c r="Y634" t="str">
        <v>juin</v>
      </c>
    </row>
    <row r="635" spans="1:25" x14ac:dyDescent="0.25">
      <c r="A635" s="2">
        <v>634</v>
      </c>
      <c r="B635" s="12" t="s">
        <v>26</v>
      </c>
      <c r="C635" s="13">
        <v>45751</v>
      </c>
      <c r="D635" s="12" t="s">
        <v>328</v>
      </c>
      <c r="E635" s="14" t="s">
        <v>339</v>
      </c>
      <c r="F635" s="12" t="s">
        <v>341</v>
      </c>
      <c r="G635" s="2">
        <v>2</v>
      </c>
      <c r="H635" s="3">
        <v>37</v>
      </c>
      <c r="I635" s="14" t="s">
        <v>342</v>
      </c>
      <c r="J635" s="12" t="s">
        <v>932</v>
      </c>
      <c r="K635" s="2">
        <v>1</v>
      </c>
      <c r="L635" s="12" t="s">
        <v>369</v>
      </c>
      <c r="M635">
        <f>YEAR(VentesMagasins!$C635)</f>
        <v>2025</v>
      </c>
      <c r="N635" t="e" cm="1" vm="1">
        <f t="array" aca="1" ref="N635" ca="1">MONTH(DateVente)</f>
        <v>#VALUE!</v>
      </c>
      <c r="O635" t="str">
        <f>PROPER(VentesMagasins!$F635)</f>
        <v>Meuble</v>
      </c>
      <c r="P635">
        <f>VALUE(CLEAN(TRIM(SUBSTITUTE(VentesMagasins!$I635,".",","))))</f>
        <v>0.05</v>
      </c>
      <c r="Q635">
        <f>VALUE(TRIM(SUBSTITUTE(VentesMagasins!$J635,".",",")))</f>
        <v>70.3</v>
      </c>
      <c r="R635">
        <f t="shared" si="27"/>
        <v>66.784999999999997</v>
      </c>
      <c r="S635">
        <f>IF(VentesMagasins!$K635=1,(-1)*R635,R635)</f>
        <v>-66.784999999999997</v>
      </c>
      <c r="T635">
        <f>IFERROR(VALUE(TRIM(SUBSTITUTE(VentesMagasins!$L635,".",","))),0)</f>
        <v>1</v>
      </c>
      <c r="U635">
        <f t="shared" si="28"/>
        <v>1</v>
      </c>
      <c r="V635" t="str">
        <f t="shared" si="29"/>
        <v>faible</v>
      </c>
      <c r="W635" t="str">
        <f>_xlfn.XLOOKUP(VentesMagasins!$B635,Clients!ClientID,Région)</f>
        <v>Ouest</v>
      </c>
      <c r="X635" t="str">
        <f>INDEX(TypeClient,MATCH(VentesMagasins!$B635,Clients!ClientID))</f>
        <v>Nouveau</v>
      </c>
      <c r="Y635" t="str">
        <v>avr</v>
      </c>
    </row>
    <row r="636" spans="1:25" x14ac:dyDescent="0.25">
      <c r="A636" s="2">
        <v>635</v>
      </c>
      <c r="B636" s="12" t="s">
        <v>307</v>
      </c>
      <c r="C636" s="13">
        <v>44962</v>
      </c>
      <c r="D636" s="12" t="s">
        <v>322</v>
      </c>
      <c r="E636" s="14" t="s">
        <v>339</v>
      </c>
      <c r="F636" s="12" t="s">
        <v>324</v>
      </c>
      <c r="G636" s="2">
        <v>3</v>
      </c>
      <c r="H636" s="3">
        <v>114</v>
      </c>
      <c r="I636" s="14" t="s">
        <v>335</v>
      </c>
      <c r="J636" s="12" t="s">
        <v>933</v>
      </c>
      <c r="K636" s="2">
        <v>0</v>
      </c>
      <c r="L636" s="12" t="s">
        <v>352</v>
      </c>
      <c r="M636">
        <f>YEAR(VentesMagasins!$C636)</f>
        <v>2023</v>
      </c>
      <c r="N636" t="e" cm="1" vm="1">
        <f t="array" aca="1" ref="N636" ca="1">MONTH(DateVente)</f>
        <v>#VALUE!</v>
      </c>
      <c r="O636" t="str">
        <f>PROPER(VentesMagasins!$F636)</f>
        <v>Électronique</v>
      </c>
      <c r="P636">
        <f>VALUE(CLEAN(TRIM(SUBSTITUTE(VentesMagasins!$I636,".",","))))</f>
        <v>0</v>
      </c>
      <c r="Q636">
        <f>VALUE(TRIM(SUBSTITUTE(VentesMagasins!$J636,".",",")))</f>
        <v>376.2</v>
      </c>
      <c r="R636">
        <f t="shared" si="27"/>
        <v>376.2</v>
      </c>
      <c r="S636">
        <f>IF(VentesMagasins!$K636=1,(-1)*R636,R636)</f>
        <v>376.2</v>
      </c>
      <c r="T636">
        <f>IFERROR(VALUE(TRIM(SUBSTITUTE(VentesMagasins!$L636,".",","))),0)</f>
        <v>0</v>
      </c>
      <c r="U636">
        <f t="shared" si="28"/>
        <v>3</v>
      </c>
      <c r="V636" t="str">
        <f t="shared" si="29"/>
        <v>moyenne</v>
      </c>
      <c r="W636" t="str">
        <f>_xlfn.XLOOKUP(VentesMagasins!$B636,Clients!ClientID,Région)</f>
        <v>Nord</v>
      </c>
      <c r="X636" t="str">
        <f>INDEX(TypeClient,MATCH(VentesMagasins!$B636,Clients!ClientID))</f>
        <v>Occasionnel</v>
      </c>
      <c r="Y636" t="str">
        <v>févr</v>
      </c>
    </row>
    <row r="637" spans="1:25" x14ac:dyDescent="0.25">
      <c r="A637" s="2">
        <v>636</v>
      </c>
      <c r="B637" s="12" t="s">
        <v>273</v>
      </c>
      <c r="C637" s="13">
        <v>45655</v>
      </c>
      <c r="D637" s="12" t="s">
        <v>338</v>
      </c>
      <c r="E637" s="14" t="s">
        <v>329</v>
      </c>
      <c r="F637" s="12" t="s">
        <v>330</v>
      </c>
      <c r="G637" s="2">
        <v>4</v>
      </c>
      <c r="H637" s="3">
        <v>329</v>
      </c>
      <c r="I637" s="14" t="s">
        <v>335</v>
      </c>
      <c r="J637" s="12" t="s">
        <v>934</v>
      </c>
      <c r="K637" s="2">
        <v>1</v>
      </c>
      <c r="L637" s="12" t="s">
        <v>352</v>
      </c>
      <c r="M637">
        <f>YEAR(VentesMagasins!$C637)</f>
        <v>2024</v>
      </c>
      <c r="N637" t="e" cm="1" vm="1">
        <f t="array" aca="1" ref="N637" ca="1">MONTH(DateVente)</f>
        <v>#VALUE!</v>
      </c>
      <c r="O637" t="str">
        <f>PROPER(VentesMagasins!$F637)</f>
        <v>Décoration</v>
      </c>
      <c r="P637">
        <f>VALUE(CLEAN(TRIM(SUBSTITUTE(VentesMagasins!$I637,".",","))))</f>
        <v>0</v>
      </c>
      <c r="Q637">
        <f>VALUE(TRIM(SUBSTITUTE(VentesMagasins!$J637,".",",")))</f>
        <v>1316</v>
      </c>
      <c r="R637">
        <f t="shared" si="27"/>
        <v>1316</v>
      </c>
      <c r="S637">
        <f>IF(VentesMagasins!$K637=1,(-1)*R637,R637)</f>
        <v>-1316</v>
      </c>
      <c r="T637">
        <f>IFERROR(VALUE(TRIM(SUBSTITUTE(VentesMagasins!$L637,".",","))),0)</f>
        <v>0</v>
      </c>
      <c r="U637">
        <f t="shared" si="28"/>
        <v>3</v>
      </c>
      <c r="V637" t="str">
        <f t="shared" si="29"/>
        <v>moyenne</v>
      </c>
      <c r="W637" t="str">
        <f>_xlfn.XLOOKUP(VentesMagasins!$B637,Clients!ClientID,Région)</f>
        <v>Nord</v>
      </c>
      <c r="X637" t="str">
        <f>INDEX(TypeClient,MATCH(VentesMagasins!$B637,Clients!ClientID))</f>
        <v>Occasionnel</v>
      </c>
      <c r="Y637" t="str">
        <v>déc</v>
      </c>
    </row>
    <row r="638" spans="1:25" x14ac:dyDescent="0.25">
      <c r="A638" s="2">
        <v>637</v>
      </c>
      <c r="B638" s="12" t="s">
        <v>254</v>
      </c>
      <c r="C638" s="13">
        <v>45004</v>
      </c>
      <c r="D638" s="12" t="s">
        <v>322</v>
      </c>
      <c r="E638" s="14" t="s">
        <v>362</v>
      </c>
      <c r="F638" s="12" t="s">
        <v>341</v>
      </c>
      <c r="G638" s="2">
        <v>1</v>
      </c>
      <c r="H638" s="3">
        <v>109</v>
      </c>
      <c r="I638" s="14" t="s">
        <v>342</v>
      </c>
      <c r="J638" s="12" t="s">
        <v>935</v>
      </c>
      <c r="K638" s="2">
        <v>1</v>
      </c>
      <c r="L638" s="12" t="s">
        <v>337</v>
      </c>
      <c r="M638">
        <f>YEAR(VentesMagasins!$C638)</f>
        <v>2023</v>
      </c>
      <c r="N638" t="e" cm="1" vm="1">
        <f t="array" aca="1" ref="N638" ca="1">MONTH(DateVente)</f>
        <v>#VALUE!</v>
      </c>
      <c r="O638" t="str">
        <f>PROPER(VentesMagasins!$F638)</f>
        <v>Meuble</v>
      </c>
      <c r="P638">
        <f>VALUE(CLEAN(TRIM(SUBSTITUTE(VentesMagasins!$I638,".",","))))</f>
        <v>0.05</v>
      </c>
      <c r="Q638">
        <f>VALUE(TRIM(SUBSTITUTE(VentesMagasins!$J638,".",",")))</f>
        <v>103.55</v>
      </c>
      <c r="R638">
        <f t="shared" si="27"/>
        <v>98.372499999999988</v>
      </c>
      <c r="S638">
        <f>IF(VentesMagasins!$K638=1,(-1)*R638,R638)</f>
        <v>-98.372499999999988</v>
      </c>
      <c r="T638">
        <f>IFERROR(VALUE(TRIM(SUBSTITUTE(VentesMagasins!$L638,".",","))),0)</f>
        <v>3</v>
      </c>
      <c r="U638">
        <f t="shared" si="28"/>
        <v>3</v>
      </c>
      <c r="V638" t="str">
        <f t="shared" si="29"/>
        <v>moyenne</v>
      </c>
      <c r="W638" t="str">
        <f>_xlfn.XLOOKUP(VentesMagasins!$B638,Clients!ClientID,Région)</f>
        <v>Ouest</v>
      </c>
      <c r="X638" t="str">
        <f>INDEX(TypeClient,MATCH(VentesMagasins!$B638,Clients!ClientID))</f>
        <v>Fidèle</v>
      </c>
      <c r="Y638" t="str">
        <v>mars</v>
      </c>
    </row>
    <row r="639" spans="1:25" x14ac:dyDescent="0.25">
      <c r="A639" s="2">
        <v>638</v>
      </c>
      <c r="B639" s="12" t="s">
        <v>189</v>
      </c>
      <c r="C639" s="13">
        <v>45161</v>
      </c>
      <c r="D639" s="12" t="s">
        <v>338</v>
      </c>
      <c r="E639" s="14" t="s">
        <v>329</v>
      </c>
      <c r="F639" s="12" t="s">
        <v>341</v>
      </c>
      <c r="G639" s="2">
        <v>1</v>
      </c>
      <c r="H639" s="3">
        <v>235</v>
      </c>
      <c r="I639" s="14" t="s">
        <v>355</v>
      </c>
      <c r="J639" s="12" t="s">
        <v>936</v>
      </c>
      <c r="K639" s="2">
        <v>0</v>
      </c>
      <c r="L639" s="12" t="s">
        <v>344</v>
      </c>
      <c r="M639">
        <f>YEAR(VentesMagasins!$C639)</f>
        <v>2023</v>
      </c>
      <c r="N639" t="e" cm="1" vm="1">
        <f t="array" aca="1" ref="N639" ca="1">MONTH(DateVente)</f>
        <v>#VALUE!</v>
      </c>
      <c r="O639" t="str">
        <f>PROPER(VentesMagasins!$F639)</f>
        <v>Meuble</v>
      </c>
      <c r="P639">
        <f>VALUE(CLEAN(TRIM(SUBSTITUTE(VentesMagasins!$I639,".",","))))</f>
        <v>0.1</v>
      </c>
      <c r="Q639">
        <f>VALUE(TRIM(SUBSTITUTE(VentesMagasins!$J639,".",",")))</f>
        <v>211.5</v>
      </c>
      <c r="R639">
        <f t="shared" si="27"/>
        <v>190.35</v>
      </c>
      <c r="S639">
        <f>IF(VentesMagasins!$K639=1,(-1)*R639,R639)</f>
        <v>190.35</v>
      </c>
      <c r="T639">
        <f>IFERROR(VALUE(TRIM(SUBSTITUTE(VentesMagasins!$L639,".",","))),0)</f>
        <v>2</v>
      </c>
      <c r="U639">
        <f t="shared" si="28"/>
        <v>2</v>
      </c>
      <c r="V639" t="str">
        <f t="shared" si="29"/>
        <v>faible</v>
      </c>
      <c r="W639" t="str">
        <f>_xlfn.XLOOKUP(VentesMagasins!$B639,Clients!ClientID,Région)</f>
        <v>Centre</v>
      </c>
      <c r="X639" t="str">
        <f>INDEX(TypeClient,MATCH(VentesMagasins!$B639,Clients!ClientID))</f>
        <v>Fidèle</v>
      </c>
      <c r="Y639" t="str">
        <v>août</v>
      </c>
    </row>
    <row r="640" spans="1:25" x14ac:dyDescent="0.25">
      <c r="A640" s="2">
        <v>639</v>
      </c>
      <c r="B640" s="12" t="s">
        <v>86</v>
      </c>
      <c r="C640" s="13">
        <v>45718</v>
      </c>
      <c r="D640" s="12" t="s">
        <v>322</v>
      </c>
      <c r="E640" s="14" t="s">
        <v>329</v>
      </c>
      <c r="F640" s="12" t="s">
        <v>324</v>
      </c>
      <c r="G640" s="2">
        <v>1</v>
      </c>
      <c r="H640" s="3">
        <v>28</v>
      </c>
      <c r="I640" s="14" t="s">
        <v>355</v>
      </c>
      <c r="J640" s="12" t="s">
        <v>937</v>
      </c>
      <c r="K640" s="2">
        <v>1</v>
      </c>
      <c r="L640" s="12" t="s">
        <v>332</v>
      </c>
      <c r="M640">
        <f>YEAR(VentesMagasins!$C640)</f>
        <v>2025</v>
      </c>
      <c r="N640" t="e" cm="1" vm="1">
        <f t="array" aca="1" ref="N640" ca="1">MONTH(DateVente)</f>
        <v>#VALUE!</v>
      </c>
      <c r="O640" t="str">
        <f>PROPER(VentesMagasins!$F640)</f>
        <v>Électronique</v>
      </c>
      <c r="P640">
        <f>VALUE(CLEAN(TRIM(SUBSTITUTE(VentesMagasins!$I640,".",","))))</f>
        <v>0.1</v>
      </c>
      <c r="Q640">
        <f>VALUE(TRIM(SUBSTITUTE(VentesMagasins!$J640,".",",")))</f>
        <v>25.2</v>
      </c>
      <c r="R640">
        <f t="shared" si="27"/>
        <v>22.68</v>
      </c>
      <c r="S640">
        <f>IF(VentesMagasins!$K640=1,(-1)*R640,R640)</f>
        <v>-22.68</v>
      </c>
      <c r="T640">
        <f>IFERROR(VALUE(TRIM(SUBSTITUTE(VentesMagasins!$L640,".",","))),0)</f>
        <v>4</v>
      </c>
      <c r="U640">
        <f t="shared" si="28"/>
        <v>4</v>
      </c>
      <c r="V640" t="str">
        <f t="shared" si="29"/>
        <v>moyenne</v>
      </c>
      <c r="W640" t="str">
        <f>_xlfn.XLOOKUP(VentesMagasins!$B640,Clients!ClientID,Région)</f>
        <v>Sud</v>
      </c>
      <c r="X640" t="str">
        <f>INDEX(TypeClient,MATCH(VentesMagasins!$B640,Clients!ClientID))</f>
        <v>Nouveau</v>
      </c>
      <c r="Y640" t="str">
        <v>mars</v>
      </c>
    </row>
    <row r="641" spans="1:25" x14ac:dyDescent="0.25">
      <c r="A641" s="2">
        <v>640</v>
      </c>
      <c r="B641" s="12" t="s">
        <v>170</v>
      </c>
      <c r="C641" s="13">
        <v>45530</v>
      </c>
      <c r="D641" s="12" t="s">
        <v>328</v>
      </c>
      <c r="E641" s="14" t="s">
        <v>345</v>
      </c>
      <c r="F641" s="12" t="s">
        <v>324</v>
      </c>
      <c r="G641" s="2">
        <v>1</v>
      </c>
      <c r="H641" s="3">
        <v>226</v>
      </c>
      <c r="I641" s="14" t="s">
        <v>342</v>
      </c>
      <c r="J641" s="12" t="s">
        <v>938</v>
      </c>
      <c r="K641" s="2">
        <v>0</v>
      </c>
      <c r="L641" s="12" t="s">
        <v>332</v>
      </c>
      <c r="M641">
        <f>YEAR(VentesMagasins!$C641)</f>
        <v>2024</v>
      </c>
      <c r="N641" t="e" cm="1" vm="1">
        <f t="array" aca="1" ref="N641" ca="1">MONTH(DateVente)</f>
        <v>#VALUE!</v>
      </c>
      <c r="O641" t="str">
        <f>PROPER(VentesMagasins!$F641)</f>
        <v>Électronique</v>
      </c>
      <c r="P641">
        <f>VALUE(CLEAN(TRIM(SUBSTITUTE(VentesMagasins!$I641,".",","))))</f>
        <v>0.05</v>
      </c>
      <c r="Q641">
        <f>VALUE(TRIM(SUBSTITUTE(VentesMagasins!$J641,".",",")))</f>
        <v>214.7</v>
      </c>
      <c r="R641">
        <f t="shared" si="27"/>
        <v>203.96499999999997</v>
      </c>
      <c r="S641">
        <f>IF(VentesMagasins!$K641=1,(-1)*R641,R641)</f>
        <v>203.96499999999997</v>
      </c>
      <c r="T641">
        <f>IFERROR(VALUE(TRIM(SUBSTITUTE(VentesMagasins!$L641,".",","))),0)</f>
        <v>4</v>
      </c>
      <c r="U641">
        <f t="shared" si="28"/>
        <v>4</v>
      </c>
      <c r="V641" t="str">
        <f t="shared" si="29"/>
        <v>moyenne</v>
      </c>
      <c r="W641" t="str">
        <f>_xlfn.XLOOKUP(VentesMagasins!$B641,Clients!ClientID,Région)</f>
        <v>Sud</v>
      </c>
      <c r="X641" t="str">
        <f>INDEX(TypeClient,MATCH(VentesMagasins!$B641,Clients!ClientID))</f>
        <v>Fidèle</v>
      </c>
      <c r="Y641" t="str">
        <v>août</v>
      </c>
    </row>
    <row r="642" spans="1:25" x14ac:dyDescent="0.25">
      <c r="A642" s="2">
        <v>641</v>
      </c>
      <c r="B642" s="12" t="s">
        <v>146</v>
      </c>
      <c r="C642" s="13">
        <v>45727</v>
      </c>
      <c r="D642" s="12" t="s">
        <v>338</v>
      </c>
      <c r="E642" s="14" t="s">
        <v>329</v>
      </c>
      <c r="F642" s="12" t="s">
        <v>324</v>
      </c>
      <c r="G642" s="2">
        <v>3</v>
      </c>
      <c r="H642" s="3">
        <v>267</v>
      </c>
      <c r="I642" s="14" t="s">
        <v>325</v>
      </c>
      <c r="J642" s="12" t="s">
        <v>939</v>
      </c>
      <c r="K642" s="2">
        <v>0</v>
      </c>
      <c r="L642" s="12" t="s">
        <v>337</v>
      </c>
      <c r="M642">
        <f>YEAR(VentesMagasins!$C642)</f>
        <v>2025</v>
      </c>
      <c r="N642" t="e" cm="1" vm="1">
        <f t="array" aca="1" ref="N642" ca="1">MONTH(DateVente)</f>
        <v>#VALUE!</v>
      </c>
      <c r="O642" t="str">
        <f>PROPER(VentesMagasins!$F642)</f>
        <v>Électronique</v>
      </c>
      <c r="P642">
        <f>VALUE(CLEAN(TRIM(SUBSTITUTE(VentesMagasins!$I642,".",","))))</f>
        <v>0.15</v>
      </c>
      <c r="Q642">
        <f>VALUE(TRIM(SUBSTITUTE(VentesMagasins!$J642,".",",")))</f>
        <v>680.85</v>
      </c>
      <c r="R642">
        <f t="shared" si="27"/>
        <v>578.72249999999997</v>
      </c>
      <c r="S642">
        <f>IF(VentesMagasins!$K642=1,(-1)*R642,R642)</f>
        <v>578.72249999999997</v>
      </c>
      <c r="T642">
        <f>IFERROR(VALUE(TRIM(SUBSTITUTE(VentesMagasins!$L642,".",","))),0)</f>
        <v>3</v>
      </c>
      <c r="U642">
        <f t="shared" si="28"/>
        <v>3</v>
      </c>
      <c r="V642" t="str">
        <f t="shared" si="29"/>
        <v>moyenne</v>
      </c>
      <c r="W642" t="str">
        <f>_xlfn.XLOOKUP(VentesMagasins!$B642,Clients!ClientID,Région)</f>
        <v>Est</v>
      </c>
      <c r="X642" t="str">
        <f>INDEX(TypeClient,MATCH(VentesMagasins!$B642,Clients!ClientID))</f>
        <v>Occasionnel</v>
      </c>
      <c r="Y642" t="str">
        <v>mars</v>
      </c>
    </row>
    <row r="643" spans="1:25" x14ac:dyDescent="0.25">
      <c r="A643" s="2">
        <v>642</v>
      </c>
      <c r="B643" s="12" t="s">
        <v>145</v>
      </c>
      <c r="C643" s="13">
        <v>45622</v>
      </c>
      <c r="D643" s="12" t="s">
        <v>333</v>
      </c>
      <c r="E643" s="14" t="s">
        <v>364</v>
      </c>
      <c r="F643" s="12" t="s">
        <v>330</v>
      </c>
      <c r="G643" s="2">
        <v>2</v>
      </c>
      <c r="H643" s="3">
        <v>49</v>
      </c>
      <c r="I643" s="14" t="s">
        <v>355</v>
      </c>
      <c r="J643" s="12" t="s">
        <v>940</v>
      </c>
      <c r="K643" s="2">
        <v>1</v>
      </c>
      <c r="L643" s="12" t="s">
        <v>327</v>
      </c>
      <c r="M643">
        <f>YEAR(VentesMagasins!$C643)</f>
        <v>2024</v>
      </c>
      <c r="N643" t="e" cm="1" vm="1">
        <f t="array" aca="1" ref="N643" ca="1">MONTH(DateVente)</f>
        <v>#VALUE!</v>
      </c>
      <c r="O643" t="str">
        <f>PROPER(VentesMagasins!$F643)</f>
        <v>Décoration</v>
      </c>
      <c r="P643">
        <f>VALUE(CLEAN(TRIM(SUBSTITUTE(VentesMagasins!$I643,".",","))))</f>
        <v>0.1</v>
      </c>
      <c r="Q643">
        <f>VALUE(TRIM(SUBSTITUTE(VentesMagasins!$J643,".",",")))</f>
        <v>88.2</v>
      </c>
      <c r="R643">
        <f t="shared" ref="R643:R706" si="30">Q643*(1-P643)</f>
        <v>79.38000000000001</v>
      </c>
      <c r="S643">
        <f>IF(VentesMagasins!$K643=1,(-1)*R643,R643)</f>
        <v>-79.38000000000001</v>
      </c>
      <c r="T643">
        <f>IFERROR(VALUE(TRIM(SUBSTITUTE(VentesMagasins!$L643,".",","))),0)</f>
        <v>5</v>
      </c>
      <c r="U643">
        <f t="shared" ref="U643:U706" si="31">ROUND(IF(T643=0,AVERAGE(T643:T1642),T643),0)</f>
        <v>5</v>
      </c>
      <c r="V643" t="str">
        <f t="shared" ref="V643:V706" si="32">IF(AND(U643&gt;0,U643&lt;=2),"faible",IF(AND(U643&gt;=3,U643&lt;=4),"moyenne",IF(U643=5,"élévé",0)))</f>
        <v>élévé</v>
      </c>
      <c r="W643" t="str">
        <f>_xlfn.XLOOKUP(VentesMagasins!$B643,Clients!ClientID,Région)</f>
        <v>Ouest</v>
      </c>
      <c r="X643" t="str">
        <f>INDEX(TypeClient,MATCH(VentesMagasins!$B643,Clients!ClientID))</f>
        <v>Fidèle</v>
      </c>
      <c r="Y643" t="str">
        <v>nov</v>
      </c>
    </row>
    <row r="644" spans="1:25" x14ac:dyDescent="0.25">
      <c r="A644" s="2">
        <v>643</v>
      </c>
      <c r="B644" s="12" t="s">
        <v>158</v>
      </c>
      <c r="C644" s="13">
        <v>45291</v>
      </c>
      <c r="D644" s="12" t="s">
        <v>322</v>
      </c>
      <c r="E644" s="14" t="s">
        <v>348</v>
      </c>
      <c r="F644" s="12" t="s">
        <v>330</v>
      </c>
      <c r="G644" s="2">
        <v>1</v>
      </c>
      <c r="H644" s="3">
        <v>354</v>
      </c>
      <c r="I644" s="14" t="s">
        <v>335</v>
      </c>
      <c r="J644" s="12" t="s">
        <v>941</v>
      </c>
      <c r="K644" s="2">
        <v>0</v>
      </c>
      <c r="L644" s="12" t="s">
        <v>352</v>
      </c>
      <c r="M644">
        <f>YEAR(VentesMagasins!$C644)</f>
        <v>2023</v>
      </c>
      <c r="N644" t="e" cm="1" vm="1">
        <f t="array" aca="1" ref="N644" ca="1">MONTH(DateVente)</f>
        <v>#VALUE!</v>
      </c>
      <c r="O644" t="str">
        <f>PROPER(VentesMagasins!$F644)</f>
        <v>Décoration</v>
      </c>
      <c r="P644">
        <f>VALUE(CLEAN(TRIM(SUBSTITUTE(VentesMagasins!$I644,".",","))))</f>
        <v>0</v>
      </c>
      <c r="Q644">
        <f>VALUE(TRIM(SUBSTITUTE(VentesMagasins!$J644,".",",")))</f>
        <v>354</v>
      </c>
      <c r="R644">
        <f t="shared" si="30"/>
        <v>354</v>
      </c>
      <c r="S644">
        <f>IF(VentesMagasins!$K644=1,(-1)*R644,R644)</f>
        <v>354</v>
      </c>
      <c r="T644">
        <f>IFERROR(VALUE(TRIM(SUBSTITUTE(VentesMagasins!$L644,".",","))),0)</f>
        <v>0</v>
      </c>
      <c r="U644">
        <f t="shared" si="31"/>
        <v>3</v>
      </c>
      <c r="V644" t="str">
        <f t="shared" si="32"/>
        <v>moyenne</v>
      </c>
      <c r="W644" t="str">
        <f>_xlfn.XLOOKUP(VentesMagasins!$B644,Clients!ClientID,Région)</f>
        <v>Nord</v>
      </c>
      <c r="X644" t="str">
        <f>INDEX(TypeClient,MATCH(VentesMagasins!$B644,Clients!ClientID))</f>
        <v>Occasionnel</v>
      </c>
      <c r="Y644" t="str">
        <v>déc</v>
      </c>
    </row>
    <row r="645" spans="1:25" x14ac:dyDescent="0.25">
      <c r="A645" s="2">
        <v>644</v>
      </c>
      <c r="B645" s="12" t="s">
        <v>139</v>
      </c>
      <c r="C645" s="13">
        <v>45132</v>
      </c>
      <c r="D645" s="12" t="s">
        <v>333</v>
      </c>
      <c r="E645" s="14" t="s">
        <v>323</v>
      </c>
      <c r="F645" s="12" t="s">
        <v>341</v>
      </c>
      <c r="G645" s="2">
        <v>4</v>
      </c>
      <c r="H645" s="3">
        <v>486</v>
      </c>
      <c r="I645" s="14" t="s">
        <v>355</v>
      </c>
      <c r="J645" s="12" t="s">
        <v>942</v>
      </c>
      <c r="K645" s="2">
        <v>1</v>
      </c>
      <c r="L645" s="12" t="s">
        <v>327</v>
      </c>
      <c r="M645">
        <f>YEAR(VentesMagasins!$C645)</f>
        <v>2023</v>
      </c>
      <c r="N645" t="e" cm="1" vm="1">
        <f t="array" aca="1" ref="N645" ca="1">MONTH(DateVente)</f>
        <v>#VALUE!</v>
      </c>
      <c r="O645" t="str">
        <f>PROPER(VentesMagasins!$F645)</f>
        <v>Meuble</v>
      </c>
      <c r="P645">
        <f>VALUE(CLEAN(TRIM(SUBSTITUTE(VentesMagasins!$I645,".",","))))</f>
        <v>0.1</v>
      </c>
      <c r="Q645">
        <f>VALUE(TRIM(SUBSTITUTE(VentesMagasins!$J645,".",",")))</f>
        <v>1749.6</v>
      </c>
      <c r="R645">
        <f t="shared" si="30"/>
        <v>1574.6399999999999</v>
      </c>
      <c r="S645">
        <f>IF(VentesMagasins!$K645=1,(-1)*R645,R645)</f>
        <v>-1574.6399999999999</v>
      </c>
      <c r="T645">
        <f>IFERROR(VALUE(TRIM(SUBSTITUTE(VentesMagasins!$L645,".",","))),0)</f>
        <v>5</v>
      </c>
      <c r="U645">
        <f t="shared" si="31"/>
        <v>5</v>
      </c>
      <c r="V645" t="str">
        <f t="shared" si="32"/>
        <v>élévé</v>
      </c>
      <c r="W645" t="str">
        <f>_xlfn.XLOOKUP(VentesMagasins!$B645,Clients!ClientID,Région)</f>
        <v>Sud</v>
      </c>
      <c r="X645" t="str">
        <f>INDEX(TypeClient,MATCH(VentesMagasins!$B645,Clients!ClientID))</f>
        <v>Nouveau</v>
      </c>
      <c r="Y645" t="str">
        <v>juil</v>
      </c>
    </row>
    <row r="646" spans="1:25" x14ac:dyDescent="0.25">
      <c r="A646" s="2">
        <v>645</v>
      </c>
      <c r="B646" s="12" t="s">
        <v>21</v>
      </c>
      <c r="C646" s="13">
        <v>45392</v>
      </c>
      <c r="D646" s="12" t="s">
        <v>322</v>
      </c>
      <c r="E646" s="14" t="s">
        <v>323</v>
      </c>
      <c r="F646" s="12" t="s">
        <v>330</v>
      </c>
      <c r="G646" s="2">
        <v>5</v>
      </c>
      <c r="H646" s="3">
        <v>82</v>
      </c>
      <c r="I646" s="14" t="s">
        <v>325</v>
      </c>
      <c r="J646" s="12" t="s">
        <v>943</v>
      </c>
      <c r="K646" s="2">
        <v>0</v>
      </c>
      <c r="L646" s="12" t="s">
        <v>344</v>
      </c>
      <c r="M646">
        <f>YEAR(VentesMagasins!$C646)</f>
        <v>2024</v>
      </c>
      <c r="N646" t="e" cm="1" vm="1">
        <f t="array" aca="1" ref="N646" ca="1">MONTH(DateVente)</f>
        <v>#VALUE!</v>
      </c>
      <c r="O646" t="str">
        <f>PROPER(VentesMagasins!$F646)</f>
        <v>Décoration</v>
      </c>
      <c r="P646">
        <f>VALUE(CLEAN(TRIM(SUBSTITUTE(VentesMagasins!$I646,".",","))))</f>
        <v>0.15</v>
      </c>
      <c r="Q646">
        <f>VALUE(TRIM(SUBSTITUTE(VentesMagasins!$J646,".",",")))</f>
        <v>348.5</v>
      </c>
      <c r="R646">
        <f t="shared" si="30"/>
        <v>296.22499999999997</v>
      </c>
      <c r="S646">
        <f>IF(VentesMagasins!$K646=1,(-1)*R646,R646)</f>
        <v>296.22499999999997</v>
      </c>
      <c r="T646">
        <f>IFERROR(VALUE(TRIM(SUBSTITUTE(VentesMagasins!$L646,".",","))),0)</f>
        <v>2</v>
      </c>
      <c r="U646">
        <f t="shared" si="31"/>
        <v>2</v>
      </c>
      <c r="V646" t="str">
        <f t="shared" si="32"/>
        <v>faible</v>
      </c>
      <c r="W646" t="str">
        <f>_xlfn.XLOOKUP(VentesMagasins!$B646,Clients!ClientID,Région)</f>
        <v>Centre</v>
      </c>
      <c r="X646" t="str">
        <f>INDEX(TypeClient,MATCH(VentesMagasins!$B646,Clients!ClientID))</f>
        <v>Nouveau</v>
      </c>
      <c r="Y646" t="str">
        <v>avr</v>
      </c>
    </row>
    <row r="647" spans="1:25" x14ac:dyDescent="0.25">
      <c r="A647" s="2">
        <v>646</v>
      </c>
      <c r="B647" s="12" t="s">
        <v>91</v>
      </c>
      <c r="C647" s="13">
        <v>45882</v>
      </c>
      <c r="D647" s="12" t="s">
        <v>333</v>
      </c>
      <c r="E647" s="14" t="s">
        <v>362</v>
      </c>
      <c r="F647" s="12" t="s">
        <v>324</v>
      </c>
      <c r="G647" s="2">
        <v>5</v>
      </c>
      <c r="H647" s="3">
        <v>327</v>
      </c>
      <c r="I647" s="14" t="s">
        <v>335</v>
      </c>
      <c r="J647" s="12" t="s">
        <v>944</v>
      </c>
      <c r="K647" s="2">
        <v>1</v>
      </c>
      <c r="L647" s="12" t="s">
        <v>344</v>
      </c>
      <c r="M647">
        <f>YEAR(VentesMagasins!$C647)</f>
        <v>2025</v>
      </c>
      <c r="N647" t="e" cm="1" vm="1">
        <f t="array" aca="1" ref="N647" ca="1">MONTH(DateVente)</f>
        <v>#VALUE!</v>
      </c>
      <c r="O647" t="str">
        <f>PROPER(VentesMagasins!$F647)</f>
        <v>Électronique</v>
      </c>
      <c r="P647">
        <f>VALUE(CLEAN(TRIM(SUBSTITUTE(VentesMagasins!$I647,".",","))))</f>
        <v>0</v>
      </c>
      <c r="Q647">
        <f>VALUE(TRIM(SUBSTITUTE(VentesMagasins!$J647,".",",")))</f>
        <v>1635</v>
      </c>
      <c r="R647">
        <f t="shared" si="30"/>
        <v>1635</v>
      </c>
      <c r="S647">
        <f>IF(VentesMagasins!$K647=1,(-1)*R647,R647)</f>
        <v>-1635</v>
      </c>
      <c r="T647">
        <f>IFERROR(VALUE(TRIM(SUBSTITUTE(VentesMagasins!$L647,".",","))),0)</f>
        <v>2</v>
      </c>
      <c r="U647">
        <f t="shared" si="31"/>
        <v>2</v>
      </c>
      <c r="V647" t="str">
        <f t="shared" si="32"/>
        <v>faible</v>
      </c>
      <c r="W647" t="str">
        <f>_xlfn.XLOOKUP(VentesMagasins!$B647,Clients!ClientID,Région)</f>
        <v>Ouest</v>
      </c>
      <c r="X647" t="str">
        <f>INDEX(TypeClient,MATCH(VentesMagasins!$B647,Clients!ClientID))</f>
        <v>Occasionnel</v>
      </c>
      <c r="Y647" t="str">
        <v>août</v>
      </c>
    </row>
    <row r="648" spans="1:25" x14ac:dyDescent="0.25">
      <c r="A648" s="2">
        <v>647</v>
      </c>
      <c r="B648" s="12" t="s">
        <v>237</v>
      </c>
      <c r="C648" s="13">
        <v>45784</v>
      </c>
      <c r="D648" s="12" t="s">
        <v>333</v>
      </c>
      <c r="E648" s="14" t="s">
        <v>329</v>
      </c>
      <c r="F648" s="12" t="s">
        <v>324</v>
      </c>
      <c r="G648" s="2">
        <v>2</v>
      </c>
      <c r="H648" s="3">
        <v>267</v>
      </c>
      <c r="I648" s="14" t="s">
        <v>325</v>
      </c>
      <c r="J648" s="12" t="s">
        <v>945</v>
      </c>
      <c r="K648" s="2">
        <v>1</v>
      </c>
      <c r="L648" s="12" t="s">
        <v>337</v>
      </c>
      <c r="M648">
        <f>YEAR(VentesMagasins!$C648)</f>
        <v>2025</v>
      </c>
      <c r="N648" t="e" cm="1" vm="1">
        <f t="array" aca="1" ref="N648" ca="1">MONTH(DateVente)</f>
        <v>#VALUE!</v>
      </c>
      <c r="O648" t="str">
        <f>PROPER(VentesMagasins!$F648)</f>
        <v>Électronique</v>
      </c>
      <c r="P648">
        <f>VALUE(CLEAN(TRIM(SUBSTITUTE(VentesMagasins!$I648,".",","))))</f>
        <v>0.15</v>
      </c>
      <c r="Q648">
        <f>VALUE(TRIM(SUBSTITUTE(VentesMagasins!$J648,".",",")))</f>
        <v>453.9</v>
      </c>
      <c r="R648">
        <f t="shared" si="30"/>
        <v>385.815</v>
      </c>
      <c r="S648">
        <f>IF(VentesMagasins!$K648=1,(-1)*R648,R648)</f>
        <v>-385.815</v>
      </c>
      <c r="T648">
        <f>IFERROR(VALUE(TRIM(SUBSTITUTE(VentesMagasins!$L648,".",","))),0)</f>
        <v>3</v>
      </c>
      <c r="U648">
        <f t="shared" si="31"/>
        <v>3</v>
      </c>
      <c r="V648" t="str">
        <f t="shared" si="32"/>
        <v>moyenne</v>
      </c>
      <c r="W648" t="str">
        <f>_xlfn.XLOOKUP(VentesMagasins!$B648,Clients!ClientID,Région)</f>
        <v>Est</v>
      </c>
      <c r="X648" t="str">
        <f>INDEX(TypeClient,MATCH(VentesMagasins!$B648,Clients!ClientID))</f>
        <v>Fidèle</v>
      </c>
      <c r="Y648" t="str">
        <v>mai</v>
      </c>
    </row>
    <row r="649" spans="1:25" x14ac:dyDescent="0.25">
      <c r="A649" s="2">
        <v>648</v>
      </c>
      <c r="B649" s="12" t="s">
        <v>238</v>
      </c>
      <c r="C649" s="13">
        <v>45486</v>
      </c>
      <c r="D649" s="12" t="s">
        <v>333</v>
      </c>
      <c r="E649" s="14" t="s">
        <v>345</v>
      </c>
      <c r="F649" s="12" t="s">
        <v>341</v>
      </c>
      <c r="G649" s="2">
        <v>3</v>
      </c>
      <c r="H649" s="3">
        <v>112</v>
      </c>
      <c r="I649" s="14" t="s">
        <v>342</v>
      </c>
      <c r="J649" s="12" t="s">
        <v>946</v>
      </c>
      <c r="K649" s="2">
        <v>0</v>
      </c>
      <c r="L649" s="12" t="s">
        <v>369</v>
      </c>
      <c r="M649">
        <f>YEAR(VentesMagasins!$C649)</f>
        <v>2024</v>
      </c>
      <c r="N649" t="e" cm="1" vm="1">
        <f t="array" aca="1" ref="N649" ca="1">MONTH(DateVente)</f>
        <v>#VALUE!</v>
      </c>
      <c r="O649" t="str">
        <f>PROPER(VentesMagasins!$F649)</f>
        <v>Meuble</v>
      </c>
      <c r="P649">
        <f>VALUE(CLEAN(TRIM(SUBSTITUTE(VentesMagasins!$I649,".",","))))</f>
        <v>0.05</v>
      </c>
      <c r="Q649">
        <f>VALUE(TRIM(SUBSTITUTE(VentesMagasins!$J649,".",",")))</f>
        <v>319.2</v>
      </c>
      <c r="R649">
        <f t="shared" si="30"/>
        <v>303.23999999999995</v>
      </c>
      <c r="S649">
        <f>IF(VentesMagasins!$K649=1,(-1)*R649,R649)</f>
        <v>303.23999999999995</v>
      </c>
      <c r="T649">
        <f>IFERROR(VALUE(TRIM(SUBSTITUTE(VentesMagasins!$L649,".",","))),0)</f>
        <v>1</v>
      </c>
      <c r="U649">
        <f t="shared" si="31"/>
        <v>1</v>
      </c>
      <c r="V649" t="str">
        <f t="shared" si="32"/>
        <v>faible</v>
      </c>
      <c r="W649" t="str">
        <f>_xlfn.XLOOKUP(VentesMagasins!$B649,Clients!ClientID,Région)</f>
        <v>Centre</v>
      </c>
      <c r="X649" t="str">
        <f>INDEX(TypeClient,MATCH(VentesMagasins!$B649,Clients!ClientID))</f>
        <v>Occasionnel</v>
      </c>
      <c r="Y649" t="str">
        <v>juil</v>
      </c>
    </row>
    <row r="650" spans="1:25" x14ac:dyDescent="0.25">
      <c r="A650" s="2">
        <v>649</v>
      </c>
      <c r="B650" s="12" t="s">
        <v>81</v>
      </c>
      <c r="C650" s="13">
        <v>45775</v>
      </c>
      <c r="D650" s="12" t="s">
        <v>338</v>
      </c>
      <c r="E650" s="14" t="s">
        <v>323</v>
      </c>
      <c r="F650" s="12" t="s">
        <v>330</v>
      </c>
      <c r="G650" s="2">
        <v>1</v>
      </c>
      <c r="H650" s="3">
        <v>414</v>
      </c>
      <c r="I650" s="14" t="s">
        <v>355</v>
      </c>
      <c r="J650" s="12" t="s">
        <v>735</v>
      </c>
      <c r="K650" s="2">
        <v>0</v>
      </c>
      <c r="L650" s="12" t="s">
        <v>337</v>
      </c>
      <c r="M650">
        <f>YEAR(VentesMagasins!$C650)</f>
        <v>2025</v>
      </c>
      <c r="N650" t="e" cm="1" vm="1">
        <f t="array" aca="1" ref="N650" ca="1">MONTH(DateVente)</f>
        <v>#VALUE!</v>
      </c>
      <c r="O650" t="str">
        <f>PROPER(VentesMagasins!$F650)</f>
        <v>Décoration</v>
      </c>
      <c r="P650">
        <f>VALUE(CLEAN(TRIM(SUBSTITUTE(VentesMagasins!$I650,".",","))))</f>
        <v>0.1</v>
      </c>
      <c r="Q650">
        <f>VALUE(TRIM(SUBSTITUTE(VentesMagasins!$J650,".",",")))</f>
        <v>372.6</v>
      </c>
      <c r="R650">
        <f t="shared" si="30"/>
        <v>335.34000000000003</v>
      </c>
      <c r="S650">
        <f>IF(VentesMagasins!$K650=1,(-1)*R650,R650)</f>
        <v>335.34000000000003</v>
      </c>
      <c r="T650">
        <f>IFERROR(VALUE(TRIM(SUBSTITUTE(VentesMagasins!$L650,".",","))),0)</f>
        <v>3</v>
      </c>
      <c r="U650">
        <f t="shared" si="31"/>
        <v>3</v>
      </c>
      <c r="V650" t="str">
        <f t="shared" si="32"/>
        <v>moyenne</v>
      </c>
      <c r="W650" t="str">
        <f>_xlfn.XLOOKUP(VentesMagasins!$B650,Clients!ClientID,Région)</f>
        <v>Sud</v>
      </c>
      <c r="X650" t="str">
        <f>INDEX(TypeClient,MATCH(VentesMagasins!$B650,Clients!ClientID))</f>
        <v>Nouveau</v>
      </c>
      <c r="Y650" t="str">
        <v>avr</v>
      </c>
    </row>
    <row r="651" spans="1:25" x14ac:dyDescent="0.25">
      <c r="A651" s="2">
        <v>650</v>
      </c>
      <c r="B651" s="12" t="s">
        <v>233</v>
      </c>
      <c r="C651" s="13">
        <v>45508</v>
      </c>
      <c r="D651" s="12" t="s">
        <v>322</v>
      </c>
      <c r="E651" s="14" t="s">
        <v>364</v>
      </c>
      <c r="F651" s="12" t="s">
        <v>324</v>
      </c>
      <c r="G651" s="2">
        <v>2</v>
      </c>
      <c r="H651" s="3">
        <v>428</v>
      </c>
      <c r="I651" s="14" t="s">
        <v>355</v>
      </c>
      <c r="J651" s="12" t="s">
        <v>947</v>
      </c>
      <c r="K651" s="2">
        <v>0</v>
      </c>
      <c r="L651" s="12" t="s">
        <v>352</v>
      </c>
      <c r="M651">
        <f>YEAR(VentesMagasins!$C651)</f>
        <v>2024</v>
      </c>
      <c r="N651" t="e" cm="1" vm="1">
        <f t="array" aca="1" ref="N651" ca="1">MONTH(DateVente)</f>
        <v>#VALUE!</v>
      </c>
      <c r="O651" t="str">
        <f>PROPER(VentesMagasins!$F651)</f>
        <v>Électronique</v>
      </c>
      <c r="P651">
        <f>VALUE(CLEAN(TRIM(SUBSTITUTE(VentesMagasins!$I651,".",","))))</f>
        <v>0.1</v>
      </c>
      <c r="Q651">
        <f>VALUE(TRIM(SUBSTITUTE(VentesMagasins!$J651,".",",")))</f>
        <v>770.4</v>
      </c>
      <c r="R651">
        <f t="shared" si="30"/>
        <v>693.36</v>
      </c>
      <c r="S651">
        <f>IF(VentesMagasins!$K651=1,(-1)*R651,R651)</f>
        <v>693.36</v>
      </c>
      <c r="T651">
        <f>IFERROR(VALUE(TRIM(SUBSTITUTE(VentesMagasins!$L651,".",","))),0)</f>
        <v>0</v>
      </c>
      <c r="U651">
        <f t="shared" si="31"/>
        <v>3</v>
      </c>
      <c r="V651" t="str">
        <f t="shared" si="32"/>
        <v>moyenne</v>
      </c>
      <c r="W651" t="str">
        <f>_xlfn.XLOOKUP(VentesMagasins!$B651,Clients!ClientID,Région)</f>
        <v>Est</v>
      </c>
      <c r="X651" t="str">
        <f>INDEX(TypeClient,MATCH(VentesMagasins!$B651,Clients!ClientID))</f>
        <v>Fidèle</v>
      </c>
      <c r="Y651" t="str">
        <v>août</v>
      </c>
    </row>
    <row r="652" spans="1:25" x14ac:dyDescent="0.25">
      <c r="A652" s="2">
        <v>651</v>
      </c>
      <c r="B652" s="12" t="s">
        <v>103</v>
      </c>
      <c r="C652" s="13">
        <v>45210</v>
      </c>
      <c r="D652" s="12" t="s">
        <v>350</v>
      </c>
      <c r="E652" s="14" t="s">
        <v>339</v>
      </c>
      <c r="F652" s="12" t="s">
        <v>330</v>
      </c>
      <c r="G652" s="2">
        <v>2</v>
      </c>
      <c r="H652" s="3">
        <v>313</v>
      </c>
      <c r="I652" s="14" t="s">
        <v>325</v>
      </c>
      <c r="J652" s="12" t="s">
        <v>948</v>
      </c>
      <c r="K652" s="2">
        <v>1</v>
      </c>
      <c r="L652" s="12" t="s">
        <v>337</v>
      </c>
      <c r="M652">
        <f>YEAR(VentesMagasins!$C652)</f>
        <v>2023</v>
      </c>
      <c r="N652" t="e" cm="1" vm="1">
        <f t="array" aca="1" ref="N652" ca="1">MONTH(DateVente)</f>
        <v>#VALUE!</v>
      </c>
      <c r="O652" t="str">
        <f>PROPER(VentesMagasins!$F652)</f>
        <v>Décoration</v>
      </c>
      <c r="P652">
        <f>VALUE(CLEAN(TRIM(SUBSTITUTE(VentesMagasins!$I652,".",","))))</f>
        <v>0.15</v>
      </c>
      <c r="Q652">
        <f>VALUE(TRIM(SUBSTITUTE(VentesMagasins!$J652,".",",")))</f>
        <v>532.1</v>
      </c>
      <c r="R652">
        <f t="shared" si="30"/>
        <v>452.28500000000003</v>
      </c>
      <c r="S652">
        <f>IF(VentesMagasins!$K652=1,(-1)*R652,R652)</f>
        <v>-452.28500000000003</v>
      </c>
      <c r="T652">
        <f>IFERROR(VALUE(TRIM(SUBSTITUTE(VentesMagasins!$L652,".",","))),0)</f>
        <v>3</v>
      </c>
      <c r="U652">
        <f t="shared" si="31"/>
        <v>3</v>
      </c>
      <c r="V652" t="str">
        <f t="shared" si="32"/>
        <v>moyenne</v>
      </c>
      <c r="W652" t="str">
        <f>_xlfn.XLOOKUP(VentesMagasins!$B652,Clients!ClientID,Région)</f>
        <v>Nord</v>
      </c>
      <c r="X652" t="str">
        <f>INDEX(TypeClient,MATCH(VentesMagasins!$B652,Clients!ClientID))</f>
        <v>Fidèle</v>
      </c>
      <c r="Y652" t="str">
        <v>oct</v>
      </c>
    </row>
    <row r="653" spans="1:25" x14ac:dyDescent="0.25">
      <c r="A653" s="2">
        <v>652</v>
      </c>
      <c r="B653" s="12" t="s">
        <v>247</v>
      </c>
      <c r="C653" s="13">
        <v>45522</v>
      </c>
      <c r="D653" s="12" t="s">
        <v>333</v>
      </c>
      <c r="E653" s="14" t="s">
        <v>362</v>
      </c>
      <c r="F653" s="12" t="s">
        <v>330</v>
      </c>
      <c r="G653" s="2">
        <v>1</v>
      </c>
      <c r="H653" s="3">
        <v>303</v>
      </c>
      <c r="I653" s="14" t="s">
        <v>355</v>
      </c>
      <c r="J653" s="12" t="s">
        <v>949</v>
      </c>
      <c r="K653" s="2">
        <v>0</v>
      </c>
      <c r="L653" s="12" t="s">
        <v>344</v>
      </c>
      <c r="M653">
        <f>YEAR(VentesMagasins!$C653)</f>
        <v>2024</v>
      </c>
      <c r="N653" t="e" cm="1" vm="1">
        <f t="array" aca="1" ref="N653" ca="1">MONTH(DateVente)</f>
        <v>#VALUE!</v>
      </c>
      <c r="O653" t="str">
        <f>PROPER(VentesMagasins!$F653)</f>
        <v>Décoration</v>
      </c>
      <c r="P653">
        <f>VALUE(CLEAN(TRIM(SUBSTITUTE(VentesMagasins!$I653,".",","))))</f>
        <v>0.1</v>
      </c>
      <c r="Q653">
        <f>VALUE(TRIM(SUBSTITUTE(VentesMagasins!$J653,".",",")))</f>
        <v>272.7</v>
      </c>
      <c r="R653">
        <f t="shared" si="30"/>
        <v>245.43</v>
      </c>
      <c r="S653">
        <f>IF(VentesMagasins!$K653=1,(-1)*R653,R653)</f>
        <v>245.43</v>
      </c>
      <c r="T653">
        <f>IFERROR(VALUE(TRIM(SUBSTITUTE(VentesMagasins!$L653,".",","))),0)</f>
        <v>2</v>
      </c>
      <c r="U653">
        <f t="shared" si="31"/>
        <v>2</v>
      </c>
      <c r="V653" t="str">
        <f t="shared" si="32"/>
        <v>faible</v>
      </c>
      <c r="W653" t="str">
        <f>_xlfn.XLOOKUP(VentesMagasins!$B653,Clients!ClientID,Région)</f>
        <v>Ouest</v>
      </c>
      <c r="X653" t="str">
        <f>INDEX(TypeClient,MATCH(VentesMagasins!$B653,Clients!ClientID))</f>
        <v>Fidèle</v>
      </c>
      <c r="Y653" t="str">
        <v>août</v>
      </c>
    </row>
    <row r="654" spans="1:25" x14ac:dyDescent="0.25">
      <c r="A654" s="2">
        <v>653</v>
      </c>
      <c r="B654" s="12" t="s">
        <v>171</v>
      </c>
      <c r="C654" s="13">
        <v>45016</v>
      </c>
      <c r="D654" s="12" t="s">
        <v>328</v>
      </c>
      <c r="E654" s="14" t="s">
        <v>345</v>
      </c>
      <c r="F654" s="12" t="s">
        <v>330</v>
      </c>
      <c r="G654" s="2">
        <v>2</v>
      </c>
      <c r="H654" s="3">
        <v>188</v>
      </c>
      <c r="I654" s="14" t="s">
        <v>355</v>
      </c>
      <c r="J654" s="12" t="s">
        <v>781</v>
      </c>
      <c r="K654" s="2">
        <v>1</v>
      </c>
      <c r="L654" s="12" t="s">
        <v>352</v>
      </c>
      <c r="M654">
        <f>YEAR(VentesMagasins!$C654)</f>
        <v>2023</v>
      </c>
      <c r="N654" t="e" cm="1" vm="1">
        <f t="array" aca="1" ref="N654" ca="1">MONTH(DateVente)</f>
        <v>#VALUE!</v>
      </c>
      <c r="O654" t="str">
        <f>PROPER(VentesMagasins!$F654)</f>
        <v>Décoration</v>
      </c>
      <c r="P654">
        <f>VALUE(CLEAN(TRIM(SUBSTITUTE(VentesMagasins!$I654,".",","))))</f>
        <v>0.1</v>
      </c>
      <c r="Q654">
        <f>VALUE(TRIM(SUBSTITUTE(VentesMagasins!$J654,".",",")))</f>
        <v>338.4</v>
      </c>
      <c r="R654">
        <f t="shared" si="30"/>
        <v>304.56</v>
      </c>
      <c r="S654">
        <f>IF(VentesMagasins!$K654=1,(-1)*R654,R654)</f>
        <v>-304.56</v>
      </c>
      <c r="T654">
        <f>IFERROR(VALUE(TRIM(SUBSTITUTE(VentesMagasins!$L654,".",","))),0)</f>
        <v>0</v>
      </c>
      <c r="U654">
        <f t="shared" si="31"/>
        <v>3</v>
      </c>
      <c r="V654" t="str">
        <f t="shared" si="32"/>
        <v>moyenne</v>
      </c>
      <c r="W654" t="str">
        <f>_xlfn.XLOOKUP(VentesMagasins!$B654,Clients!ClientID,Région)</f>
        <v>Nord</v>
      </c>
      <c r="X654" t="str">
        <f>INDEX(TypeClient,MATCH(VentesMagasins!$B654,Clients!ClientID))</f>
        <v>Fidèle</v>
      </c>
      <c r="Y654" t="str">
        <v>mars</v>
      </c>
    </row>
    <row r="655" spans="1:25" x14ac:dyDescent="0.25">
      <c r="A655" s="2">
        <v>654</v>
      </c>
      <c r="B655" s="12" t="s">
        <v>239</v>
      </c>
      <c r="C655" s="13">
        <v>45220</v>
      </c>
      <c r="D655" s="12" t="s">
        <v>338</v>
      </c>
      <c r="E655" s="14" t="s">
        <v>345</v>
      </c>
      <c r="F655" s="12" t="s">
        <v>341</v>
      </c>
      <c r="G655" s="2">
        <v>3</v>
      </c>
      <c r="H655" s="3">
        <v>465</v>
      </c>
      <c r="I655" s="14" t="s">
        <v>342</v>
      </c>
      <c r="J655" s="12" t="s">
        <v>950</v>
      </c>
      <c r="K655" s="2">
        <v>0</v>
      </c>
      <c r="L655" s="12" t="s">
        <v>369</v>
      </c>
      <c r="M655">
        <f>YEAR(VentesMagasins!$C655)</f>
        <v>2023</v>
      </c>
      <c r="N655" t="e" cm="1" vm="1">
        <f t="array" aca="1" ref="N655" ca="1">MONTH(DateVente)</f>
        <v>#VALUE!</v>
      </c>
      <c r="O655" t="str">
        <f>PROPER(VentesMagasins!$F655)</f>
        <v>Meuble</v>
      </c>
      <c r="P655">
        <f>VALUE(CLEAN(TRIM(SUBSTITUTE(VentesMagasins!$I655,".",","))))</f>
        <v>0.05</v>
      </c>
      <c r="Q655">
        <f>VALUE(TRIM(SUBSTITUTE(VentesMagasins!$J655,".",",")))</f>
        <v>1325.25</v>
      </c>
      <c r="R655">
        <f t="shared" si="30"/>
        <v>1258.9875</v>
      </c>
      <c r="S655">
        <f>IF(VentesMagasins!$K655=1,(-1)*R655,R655)</f>
        <v>1258.9875</v>
      </c>
      <c r="T655">
        <f>IFERROR(VALUE(TRIM(SUBSTITUTE(VentesMagasins!$L655,".",","))),0)</f>
        <v>1</v>
      </c>
      <c r="U655">
        <f t="shared" si="31"/>
        <v>1</v>
      </c>
      <c r="V655" t="str">
        <f t="shared" si="32"/>
        <v>faible</v>
      </c>
      <c r="W655" t="str">
        <f>_xlfn.XLOOKUP(VentesMagasins!$B655,Clients!ClientID,Région)</f>
        <v>Centre</v>
      </c>
      <c r="X655" t="str">
        <f>INDEX(TypeClient,MATCH(VentesMagasins!$B655,Clients!ClientID))</f>
        <v>Fidèle</v>
      </c>
      <c r="Y655" t="str">
        <v>oct</v>
      </c>
    </row>
    <row r="656" spans="1:25" x14ac:dyDescent="0.25">
      <c r="A656" s="2">
        <v>655</v>
      </c>
      <c r="B656" s="12" t="s">
        <v>137</v>
      </c>
      <c r="C656" s="13">
        <v>45764</v>
      </c>
      <c r="D656" s="12" t="s">
        <v>328</v>
      </c>
      <c r="E656" s="14" t="s">
        <v>364</v>
      </c>
      <c r="F656" s="12" t="s">
        <v>341</v>
      </c>
      <c r="G656" s="2">
        <v>5</v>
      </c>
      <c r="H656" s="3">
        <v>442</v>
      </c>
      <c r="I656" s="14" t="s">
        <v>342</v>
      </c>
      <c r="J656" s="12" t="s">
        <v>951</v>
      </c>
      <c r="K656" s="2">
        <v>0</v>
      </c>
      <c r="L656" s="12" t="s">
        <v>344</v>
      </c>
      <c r="M656">
        <f>YEAR(VentesMagasins!$C656)</f>
        <v>2025</v>
      </c>
      <c r="N656" t="e" cm="1" vm="1">
        <f t="array" aca="1" ref="N656" ca="1">MONTH(DateVente)</f>
        <v>#VALUE!</v>
      </c>
      <c r="O656" t="str">
        <f>PROPER(VentesMagasins!$F656)</f>
        <v>Meuble</v>
      </c>
      <c r="P656">
        <f>VALUE(CLEAN(TRIM(SUBSTITUTE(VentesMagasins!$I656,".",","))))</f>
        <v>0.05</v>
      </c>
      <c r="Q656">
        <f>VALUE(TRIM(SUBSTITUTE(VentesMagasins!$J656,".",",")))</f>
        <v>2099.5</v>
      </c>
      <c r="R656">
        <f t="shared" si="30"/>
        <v>1994.5249999999999</v>
      </c>
      <c r="S656">
        <f>IF(VentesMagasins!$K656=1,(-1)*R656,R656)</f>
        <v>1994.5249999999999</v>
      </c>
      <c r="T656">
        <f>IFERROR(VALUE(TRIM(SUBSTITUTE(VentesMagasins!$L656,".",","))),0)</f>
        <v>2</v>
      </c>
      <c r="U656">
        <f t="shared" si="31"/>
        <v>2</v>
      </c>
      <c r="V656" t="str">
        <f t="shared" si="32"/>
        <v>faible</v>
      </c>
      <c r="W656" t="str">
        <f>_xlfn.XLOOKUP(VentesMagasins!$B656,Clients!ClientID,Région)</f>
        <v>Sud</v>
      </c>
      <c r="X656" t="str">
        <f>INDEX(TypeClient,MATCH(VentesMagasins!$B656,Clients!ClientID))</f>
        <v>Nouveau</v>
      </c>
      <c r="Y656" t="str">
        <v>avr</v>
      </c>
    </row>
    <row r="657" spans="1:25" x14ac:dyDescent="0.25">
      <c r="A657" s="2">
        <v>656</v>
      </c>
      <c r="B657" s="12" t="s">
        <v>254</v>
      </c>
      <c r="C657" s="13">
        <v>45133</v>
      </c>
      <c r="D657" s="12" t="s">
        <v>328</v>
      </c>
      <c r="E657" s="14" t="s">
        <v>362</v>
      </c>
      <c r="F657" s="12" t="s">
        <v>324</v>
      </c>
      <c r="G657" s="2">
        <v>3</v>
      </c>
      <c r="H657" s="3">
        <v>136</v>
      </c>
      <c r="I657" s="14" t="s">
        <v>355</v>
      </c>
      <c r="J657" s="12" t="s">
        <v>438</v>
      </c>
      <c r="K657" s="2">
        <v>0</v>
      </c>
      <c r="L657" s="12" t="s">
        <v>337</v>
      </c>
      <c r="M657">
        <f>YEAR(VentesMagasins!$C657)</f>
        <v>2023</v>
      </c>
      <c r="N657" t="e" cm="1" vm="1">
        <f t="array" aca="1" ref="N657" ca="1">MONTH(DateVente)</f>
        <v>#VALUE!</v>
      </c>
      <c r="O657" t="str">
        <f>PROPER(VentesMagasins!$F657)</f>
        <v>Électronique</v>
      </c>
      <c r="P657">
        <f>VALUE(CLEAN(TRIM(SUBSTITUTE(VentesMagasins!$I657,".",","))))</f>
        <v>0.1</v>
      </c>
      <c r="Q657">
        <f>VALUE(TRIM(SUBSTITUTE(VentesMagasins!$J657,".",",")))</f>
        <v>367.2</v>
      </c>
      <c r="R657">
        <f t="shared" si="30"/>
        <v>330.48</v>
      </c>
      <c r="S657">
        <f>IF(VentesMagasins!$K657=1,(-1)*R657,R657)</f>
        <v>330.48</v>
      </c>
      <c r="T657">
        <f>IFERROR(VALUE(TRIM(SUBSTITUTE(VentesMagasins!$L657,".",","))),0)</f>
        <v>3</v>
      </c>
      <c r="U657">
        <f t="shared" si="31"/>
        <v>3</v>
      </c>
      <c r="V657" t="str">
        <f t="shared" si="32"/>
        <v>moyenne</v>
      </c>
      <c r="W657" t="str">
        <f>_xlfn.XLOOKUP(VentesMagasins!$B657,Clients!ClientID,Région)</f>
        <v>Ouest</v>
      </c>
      <c r="X657" t="str">
        <f>INDEX(TypeClient,MATCH(VentesMagasins!$B657,Clients!ClientID))</f>
        <v>Fidèle</v>
      </c>
      <c r="Y657" t="str">
        <v>juil</v>
      </c>
    </row>
    <row r="658" spans="1:25" x14ac:dyDescent="0.25">
      <c r="A658" s="2">
        <v>657</v>
      </c>
      <c r="B658" s="12" t="s">
        <v>33</v>
      </c>
      <c r="C658" s="13">
        <v>45358</v>
      </c>
      <c r="D658" s="12" t="s">
        <v>328</v>
      </c>
      <c r="E658" s="14" t="s">
        <v>329</v>
      </c>
      <c r="F658" s="12" t="s">
        <v>341</v>
      </c>
      <c r="G658" s="2">
        <v>2</v>
      </c>
      <c r="H658" s="3">
        <v>296</v>
      </c>
      <c r="I658" s="14" t="s">
        <v>355</v>
      </c>
      <c r="J658" s="12" t="s">
        <v>952</v>
      </c>
      <c r="K658" s="2">
        <v>0</v>
      </c>
      <c r="L658" s="12" t="s">
        <v>337</v>
      </c>
      <c r="M658">
        <f>YEAR(VentesMagasins!$C658)</f>
        <v>2024</v>
      </c>
      <c r="N658" t="e" cm="1" vm="1">
        <f t="array" aca="1" ref="N658" ca="1">MONTH(DateVente)</f>
        <v>#VALUE!</v>
      </c>
      <c r="O658" t="str">
        <f>PROPER(VentesMagasins!$F658)</f>
        <v>Meuble</v>
      </c>
      <c r="P658">
        <f>VALUE(CLEAN(TRIM(SUBSTITUTE(VentesMagasins!$I658,".",","))))</f>
        <v>0.1</v>
      </c>
      <c r="Q658">
        <f>VALUE(TRIM(SUBSTITUTE(VentesMagasins!$J658,".",",")))</f>
        <v>532.79999999999995</v>
      </c>
      <c r="R658">
        <f t="shared" si="30"/>
        <v>479.52</v>
      </c>
      <c r="S658">
        <f>IF(VentesMagasins!$K658=1,(-1)*R658,R658)</f>
        <v>479.52</v>
      </c>
      <c r="T658">
        <f>IFERROR(VALUE(TRIM(SUBSTITUTE(VentesMagasins!$L658,".",","))),0)</f>
        <v>3</v>
      </c>
      <c r="U658">
        <f t="shared" si="31"/>
        <v>3</v>
      </c>
      <c r="V658" t="str">
        <f t="shared" si="32"/>
        <v>moyenne</v>
      </c>
      <c r="W658" t="str">
        <f>_xlfn.XLOOKUP(VentesMagasins!$B658,Clients!ClientID,Région)</f>
        <v>Ouest</v>
      </c>
      <c r="X658" t="str">
        <f>INDEX(TypeClient,MATCH(VentesMagasins!$B658,Clients!ClientID))</f>
        <v>Nouveau</v>
      </c>
      <c r="Y658" t="str">
        <v>mars</v>
      </c>
    </row>
    <row r="659" spans="1:25" x14ac:dyDescent="0.25">
      <c r="A659" s="2">
        <v>658</v>
      </c>
      <c r="B659" s="12" t="s">
        <v>230</v>
      </c>
      <c r="C659" s="13">
        <v>45776</v>
      </c>
      <c r="D659" s="12" t="s">
        <v>338</v>
      </c>
      <c r="E659" s="14" t="s">
        <v>345</v>
      </c>
      <c r="F659" s="12" t="s">
        <v>341</v>
      </c>
      <c r="G659" s="2">
        <v>2</v>
      </c>
      <c r="H659" s="3">
        <v>340</v>
      </c>
      <c r="I659" s="14" t="s">
        <v>342</v>
      </c>
      <c r="J659" s="12" t="s">
        <v>953</v>
      </c>
      <c r="K659" s="2">
        <v>0</v>
      </c>
      <c r="L659" s="12" t="s">
        <v>369</v>
      </c>
      <c r="M659">
        <f>YEAR(VentesMagasins!$C659)</f>
        <v>2025</v>
      </c>
      <c r="N659" t="e" cm="1" vm="1">
        <f t="array" aca="1" ref="N659" ca="1">MONTH(DateVente)</f>
        <v>#VALUE!</v>
      </c>
      <c r="O659" t="str">
        <f>PROPER(VentesMagasins!$F659)</f>
        <v>Meuble</v>
      </c>
      <c r="P659">
        <f>VALUE(CLEAN(TRIM(SUBSTITUTE(VentesMagasins!$I659,".",","))))</f>
        <v>0.05</v>
      </c>
      <c r="Q659">
        <f>VALUE(TRIM(SUBSTITUTE(VentesMagasins!$J659,".",",")))</f>
        <v>646</v>
      </c>
      <c r="R659">
        <f t="shared" si="30"/>
        <v>613.69999999999993</v>
      </c>
      <c r="S659">
        <f>IF(VentesMagasins!$K659=1,(-1)*R659,R659)</f>
        <v>613.69999999999993</v>
      </c>
      <c r="T659">
        <f>IFERROR(VALUE(TRIM(SUBSTITUTE(VentesMagasins!$L659,".",","))),0)</f>
        <v>1</v>
      </c>
      <c r="U659">
        <f t="shared" si="31"/>
        <v>1</v>
      </c>
      <c r="V659" t="str">
        <f t="shared" si="32"/>
        <v>faible</v>
      </c>
      <c r="W659" t="str">
        <f>_xlfn.XLOOKUP(VentesMagasins!$B659,Clients!ClientID,Région)</f>
        <v>Sud</v>
      </c>
      <c r="X659" t="str">
        <f>INDEX(TypeClient,MATCH(VentesMagasins!$B659,Clients!ClientID))</f>
        <v>Nouveau</v>
      </c>
      <c r="Y659" t="str">
        <v>avr</v>
      </c>
    </row>
    <row r="660" spans="1:25" x14ac:dyDescent="0.25">
      <c r="A660" s="2">
        <v>659</v>
      </c>
      <c r="B660" s="12" t="s">
        <v>151</v>
      </c>
      <c r="C660" s="13">
        <v>45487</v>
      </c>
      <c r="D660" s="12" t="s">
        <v>338</v>
      </c>
      <c r="E660" s="14" t="s">
        <v>329</v>
      </c>
      <c r="F660" s="12" t="s">
        <v>324</v>
      </c>
      <c r="G660" s="2">
        <v>4</v>
      </c>
      <c r="H660" s="3">
        <v>318</v>
      </c>
      <c r="I660" s="14" t="s">
        <v>342</v>
      </c>
      <c r="J660" s="12" t="s">
        <v>467</v>
      </c>
      <c r="K660" s="2">
        <v>0</v>
      </c>
      <c r="L660" s="12" t="s">
        <v>344</v>
      </c>
      <c r="M660">
        <f>YEAR(VentesMagasins!$C660)</f>
        <v>2024</v>
      </c>
      <c r="N660" t="e" cm="1" vm="1">
        <f t="array" aca="1" ref="N660" ca="1">MONTH(DateVente)</f>
        <v>#VALUE!</v>
      </c>
      <c r="O660" t="str">
        <f>PROPER(VentesMagasins!$F660)</f>
        <v>Électronique</v>
      </c>
      <c r="P660">
        <f>VALUE(CLEAN(TRIM(SUBSTITUTE(VentesMagasins!$I660,".",","))))</f>
        <v>0.05</v>
      </c>
      <c r="Q660">
        <f>VALUE(TRIM(SUBSTITUTE(VentesMagasins!$J660,".",",")))</f>
        <v>1208.3999999999901</v>
      </c>
      <c r="R660">
        <f t="shared" si="30"/>
        <v>1147.9799999999905</v>
      </c>
      <c r="S660">
        <f>IF(VentesMagasins!$K660=1,(-1)*R660,R660)</f>
        <v>1147.9799999999905</v>
      </c>
      <c r="T660">
        <f>IFERROR(VALUE(TRIM(SUBSTITUTE(VentesMagasins!$L660,".",","))),0)</f>
        <v>2</v>
      </c>
      <c r="U660">
        <f t="shared" si="31"/>
        <v>2</v>
      </c>
      <c r="V660" t="str">
        <f t="shared" si="32"/>
        <v>faible</v>
      </c>
      <c r="W660" t="str">
        <f>_xlfn.XLOOKUP(VentesMagasins!$B660,Clients!ClientID,Région)</f>
        <v>Centre</v>
      </c>
      <c r="X660" t="str">
        <f>INDEX(TypeClient,MATCH(VentesMagasins!$B660,Clients!ClientID))</f>
        <v>Nouveau</v>
      </c>
      <c r="Y660" t="str">
        <v>juil</v>
      </c>
    </row>
    <row r="661" spans="1:25" x14ac:dyDescent="0.25">
      <c r="A661" s="2">
        <v>660</v>
      </c>
      <c r="B661" s="12" t="s">
        <v>103</v>
      </c>
      <c r="C661" s="13">
        <v>45687</v>
      </c>
      <c r="D661" s="12" t="s">
        <v>328</v>
      </c>
      <c r="E661" s="14" t="s">
        <v>362</v>
      </c>
      <c r="F661" s="12" t="s">
        <v>341</v>
      </c>
      <c r="G661" s="2">
        <v>4</v>
      </c>
      <c r="H661" s="3">
        <v>28</v>
      </c>
      <c r="I661" s="14" t="s">
        <v>335</v>
      </c>
      <c r="J661" s="12" t="s">
        <v>954</v>
      </c>
      <c r="K661" s="2">
        <v>0</v>
      </c>
      <c r="L661" s="12" t="s">
        <v>344</v>
      </c>
      <c r="M661">
        <f>YEAR(VentesMagasins!$C661)</f>
        <v>2025</v>
      </c>
      <c r="N661" t="e" cm="1" vm="1">
        <f t="array" aca="1" ref="N661" ca="1">MONTH(DateVente)</f>
        <v>#VALUE!</v>
      </c>
      <c r="O661" t="str">
        <f>PROPER(VentesMagasins!$F661)</f>
        <v>Meuble</v>
      </c>
      <c r="P661">
        <f>VALUE(CLEAN(TRIM(SUBSTITUTE(VentesMagasins!$I661,".",","))))</f>
        <v>0</v>
      </c>
      <c r="Q661">
        <f>VALUE(TRIM(SUBSTITUTE(VentesMagasins!$J661,".",",")))</f>
        <v>112</v>
      </c>
      <c r="R661">
        <f t="shared" si="30"/>
        <v>112</v>
      </c>
      <c r="S661">
        <f>IF(VentesMagasins!$K661=1,(-1)*R661,R661)</f>
        <v>112</v>
      </c>
      <c r="T661">
        <f>IFERROR(VALUE(TRIM(SUBSTITUTE(VentesMagasins!$L661,".",","))),0)</f>
        <v>2</v>
      </c>
      <c r="U661">
        <f t="shared" si="31"/>
        <v>2</v>
      </c>
      <c r="V661" t="str">
        <f t="shared" si="32"/>
        <v>faible</v>
      </c>
      <c r="W661" t="str">
        <f>_xlfn.XLOOKUP(VentesMagasins!$B661,Clients!ClientID,Région)</f>
        <v>Nord</v>
      </c>
      <c r="X661" t="str">
        <f>INDEX(TypeClient,MATCH(VentesMagasins!$B661,Clients!ClientID))</f>
        <v>Fidèle</v>
      </c>
      <c r="Y661" t="str">
        <v>janv</v>
      </c>
    </row>
    <row r="662" spans="1:25" x14ac:dyDescent="0.25">
      <c r="A662" s="2">
        <v>661</v>
      </c>
      <c r="B662" s="12" t="s">
        <v>31</v>
      </c>
      <c r="C662" s="13">
        <v>45275</v>
      </c>
      <c r="D662" s="12" t="s">
        <v>338</v>
      </c>
      <c r="E662" s="14" t="s">
        <v>323</v>
      </c>
      <c r="F662" s="12" t="s">
        <v>324</v>
      </c>
      <c r="G662" s="2">
        <v>5</v>
      </c>
      <c r="H662" s="3">
        <v>438</v>
      </c>
      <c r="I662" s="14" t="s">
        <v>335</v>
      </c>
      <c r="J662" s="12" t="s">
        <v>955</v>
      </c>
      <c r="K662" s="2">
        <v>0</v>
      </c>
      <c r="L662" s="12" t="s">
        <v>327</v>
      </c>
      <c r="M662">
        <f>YEAR(VentesMagasins!$C662)</f>
        <v>2023</v>
      </c>
      <c r="N662" t="e" cm="1" vm="1">
        <f t="array" aca="1" ref="N662" ca="1">MONTH(DateVente)</f>
        <v>#VALUE!</v>
      </c>
      <c r="O662" t="str">
        <f>PROPER(VentesMagasins!$F662)</f>
        <v>Électronique</v>
      </c>
      <c r="P662">
        <f>VALUE(CLEAN(TRIM(SUBSTITUTE(VentesMagasins!$I662,".",","))))</f>
        <v>0</v>
      </c>
      <c r="Q662">
        <f>VALUE(TRIM(SUBSTITUTE(VentesMagasins!$J662,".",",")))</f>
        <v>2190</v>
      </c>
      <c r="R662">
        <f t="shared" si="30"/>
        <v>2190</v>
      </c>
      <c r="S662">
        <f>IF(VentesMagasins!$K662=1,(-1)*R662,R662)</f>
        <v>2190</v>
      </c>
      <c r="T662">
        <f>IFERROR(VALUE(TRIM(SUBSTITUTE(VentesMagasins!$L662,".",","))),0)</f>
        <v>5</v>
      </c>
      <c r="U662">
        <f t="shared" si="31"/>
        <v>5</v>
      </c>
      <c r="V662" t="str">
        <f t="shared" si="32"/>
        <v>élévé</v>
      </c>
      <c r="W662" t="str">
        <f>_xlfn.XLOOKUP(VentesMagasins!$B662,Clients!ClientID,Région)</f>
        <v>Sud</v>
      </c>
      <c r="X662" t="str">
        <f>INDEX(TypeClient,MATCH(VentesMagasins!$B662,Clients!ClientID))</f>
        <v>Occasionnel</v>
      </c>
      <c r="Y662" t="str">
        <v>déc</v>
      </c>
    </row>
    <row r="663" spans="1:25" x14ac:dyDescent="0.25">
      <c r="A663" s="2">
        <v>662</v>
      </c>
      <c r="B663" s="12" t="s">
        <v>71</v>
      </c>
      <c r="C663" s="13">
        <v>45839</v>
      </c>
      <c r="D663" s="12" t="s">
        <v>338</v>
      </c>
      <c r="E663" s="14" t="s">
        <v>329</v>
      </c>
      <c r="F663" s="12" t="s">
        <v>324</v>
      </c>
      <c r="G663" s="2">
        <v>3</v>
      </c>
      <c r="H663" s="3">
        <v>154</v>
      </c>
      <c r="I663" s="14" t="s">
        <v>342</v>
      </c>
      <c r="J663" s="12" t="s">
        <v>956</v>
      </c>
      <c r="K663" s="2">
        <v>0</v>
      </c>
      <c r="L663" s="12" t="s">
        <v>352</v>
      </c>
      <c r="M663">
        <f>YEAR(VentesMagasins!$C663)</f>
        <v>2025</v>
      </c>
      <c r="N663" t="e" cm="1" vm="1">
        <f t="array" aca="1" ref="N663" ca="1">MONTH(DateVente)</f>
        <v>#VALUE!</v>
      </c>
      <c r="O663" t="str">
        <f>PROPER(VentesMagasins!$F663)</f>
        <v>Électronique</v>
      </c>
      <c r="P663">
        <f>VALUE(CLEAN(TRIM(SUBSTITUTE(VentesMagasins!$I663,".",","))))</f>
        <v>0.05</v>
      </c>
      <c r="Q663">
        <f>VALUE(TRIM(SUBSTITUTE(VentesMagasins!$J663,".",",")))</f>
        <v>438.9</v>
      </c>
      <c r="R663">
        <f t="shared" si="30"/>
        <v>416.95499999999998</v>
      </c>
      <c r="S663">
        <f>IF(VentesMagasins!$K663=1,(-1)*R663,R663)</f>
        <v>416.95499999999998</v>
      </c>
      <c r="T663">
        <f>IFERROR(VALUE(TRIM(SUBSTITUTE(VentesMagasins!$L663,".",","))),0)</f>
        <v>0</v>
      </c>
      <c r="U663">
        <f t="shared" si="31"/>
        <v>3</v>
      </c>
      <c r="V663" t="str">
        <f t="shared" si="32"/>
        <v>moyenne</v>
      </c>
      <c r="W663" t="str">
        <f>_xlfn.XLOOKUP(VentesMagasins!$B663,Clients!ClientID,Région)</f>
        <v>Sud</v>
      </c>
      <c r="X663" t="str">
        <f>INDEX(TypeClient,MATCH(VentesMagasins!$B663,Clients!ClientID))</f>
        <v>Nouveau</v>
      </c>
      <c r="Y663" t="str">
        <v>juil</v>
      </c>
    </row>
    <row r="664" spans="1:25" x14ac:dyDescent="0.25">
      <c r="A664" s="2">
        <v>663</v>
      </c>
      <c r="B664" s="12" t="s">
        <v>30</v>
      </c>
      <c r="C664" s="13">
        <v>45989</v>
      </c>
      <c r="D664" s="12" t="s">
        <v>360</v>
      </c>
      <c r="E664" s="14" t="s">
        <v>345</v>
      </c>
      <c r="F664" s="12" t="s">
        <v>341</v>
      </c>
      <c r="G664" s="2">
        <v>3</v>
      </c>
      <c r="H664" s="3">
        <v>133</v>
      </c>
      <c r="I664" s="14" t="s">
        <v>342</v>
      </c>
      <c r="J664" s="12" t="s">
        <v>957</v>
      </c>
      <c r="K664" s="2">
        <v>0</v>
      </c>
      <c r="L664" s="12" t="s">
        <v>369</v>
      </c>
      <c r="M664">
        <f>YEAR(VentesMagasins!$C664)</f>
        <v>2025</v>
      </c>
      <c r="N664" t="e" cm="1" vm="1">
        <f t="array" aca="1" ref="N664" ca="1">MONTH(DateVente)</f>
        <v>#VALUE!</v>
      </c>
      <c r="O664" t="str">
        <f>PROPER(VentesMagasins!$F664)</f>
        <v>Meuble</v>
      </c>
      <c r="P664">
        <f>VALUE(CLEAN(TRIM(SUBSTITUTE(VentesMagasins!$I664,".",","))))</f>
        <v>0.05</v>
      </c>
      <c r="Q664">
        <f>VALUE(TRIM(SUBSTITUTE(VentesMagasins!$J664,".",",")))</f>
        <v>379.04999999999899</v>
      </c>
      <c r="R664">
        <f t="shared" si="30"/>
        <v>360.097499999999</v>
      </c>
      <c r="S664">
        <f>IF(VentesMagasins!$K664=1,(-1)*R664,R664)</f>
        <v>360.097499999999</v>
      </c>
      <c r="T664">
        <f>IFERROR(VALUE(TRIM(SUBSTITUTE(VentesMagasins!$L664,".",","))),0)</f>
        <v>1</v>
      </c>
      <c r="U664">
        <f t="shared" si="31"/>
        <v>1</v>
      </c>
      <c r="V664" t="str">
        <f t="shared" si="32"/>
        <v>faible</v>
      </c>
      <c r="W664" t="str">
        <f>_xlfn.XLOOKUP(VentesMagasins!$B664,Clients!ClientID,Région)</f>
        <v>Centre</v>
      </c>
      <c r="X664" t="str">
        <f>INDEX(TypeClient,MATCH(VentesMagasins!$B664,Clients!ClientID))</f>
        <v>Fidèle</v>
      </c>
      <c r="Y664" t="str">
        <v>nov</v>
      </c>
    </row>
    <row r="665" spans="1:25" x14ac:dyDescent="0.25">
      <c r="A665" s="2">
        <v>664</v>
      </c>
      <c r="B665" s="12" t="s">
        <v>254</v>
      </c>
      <c r="C665" s="13">
        <v>45832</v>
      </c>
      <c r="D665" s="12" t="s">
        <v>328</v>
      </c>
      <c r="E665" s="14" t="s">
        <v>345</v>
      </c>
      <c r="F665" s="12" t="s">
        <v>324</v>
      </c>
      <c r="G665" s="2">
        <v>1</v>
      </c>
      <c r="H665" s="3">
        <v>171</v>
      </c>
      <c r="I665" s="14" t="s">
        <v>355</v>
      </c>
      <c r="J665" s="12" t="s">
        <v>359</v>
      </c>
      <c r="K665" s="2">
        <v>1</v>
      </c>
      <c r="L665" s="12" t="s">
        <v>369</v>
      </c>
      <c r="M665">
        <f>YEAR(VentesMagasins!$C665)</f>
        <v>2025</v>
      </c>
      <c r="N665" t="e" cm="1" vm="1">
        <f t="array" aca="1" ref="N665" ca="1">MONTH(DateVente)</f>
        <v>#VALUE!</v>
      </c>
      <c r="O665" t="str">
        <f>PROPER(VentesMagasins!$F665)</f>
        <v>Électronique</v>
      </c>
      <c r="P665">
        <f>VALUE(CLEAN(TRIM(SUBSTITUTE(VentesMagasins!$I665,".",","))))</f>
        <v>0.1</v>
      </c>
      <c r="Q665">
        <f>VALUE(TRIM(SUBSTITUTE(VentesMagasins!$J665,".",",")))</f>
        <v>153.9</v>
      </c>
      <c r="R665">
        <f t="shared" si="30"/>
        <v>138.51000000000002</v>
      </c>
      <c r="S665">
        <f>IF(VentesMagasins!$K665=1,(-1)*R665,R665)</f>
        <v>-138.51000000000002</v>
      </c>
      <c r="T665">
        <f>IFERROR(VALUE(TRIM(SUBSTITUTE(VentesMagasins!$L665,".",","))),0)</f>
        <v>1</v>
      </c>
      <c r="U665">
        <f t="shared" si="31"/>
        <v>1</v>
      </c>
      <c r="V665" t="str">
        <f t="shared" si="32"/>
        <v>faible</v>
      </c>
      <c r="W665" t="str">
        <f>_xlfn.XLOOKUP(VentesMagasins!$B665,Clients!ClientID,Région)</f>
        <v>Ouest</v>
      </c>
      <c r="X665" t="str">
        <f>INDEX(TypeClient,MATCH(VentesMagasins!$B665,Clients!ClientID))</f>
        <v>Fidèle</v>
      </c>
      <c r="Y665" t="str">
        <v>juin</v>
      </c>
    </row>
    <row r="666" spans="1:25" x14ac:dyDescent="0.25">
      <c r="A666" s="2">
        <v>665</v>
      </c>
      <c r="B666" s="12" t="s">
        <v>75</v>
      </c>
      <c r="C666" s="13">
        <v>45868</v>
      </c>
      <c r="D666" s="12" t="s">
        <v>328</v>
      </c>
      <c r="E666" s="14" t="s">
        <v>362</v>
      </c>
      <c r="F666" s="12" t="s">
        <v>330</v>
      </c>
      <c r="G666" s="2">
        <v>2</v>
      </c>
      <c r="H666" s="3">
        <v>179</v>
      </c>
      <c r="I666" s="14" t="s">
        <v>325</v>
      </c>
      <c r="J666" s="12" t="s">
        <v>958</v>
      </c>
      <c r="K666" s="2">
        <v>0</v>
      </c>
      <c r="L666" s="12" t="s">
        <v>352</v>
      </c>
      <c r="M666">
        <f>YEAR(VentesMagasins!$C666)</f>
        <v>2025</v>
      </c>
      <c r="N666" t="e" cm="1" vm="1">
        <f t="array" aca="1" ref="N666" ca="1">MONTH(DateVente)</f>
        <v>#VALUE!</v>
      </c>
      <c r="O666" t="str">
        <f>PROPER(VentesMagasins!$F666)</f>
        <v>Décoration</v>
      </c>
      <c r="P666">
        <f>VALUE(CLEAN(TRIM(SUBSTITUTE(VentesMagasins!$I666,".",","))))</f>
        <v>0.15</v>
      </c>
      <c r="Q666">
        <f>VALUE(TRIM(SUBSTITUTE(VentesMagasins!$J666,".",",")))</f>
        <v>304.3</v>
      </c>
      <c r="R666">
        <f t="shared" si="30"/>
        <v>258.65500000000003</v>
      </c>
      <c r="S666">
        <f>IF(VentesMagasins!$K666=1,(-1)*R666,R666)</f>
        <v>258.65500000000003</v>
      </c>
      <c r="T666">
        <f>IFERROR(VALUE(TRIM(SUBSTITUTE(VentesMagasins!$L666,".",","))),0)</f>
        <v>0</v>
      </c>
      <c r="U666">
        <f t="shared" si="31"/>
        <v>3</v>
      </c>
      <c r="V666" t="str">
        <f t="shared" si="32"/>
        <v>moyenne</v>
      </c>
      <c r="W666" t="str">
        <f>_xlfn.XLOOKUP(VentesMagasins!$B666,Clients!ClientID,Région)</f>
        <v>Est</v>
      </c>
      <c r="X666" t="str">
        <f>INDEX(TypeClient,MATCH(VentesMagasins!$B666,Clients!ClientID))</f>
        <v>Nouveau</v>
      </c>
      <c r="Y666" t="str">
        <v>juil</v>
      </c>
    </row>
    <row r="667" spans="1:25" x14ac:dyDescent="0.25">
      <c r="A667" s="2">
        <v>666</v>
      </c>
      <c r="B667" s="12" t="s">
        <v>200</v>
      </c>
      <c r="C667" s="13">
        <v>45736</v>
      </c>
      <c r="D667" s="12" t="s">
        <v>449</v>
      </c>
      <c r="E667" s="14" t="s">
        <v>345</v>
      </c>
      <c r="F667" s="12" t="s">
        <v>341</v>
      </c>
      <c r="G667" s="2">
        <v>4</v>
      </c>
      <c r="H667" s="3">
        <v>68</v>
      </c>
      <c r="I667" s="14" t="s">
        <v>325</v>
      </c>
      <c r="J667" s="12" t="s">
        <v>959</v>
      </c>
      <c r="K667" s="2">
        <v>0</v>
      </c>
      <c r="L667" s="12" t="s">
        <v>369</v>
      </c>
      <c r="M667">
        <f>YEAR(VentesMagasins!$C667)</f>
        <v>2025</v>
      </c>
      <c r="N667" t="e" cm="1" vm="1">
        <f t="array" aca="1" ref="N667" ca="1">MONTH(DateVente)</f>
        <v>#VALUE!</v>
      </c>
      <c r="O667" t="str">
        <f>PROPER(VentesMagasins!$F667)</f>
        <v>Meuble</v>
      </c>
      <c r="P667">
        <f>VALUE(CLEAN(TRIM(SUBSTITUTE(VentesMagasins!$I667,".",","))))</f>
        <v>0.15</v>
      </c>
      <c r="Q667">
        <f>VALUE(TRIM(SUBSTITUTE(VentesMagasins!$J667,".",",")))</f>
        <v>231.2</v>
      </c>
      <c r="R667">
        <f t="shared" si="30"/>
        <v>196.51999999999998</v>
      </c>
      <c r="S667">
        <f>IF(VentesMagasins!$K667=1,(-1)*R667,R667)</f>
        <v>196.51999999999998</v>
      </c>
      <c r="T667">
        <f>IFERROR(VALUE(TRIM(SUBSTITUTE(VentesMagasins!$L667,".",","))),0)</f>
        <v>1</v>
      </c>
      <c r="U667">
        <f t="shared" si="31"/>
        <v>1</v>
      </c>
      <c r="V667" t="str">
        <f t="shared" si="32"/>
        <v>faible</v>
      </c>
      <c r="W667" t="str">
        <f>_xlfn.XLOOKUP(VentesMagasins!$B667,Clients!ClientID,Région)</f>
        <v>Nord</v>
      </c>
      <c r="X667" t="str">
        <f>INDEX(TypeClient,MATCH(VentesMagasins!$B667,Clients!ClientID))</f>
        <v>Occasionnel</v>
      </c>
      <c r="Y667" t="str">
        <v>mars</v>
      </c>
    </row>
    <row r="668" spans="1:25" x14ac:dyDescent="0.25">
      <c r="A668" s="2">
        <v>667</v>
      </c>
      <c r="B668" s="12" t="s">
        <v>99</v>
      </c>
      <c r="C668" s="13">
        <v>45979</v>
      </c>
      <c r="D668" s="12" t="s">
        <v>338</v>
      </c>
      <c r="E668" s="14" t="s">
        <v>362</v>
      </c>
      <c r="F668" s="12" t="s">
        <v>330</v>
      </c>
      <c r="G668" s="2">
        <v>4</v>
      </c>
      <c r="H668" s="3">
        <v>492</v>
      </c>
      <c r="I668" s="14" t="s">
        <v>335</v>
      </c>
      <c r="J668" s="12" t="s">
        <v>960</v>
      </c>
      <c r="K668" s="2">
        <v>0</v>
      </c>
      <c r="L668" s="12" t="s">
        <v>369</v>
      </c>
      <c r="M668">
        <f>YEAR(VentesMagasins!$C668)</f>
        <v>2025</v>
      </c>
      <c r="N668" t="e" cm="1" vm="1">
        <f t="array" aca="1" ref="N668" ca="1">MONTH(DateVente)</f>
        <v>#VALUE!</v>
      </c>
      <c r="O668" t="str">
        <f>PROPER(VentesMagasins!$F668)</f>
        <v>Décoration</v>
      </c>
      <c r="P668">
        <f>VALUE(CLEAN(TRIM(SUBSTITUTE(VentesMagasins!$I668,".",","))))</f>
        <v>0</v>
      </c>
      <c r="Q668">
        <f>VALUE(TRIM(SUBSTITUTE(VentesMagasins!$J668,".",",")))</f>
        <v>1968</v>
      </c>
      <c r="R668">
        <f t="shared" si="30"/>
        <v>1968</v>
      </c>
      <c r="S668">
        <f>IF(VentesMagasins!$K668=1,(-1)*R668,R668)</f>
        <v>1968</v>
      </c>
      <c r="T668">
        <f>IFERROR(VALUE(TRIM(SUBSTITUTE(VentesMagasins!$L668,".",","))),0)</f>
        <v>1</v>
      </c>
      <c r="U668">
        <f t="shared" si="31"/>
        <v>1</v>
      </c>
      <c r="V668" t="str">
        <f t="shared" si="32"/>
        <v>faible</v>
      </c>
      <c r="W668" t="str">
        <f>_xlfn.XLOOKUP(VentesMagasins!$B668,Clients!ClientID,Région)</f>
        <v>Ouest</v>
      </c>
      <c r="X668" t="str">
        <f>INDEX(TypeClient,MATCH(VentesMagasins!$B668,Clients!ClientID))</f>
        <v>Occasionnel</v>
      </c>
      <c r="Y668" t="str">
        <v>nov</v>
      </c>
    </row>
    <row r="669" spans="1:25" x14ac:dyDescent="0.25">
      <c r="A669" s="2">
        <v>668</v>
      </c>
      <c r="B669" s="12" t="s">
        <v>303</v>
      </c>
      <c r="C669" s="13">
        <v>45247</v>
      </c>
      <c r="D669" s="12" t="s">
        <v>328</v>
      </c>
      <c r="E669" s="14" t="s">
        <v>339</v>
      </c>
      <c r="F669" s="12" t="s">
        <v>341</v>
      </c>
      <c r="G669" s="2">
        <v>4</v>
      </c>
      <c r="H669" s="3">
        <v>384</v>
      </c>
      <c r="I669" s="14" t="s">
        <v>342</v>
      </c>
      <c r="J669" s="12" t="s">
        <v>961</v>
      </c>
      <c r="K669" s="2">
        <v>0</v>
      </c>
      <c r="L669" s="12" t="s">
        <v>369</v>
      </c>
      <c r="M669">
        <f>YEAR(VentesMagasins!$C669)</f>
        <v>2023</v>
      </c>
      <c r="N669" t="e" cm="1" vm="1">
        <f t="array" aca="1" ref="N669" ca="1">MONTH(DateVente)</f>
        <v>#VALUE!</v>
      </c>
      <c r="O669" t="str">
        <f>PROPER(VentesMagasins!$F669)</f>
        <v>Meuble</v>
      </c>
      <c r="P669">
        <f>VALUE(CLEAN(TRIM(SUBSTITUTE(VentesMagasins!$I669,".",","))))</f>
        <v>0.05</v>
      </c>
      <c r="Q669">
        <f>VALUE(TRIM(SUBSTITUTE(VentesMagasins!$J669,".",",")))</f>
        <v>1459.19999999999</v>
      </c>
      <c r="R669">
        <f t="shared" si="30"/>
        <v>1386.2399999999905</v>
      </c>
      <c r="S669">
        <f>IF(VentesMagasins!$K669=1,(-1)*R669,R669)</f>
        <v>1386.2399999999905</v>
      </c>
      <c r="T669">
        <f>IFERROR(VALUE(TRIM(SUBSTITUTE(VentesMagasins!$L669,".",","))),0)</f>
        <v>1</v>
      </c>
      <c r="U669">
        <f t="shared" si="31"/>
        <v>1</v>
      </c>
      <c r="V669" t="str">
        <f t="shared" si="32"/>
        <v>faible</v>
      </c>
      <c r="W669" t="str">
        <f>_xlfn.XLOOKUP(VentesMagasins!$B669,Clients!ClientID,Région)</f>
        <v>Est</v>
      </c>
      <c r="X669" t="str">
        <f>INDEX(TypeClient,MATCH(VentesMagasins!$B669,Clients!ClientID))</f>
        <v>Fidèle</v>
      </c>
      <c r="Y669" t="str">
        <v>nov</v>
      </c>
    </row>
    <row r="670" spans="1:25" x14ac:dyDescent="0.25">
      <c r="A670" s="2">
        <v>669</v>
      </c>
      <c r="B670" s="12" t="s">
        <v>305</v>
      </c>
      <c r="C670" s="13">
        <v>45713</v>
      </c>
      <c r="D670" s="12" t="s">
        <v>322</v>
      </c>
      <c r="E670" s="14" t="s">
        <v>329</v>
      </c>
      <c r="F670" s="12" t="s">
        <v>324</v>
      </c>
      <c r="G670" s="2">
        <v>2</v>
      </c>
      <c r="H670" s="3">
        <v>286</v>
      </c>
      <c r="I670" s="14" t="s">
        <v>325</v>
      </c>
      <c r="J670" s="12" t="s">
        <v>962</v>
      </c>
      <c r="K670" s="2">
        <v>0</v>
      </c>
      <c r="L670" s="12" t="s">
        <v>332</v>
      </c>
      <c r="M670">
        <f>YEAR(VentesMagasins!$C670)</f>
        <v>2025</v>
      </c>
      <c r="N670" t="e" cm="1" vm="1">
        <f t="array" aca="1" ref="N670" ca="1">MONTH(DateVente)</f>
        <v>#VALUE!</v>
      </c>
      <c r="O670" t="str">
        <f>PROPER(VentesMagasins!$F670)</f>
        <v>Électronique</v>
      </c>
      <c r="P670">
        <f>VALUE(CLEAN(TRIM(SUBSTITUTE(VentesMagasins!$I670,".",","))))</f>
        <v>0.15</v>
      </c>
      <c r="Q670">
        <f>VALUE(TRIM(SUBSTITUTE(VentesMagasins!$J670,".",",")))</f>
        <v>486.2</v>
      </c>
      <c r="R670">
        <f t="shared" si="30"/>
        <v>413.27</v>
      </c>
      <c r="S670">
        <f>IF(VentesMagasins!$K670=1,(-1)*R670,R670)</f>
        <v>413.27</v>
      </c>
      <c r="T670">
        <f>IFERROR(VALUE(TRIM(SUBSTITUTE(VentesMagasins!$L670,".",","))),0)</f>
        <v>4</v>
      </c>
      <c r="U670">
        <f t="shared" si="31"/>
        <v>4</v>
      </c>
      <c r="V670" t="str">
        <f t="shared" si="32"/>
        <v>moyenne</v>
      </c>
      <c r="W670" t="str">
        <f>_xlfn.XLOOKUP(VentesMagasins!$B670,Clients!ClientID,Région)</f>
        <v>Est</v>
      </c>
      <c r="X670" t="str">
        <f>INDEX(TypeClient,MATCH(VentesMagasins!$B670,Clients!ClientID))</f>
        <v>Fidèle</v>
      </c>
      <c r="Y670" t="str">
        <v>févr</v>
      </c>
    </row>
    <row r="671" spans="1:25" x14ac:dyDescent="0.25">
      <c r="A671" s="2">
        <v>670</v>
      </c>
      <c r="B671" s="12" t="s">
        <v>172</v>
      </c>
      <c r="C671" s="13">
        <v>45840</v>
      </c>
      <c r="D671" s="12" t="s">
        <v>350</v>
      </c>
      <c r="E671" s="14" t="s">
        <v>323</v>
      </c>
      <c r="F671" s="12" t="s">
        <v>330</v>
      </c>
      <c r="G671" s="2">
        <v>1</v>
      </c>
      <c r="H671" s="3">
        <v>139</v>
      </c>
      <c r="I671" s="14" t="s">
        <v>325</v>
      </c>
      <c r="J671" s="12" t="s">
        <v>963</v>
      </c>
      <c r="K671" s="2">
        <v>0</v>
      </c>
      <c r="L671" s="12" t="s">
        <v>332</v>
      </c>
      <c r="M671">
        <f>YEAR(VentesMagasins!$C671)</f>
        <v>2025</v>
      </c>
      <c r="N671" t="e" cm="1" vm="1">
        <f t="array" aca="1" ref="N671" ca="1">MONTH(DateVente)</f>
        <v>#VALUE!</v>
      </c>
      <c r="O671" t="str">
        <f>PROPER(VentesMagasins!$F671)</f>
        <v>Décoration</v>
      </c>
      <c r="P671">
        <f>VALUE(CLEAN(TRIM(SUBSTITUTE(VentesMagasins!$I671,".",","))))</f>
        <v>0.15</v>
      </c>
      <c r="Q671">
        <f>VALUE(TRIM(SUBSTITUTE(VentesMagasins!$J671,".",",")))</f>
        <v>118.149999999999</v>
      </c>
      <c r="R671">
        <f t="shared" si="30"/>
        <v>100.42749999999914</v>
      </c>
      <c r="S671">
        <f>IF(VentesMagasins!$K671=1,(-1)*R671,R671)</f>
        <v>100.42749999999914</v>
      </c>
      <c r="T671">
        <f>IFERROR(VALUE(TRIM(SUBSTITUTE(VentesMagasins!$L671,".",","))),0)</f>
        <v>4</v>
      </c>
      <c r="U671">
        <f t="shared" si="31"/>
        <v>4</v>
      </c>
      <c r="V671" t="str">
        <f t="shared" si="32"/>
        <v>moyenne</v>
      </c>
      <c r="W671" t="str">
        <f>_xlfn.XLOOKUP(VentesMagasins!$B671,Clients!ClientID,Région)</f>
        <v>Centre</v>
      </c>
      <c r="X671" t="str">
        <f>INDEX(TypeClient,MATCH(VentesMagasins!$B671,Clients!ClientID))</f>
        <v>Nouveau</v>
      </c>
      <c r="Y671" t="str">
        <v>juil</v>
      </c>
    </row>
    <row r="672" spans="1:25" x14ac:dyDescent="0.25">
      <c r="A672" s="2">
        <v>671</v>
      </c>
      <c r="B672" s="12" t="s">
        <v>43</v>
      </c>
      <c r="C672" s="13">
        <v>45780</v>
      </c>
      <c r="D672" s="12" t="s">
        <v>322</v>
      </c>
      <c r="E672" s="14" t="s">
        <v>345</v>
      </c>
      <c r="F672" s="12" t="s">
        <v>330</v>
      </c>
      <c r="G672" s="2">
        <v>5</v>
      </c>
      <c r="H672" s="3">
        <v>437</v>
      </c>
      <c r="I672" s="14" t="s">
        <v>335</v>
      </c>
      <c r="J672" s="12" t="s">
        <v>964</v>
      </c>
      <c r="K672" s="2">
        <v>0</v>
      </c>
      <c r="L672" s="12" t="s">
        <v>337</v>
      </c>
      <c r="M672">
        <f>YEAR(VentesMagasins!$C672)</f>
        <v>2025</v>
      </c>
      <c r="N672" t="e" cm="1" vm="1">
        <f t="array" aca="1" ref="N672" ca="1">MONTH(DateVente)</f>
        <v>#VALUE!</v>
      </c>
      <c r="O672" t="str">
        <f>PROPER(VentesMagasins!$F672)</f>
        <v>Décoration</v>
      </c>
      <c r="P672">
        <f>VALUE(CLEAN(TRIM(SUBSTITUTE(VentesMagasins!$I672,".",","))))</f>
        <v>0</v>
      </c>
      <c r="Q672">
        <f>VALUE(TRIM(SUBSTITUTE(VentesMagasins!$J672,".",",")))</f>
        <v>2185</v>
      </c>
      <c r="R672">
        <f t="shared" si="30"/>
        <v>2185</v>
      </c>
      <c r="S672">
        <f>IF(VentesMagasins!$K672=1,(-1)*R672,R672)</f>
        <v>2185</v>
      </c>
      <c r="T672">
        <f>IFERROR(VALUE(TRIM(SUBSTITUTE(VentesMagasins!$L672,".",","))),0)</f>
        <v>3</v>
      </c>
      <c r="U672">
        <f t="shared" si="31"/>
        <v>3</v>
      </c>
      <c r="V672" t="str">
        <f t="shared" si="32"/>
        <v>moyenne</v>
      </c>
      <c r="W672" t="str">
        <f>_xlfn.XLOOKUP(VentesMagasins!$B672,Clients!ClientID,Région)</f>
        <v>Est</v>
      </c>
      <c r="X672" t="str">
        <f>INDEX(TypeClient,MATCH(VentesMagasins!$B672,Clients!ClientID))</f>
        <v>Nouveau</v>
      </c>
      <c r="Y672" t="str">
        <v>mai</v>
      </c>
    </row>
    <row r="673" spans="1:25" x14ac:dyDescent="0.25">
      <c r="A673" s="2">
        <v>672</v>
      </c>
      <c r="B673" s="12" t="s">
        <v>79</v>
      </c>
      <c r="C673" s="13">
        <v>45510</v>
      </c>
      <c r="D673" s="12" t="s">
        <v>338</v>
      </c>
      <c r="E673" s="14" t="s">
        <v>362</v>
      </c>
      <c r="F673" s="12" t="s">
        <v>324</v>
      </c>
      <c r="G673" s="2">
        <v>5</v>
      </c>
      <c r="H673" s="3">
        <v>359</v>
      </c>
      <c r="I673" s="14" t="s">
        <v>355</v>
      </c>
      <c r="J673" s="12" t="s">
        <v>965</v>
      </c>
      <c r="K673" s="2">
        <v>1</v>
      </c>
      <c r="L673" s="12" t="s">
        <v>332</v>
      </c>
      <c r="M673">
        <f>YEAR(VentesMagasins!$C673)</f>
        <v>2024</v>
      </c>
      <c r="N673" t="e" cm="1" vm="1">
        <f t="array" aca="1" ref="N673" ca="1">MONTH(DateVente)</f>
        <v>#VALUE!</v>
      </c>
      <c r="O673" t="str">
        <f>PROPER(VentesMagasins!$F673)</f>
        <v>Électronique</v>
      </c>
      <c r="P673">
        <f>VALUE(CLEAN(TRIM(SUBSTITUTE(VentesMagasins!$I673,".",","))))</f>
        <v>0.1</v>
      </c>
      <c r="Q673">
        <f>VALUE(TRIM(SUBSTITUTE(VentesMagasins!$J673,".",",")))</f>
        <v>1615.5</v>
      </c>
      <c r="R673">
        <f t="shared" si="30"/>
        <v>1453.95</v>
      </c>
      <c r="S673">
        <f>IF(VentesMagasins!$K673=1,(-1)*R673,R673)</f>
        <v>-1453.95</v>
      </c>
      <c r="T673">
        <f>IFERROR(VALUE(TRIM(SUBSTITUTE(VentesMagasins!$L673,".",","))),0)</f>
        <v>4</v>
      </c>
      <c r="U673">
        <f t="shared" si="31"/>
        <v>4</v>
      </c>
      <c r="V673" t="str">
        <f t="shared" si="32"/>
        <v>moyenne</v>
      </c>
      <c r="W673" t="str">
        <f>_xlfn.XLOOKUP(VentesMagasins!$B673,Clients!ClientID,Région)</f>
        <v>Ouest</v>
      </c>
      <c r="X673" t="str">
        <f>INDEX(TypeClient,MATCH(VentesMagasins!$B673,Clients!ClientID))</f>
        <v>Occasionnel</v>
      </c>
      <c r="Y673" t="str">
        <v>août</v>
      </c>
    </row>
    <row r="674" spans="1:25" x14ac:dyDescent="0.25">
      <c r="A674" s="2">
        <v>673</v>
      </c>
      <c r="B674" s="12" t="s">
        <v>41</v>
      </c>
      <c r="C674" s="13">
        <v>45825</v>
      </c>
      <c r="D674" s="12" t="s">
        <v>333</v>
      </c>
      <c r="E674" s="14" t="s">
        <v>323</v>
      </c>
      <c r="F674" s="12" t="s">
        <v>341</v>
      </c>
      <c r="G674" s="2">
        <v>4</v>
      </c>
      <c r="H674" s="3">
        <v>174</v>
      </c>
      <c r="I674" s="14" t="s">
        <v>325</v>
      </c>
      <c r="J674" s="12" t="s">
        <v>966</v>
      </c>
      <c r="K674" s="2">
        <v>0</v>
      </c>
      <c r="L674" s="12" t="s">
        <v>344</v>
      </c>
      <c r="M674">
        <f>YEAR(VentesMagasins!$C674)</f>
        <v>2025</v>
      </c>
      <c r="N674" t="e" cm="1" vm="1">
        <f t="array" aca="1" ref="N674" ca="1">MONTH(DateVente)</f>
        <v>#VALUE!</v>
      </c>
      <c r="O674" t="str">
        <f>PROPER(VentesMagasins!$F674)</f>
        <v>Meuble</v>
      </c>
      <c r="P674">
        <f>VALUE(CLEAN(TRIM(SUBSTITUTE(VentesMagasins!$I674,".",","))))</f>
        <v>0.15</v>
      </c>
      <c r="Q674">
        <f>VALUE(TRIM(SUBSTITUTE(VentesMagasins!$J674,".",",")))</f>
        <v>591.6</v>
      </c>
      <c r="R674">
        <f t="shared" si="30"/>
        <v>502.86</v>
      </c>
      <c r="S674">
        <f>IF(VentesMagasins!$K674=1,(-1)*R674,R674)</f>
        <v>502.86</v>
      </c>
      <c r="T674">
        <f>IFERROR(VALUE(TRIM(SUBSTITUTE(VentesMagasins!$L674,".",","))),0)</f>
        <v>2</v>
      </c>
      <c r="U674">
        <f t="shared" si="31"/>
        <v>2</v>
      </c>
      <c r="V674" t="str">
        <f t="shared" si="32"/>
        <v>faible</v>
      </c>
      <c r="W674" t="str">
        <f>_xlfn.XLOOKUP(VentesMagasins!$B674,Clients!ClientID,Région)</f>
        <v>Centre</v>
      </c>
      <c r="X674" t="str">
        <f>INDEX(TypeClient,MATCH(VentesMagasins!$B674,Clients!ClientID))</f>
        <v>Nouveau</v>
      </c>
      <c r="Y674" t="str">
        <v>juin</v>
      </c>
    </row>
    <row r="675" spans="1:25" x14ac:dyDescent="0.25">
      <c r="A675" s="2">
        <v>674</v>
      </c>
      <c r="B675" s="12" t="s">
        <v>55</v>
      </c>
      <c r="C675" s="13">
        <v>45227</v>
      </c>
      <c r="D675" s="12" t="s">
        <v>322</v>
      </c>
      <c r="E675" s="14" t="s">
        <v>345</v>
      </c>
      <c r="F675" s="12" t="s">
        <v>341</v>
      </c>
      <c r="G675" s="2">
        <v>5</v>
      </c>
      <c r="H675" s="3">
        <v>391</v>
      </c>
      <c r="I675" s="14" t="s">
        <v>342</v>
      </c>
      <c r="J675" s="12" t="s">
        <v>967</v>
      </c>
      <c r="K675" s="2">
        <v>0</v>
      </c>
      <c r="L675" s="12" t="s">
        <v>327</v>
      </c>
      <c r="M675">
        <f>YEAR(VentesMagasins!$C675)</f>
        <v>2023</v>
      </c>
      <c r="N675" t="e" cm="1" vm="1">
        <f t="array" aca="1" ref="N675" ca="1">MONTH(DateVente)</f>
        <v>#VALUE!</v>
      </c>
      <c r="O675" t="str">
        <f>PROPER(VentesMagasins!$F675)</f>
        <v>Meuble</v>
      </c>
      <c r="P675">
        <f>VALUE(CLEAN(TRIM(SUBSTITUTE(VentesMagasins!$I675,".",","))))</f>
        <v>0.05</v>
      </c>
      <c r="Q675">
        <f>VALUE(TRIM(SUBSTITUTE(VentesMagasins!$J675,".",",")))</f>
        <v>1857.25</v>
      </c>
      <c r="R675">
        <f t="shared" si="30"/>
        <v>1764.3874999999998</v>
      </c>
      <c r="S675">
        <f>IF(VentesMagasins!$K675=1,(-1)*R675,R675)</f>
        <v>1764.3874999999998</v>
      </c>
      <c r="T675">
        <f>IFERROR(VALUE(TRIM(SUBSTITUTE(VentesMagasins!$L675,".",","))),0)</f>
        <v>5</v>
      </c>
      <c r="U675">
        <f t="shared" si="31"/>
        <v>5</v>
      </c>
      <c r="V675" t="str">
        <f t="shared" si="32"/>
        <v>élévé</v>
      </c>
      <c r="W675" t="str">
        <f>_xlfn.XLOOKUP(VentesMagasins!$B675,Clients!ClientID,Région)</f>
        <v>Nord</v>
      </c>
      <c r="X675" t="str">
        <f>INDEX(TypeClient,MATCH(VentesMagasins!$B675,Clients!ClientID))</f>
        <v>Fidèle</v>
      </c>
      <c r="Y675" t="str">
        <v>oct</v>
      </c>
    </row>
    <row r="676" spans="1:25" x14ac:dyDescent="0.25">
      <c r="A676" s="2">
        <v>675</v>
      </c>
      <c r="B676" s="12" t="s">
        <v>120</v>
      </c>
      <c r="C676" s="13">
        <v>45087</v>
      </c>
      <c r="D676" s="12" t="s">
        <v>449</v>
      </c>
      <c r="E676" s="14" t="s">
        <v>339</v>
      </c>
      <c r="F676" s="12" t="s">
        <v>324</v>
      </c>
      <c r="G676" s="2">
        <v>4</v>
      </c>
      <c r="H676" s="3">
        <v>129</v>
      </c>
      <c r="I676" s="14" t="s">
        <v>325</v>
      </c>
      <c r="J676" s="12" t="s">
        <v>968</v>
      </c>
      <c r="K676" s="2">
        <v>1</v>
      </c>
      <c r="L676" s="12" t="s">
        <v>352</v>
      </c>
      <c r="M676">
        <f>YEAR(VentesMagasins!$C676)</f>
        <v>2023</v>
      </c>
      <c r="N676" t="e" cm="1" vm="1">
        <f t="array" aca="1" ref="N676" ca="1">MONTH(DateVente)</f>
        <v>#VALUE!</v>
      </c>
      <c r="O676" t="str">
        <f>PROPER(VentesMagasins!$F676)</f>
        <v>Électronique</v>
      </c>
      <c r="P676">
        <f>VALUE(CLEAN(TRIM(SUBSTITUTE(VentesMagasins!$I676,".",","))))</f>
        <v>0.15</v>
      </c>
      <c r="Q676">
        <f>VALUE(TRIM(SUBSTITUTE(VentesMagasins!$J676,".",",")))</f>
        <v>438.599999999999</v>
      </c>
      <c r="R676">
        <f t="shared" si="30"/>
        <v>372.80999999999915</v>
      </c>
      <c r="S676">
        <f>IF(VentesMagasins!$K676=1,(-1)*R676,R676)</f>
        <v>-372.80999999999915</v>
      </c>
      <c r="T676">
        <f>IFERROR(VALUE(TRIM(SUBSTITUTE(VentesMagasins!$L676,".",","))),0)</f>
        <v>0</v>
      </c>
      <c r="U676">
        <f t="shared" si="31"/>
        <v>3</v>
      </c>
      <c r="V676" t="str">
        <f t="shared" si="32"/>
        <v>moyenne</v>
      </c>
      <c r="W676" t="str">
        <f>_xlfn.XLOOKUP(VentesMagasins!$B676,Clients!ClientID,Région)</f>
        <v>Ouest</v>
      </c>
      <c r="X676" t="str">
        <f>INDEX(TypeClient,MATCH(VentesMagasins!$B676,Clients!ClientID))</f>
        <v>Nouveau</v>
      </c>
      <c r="Y676" t="str">
        <v>juin</v>
      </c>
    </row>
    <row r="677" spans="1:25" x14ac:dyDescent="0.25">
      <c r="A677" s="2">
        <v>676</v>
      </c>
      <c r="B677" s="12" t="s">
        <v>183</v>
      </c>
      <c r="C677" s="13">
        <v>45242</v>
      </c>
      <c r="D677" s="12" t="s">
        <v>322</v>
      </c>
      <c r="E677" s="14" t="s">
        <v>329</v>
      </c>
      <c r="F677" s="12" t="s">
        <v>324</v>
      </c>
      <c r="G677" s="2">
        <v>1</v>
      </c>
      <c r="H677" s="3">
        <v>142</v>
      </c>
      <c r="I677" s="14" t="s">
        <v>342</v>
      </c>
      <c r="J677" s="12" t="s">
        <v>969</v>
      </c>
      <c r="K677" s="2">
        <v>1</v>
      </c>
      <c r="L677" s="12" t="s">
        <v>344</v>
      </c>
      <c r="M677">
        <f>YEAR(VentesMagasins!$C677)</f>
        <v>2023</v>
      </c>
      <c r="N677" t="e" cm="1" vm="1">
        <f t="array" aca="1" ref="N677" ca="1">MONTH(DateVente)</f>
        <v>#VALUE!</v>
      </c>
      <c r="O677" t="str">
        <f>PROPER(VentesMagasins!$F677)</f>
        <v>Électronique</v>
      </c>
      <c r="P677">
        <f>VALUE(CLEAN(TRIM(SUBSTITUTE(VentesMagasins!$I677,".",","))))</f>
        <v>0.05</v>
      </c>
      <c r="Q677">
        <f>VALUE(TRIM(SUBSTITUTE(VentesMagasins!$J677,".",",")))</f>
        <v>134.9</v>
      </c>
      <c r="R677">
        <f t="shared" si="30"/>
        <v>128.155</v>
      </c>
      <c r="S677">
        <f>IF(VentesMagasins!$K677=1,(-1)*R677,R677)</f>
        <v>-128.155</v>
      </c>
      <c r="T677">
        <f>IFERROR(VALUE(TRIM(SUBSTITUTE(VentesMagasins!$L677,".",","))),0)</f>
        <v>2</v>
      </c>
      <c r="U677">
        <f t="shared" si="31"/>
        <v>2</v>
      </c>
      <c r="V677" t="str">
        <f t="shared" si="32"/>
        <v>faible</v>
      </c>
      <c r="W677" t="str">
        <f>_xlfn.XLOOKUP(VentesMagasins!$B677,Clients!ClientID,Région)</f>
        <v>Nord</v>
      </c>
      <c r="X677" t="str">
        <f>INDEX(TypeClient,MATCH(VentesMagasins!$B677,Clients!ClientID))</f>
        <v>Occasionnel</v>
      </c>
      <c r="Y677" t="str">
        <v>nov</v>
      </c>
    </row>
    <row r="678" spans="1:25" x14ac:dyDescent="0.25">
      <c r="A678" s="2">
        <v>677</v>
      </c>
      <c r="B678" s="12" t="s">
        <v>283</v>
      </c>
      <c r="C678" s="13">
        <v>45218</v>
      </c>
      <c r="D678" s="12" t="s">
        <v>333</v>
      </c>
      <c r="E678" s="14" t="s">
        <v>348</v>
      </c>
      <c r="F678" s="12" t="s">
        <v>324</v>
      </c>
      <c r="G678" s="2">
        <v>2</v>
      </c>
      <c r="H678" s="3">
        <v>348</v>
      </c>
      <c r="I678" s="14" t="s">
        <v>355</v>
      </c>
      <c r="J678" s="12" t="s">
        <v>970</v>
      </c>
      <c r="K678" s="2">
        <v>0</v>
      </c>
      <c r="L678" s="12" t="s">
        <v>369</v>
      </c>
      <c r="M678">
        <f>YEAR(VentesMagasins!$C678)</f>
        <v>2023</v>
      </c>
      <c r="N678" t="e" cm="1" vm="1">
        <f t="array" aca="1" ref="N678" ca="1">MONTH(DateVente)</f>
        <v>#VALUE!</v>
      </c>
      <c r="O678" t="str">
        <f>PROPER(VentesMagasins!$F678)</f>
        <v>Électronique</v>
      </c>
      <c r="P678">
        <f>VALUE(CLEAN(TRIM(SUBSTITUTE(VentesMagasins!$I678,".",","))))</f>
        <v>0.1</v>
      </c>
      <c r="Q678">
        <f>VALUE(TRIM(SUBSTITUTE(VentesMagasins!$J678,".",",")))</f>
        <v>626.4</v>
      </c>
      <c r="R678">
        <f t="shared" si="30"/>
        <v>563.76</v>
      </c>
      <c r="S678">
        <f>IF(VentesMagasins!$K678=1,(-1)*R678,R678)</f>
        <v>563.76</v>
      </c>
      <c r="T678">
        <f>IFERROR(VALUE(TRIM(SUBSTITUTE(VentesMagasins!$L678,".",","))),0)</f>
        <v>1</v>
      </c>
      <c r="U678">
        <f t="shared" si="31"/>
        <v>1</v>
      </c>
      <c r="V678" t="str">
        <f t="shared" si="32"/>
        <v>faible</v>
      </c>
      <c r="W678" t="str">
        <f>_xlfn.XLOOKUP(VentesMagasins!$B678,Clients!ClientID,Région)</f>
        <v>Nord</v>
      </c>
      <c r="X678" t="str">
        <f>INDEX(TypeClient,MATCH(VentesMagasins!$B678,Clients!ClientID))</f>
        <v>Fidèle</v>
      </c>
      <c r="Y678" t="str">
        <v>oct</v>
      </c>
    </row>
    <row r="679" spans="1:25" x14ac:dyDescent="0.25">
      <c r="A679" s="2">
        <v>678</v>
      </c>
      <c r="B679" s="12" t="s">
        <v>187</v>
      </c>
      <c r="C679" s="13">
        <v>45199</v>
      </c>
      <c r="D679" s="12" t="s">
        <v>333</v>
      </c>
      <c r="E679" s="14" t="s">
        <v>345</v>
      </c>
      <c r="F679" s="12" t="s">
        <v>341</v>
      </c>
      <c r="G679" s="2">
        <v>4</v>
      </c>
      <c r="H679" s="3">
        <v>293</v>
      </c>
      <c r="I679" s="14" t="s">
        <v>342</v>
      </c>
      <c r="J679" s="12" t="s">
        <v>971</v>
      </c>
      <c r="K679" s="2">
        <v>0</v>
      </c>
      <c r="L679" s="12" t="s">
        <v>369</v>
      </c>
      <c r="M679">
        <f>YEAR(VentesMagasins!$C679)</f>
        <v>2023</v>
      </c>
      <c r="N679" t="e" cm="1" vm="1">
        <f t="array" aca="1" ref="N679" ca="1">MONTH(DateVente)</f>
        <v>#VALUE!</v>
      </c>
      <c r="O679" t="str">
        <f>PROPER(VentesMagasins!$F679)</f>
        <v>Meuble</v>
      </c>
      <c r="P679">
        <f>VALUE(CLEAN(TRIM(SUBSTITUTE(VentesMagasins!$I679,".",","))))</f>
        <v>0.05</v>
      </c>
      <c r="Q679">
        <f>VALUE(TRIM(SUBSTITUTE(VentesMagasins!$J679,".",",")))</f>
        <v>1113.3999999999901</v>
      </c>
      <c r="R679">
        <f t="shared" si="30"/>
        <v>1057.7299999999905</v>
      </c>
      <c r="S679">
        <f>IF(VentesMagasins!$K679=1,(-1)*R679,R679)</f>
        <v>1057.7299999999905</v>
      </c>
      <c r="T679">
        <f>IFERROR(VALUE(TRIM(SUBSTITUTE(VentesMagasins!$L679,".",","))),0)</f>
        <v>1</v>
      </c>
      <c r="U679">
        <f t="shared" si="31"/>
        <v>1</v>
      </c>
      <c r="V679" t="str">
        <f t="shared" si="32"/>
        <v>faible</v>
      </c>
      <c r="W679" t="str">
        <f>_xlfn.XLOOKUP(VentesMagasins!$B679,Clients!ClientID,Région)</f>
        <v>Est</v>
      </c>
      <c r="X679" t="str">
        <f>INDEX(TypeClient,MATCH(VentesMagasins!$B679,Clients!ClientID))</f>
        <v>Nouveau</v>
      </c>
      <c r="Y679" t="str">
        <v>sept</v>
      </c>
    </row>
    <row r="680" spans="1:25" x14ac:dyDescent="0.25">
      <c r="A680" s="2">
        <v>679</v>
      </c>
      <c r="B680" s="12" t="s">
        <v>233</v>
      </c>
      <c r="C680" s="13">
        <v>45283</v>
      </c>
      <c r="D680" s="12" t="s">
        <v>322</v>
      </c>
      <c r="E680" s="14" t="s">
        <v>329</v>
      </c>
      <c r="F680" s="12" t="s">
        <v>324</v>
      </c>
      <c r="G680" s="2">
        <v>2</v>
      </c>
      <c r="H680" s="3">
        <v>258</v>
      </c>
      <c r="I680" s="14" t="s">
        <v>325</v>
      </c>
      <c r="J680" s="12" t="s">
        <v>968</v>
      </c>
      <c r="K680" s="2">
        <v>0</v>
      </c>
      <c r="L680" s="12" t="s">
        <v>327</v>
      </c>
      <c r="M680">
        <f>YEAR(VentesMagasins!$C680)</f>
        <v>2023</v>
      </c>
      <c r="N680" t="e" cm="1" vm="1">
        <f t="array" aca="1" ref="N680" ca="1">MONTH(DateVente)</f>
        <v>#VALUE!</v>
      </c>
      <c r="O680" t="str">
        <f>PROPER(VentesMagasins!$F680)</f>
        <v>Électronique</v>
      </c>
      <c r="P680">
        <f>VALUE(CLEAN(TRIM(SUBSTITUTE(VentesMagasins!$I680,".",","))))</f>
        <v>0.15</v>
      </c>
      <c r="Q680">
        <f>VALUE(TRIM(SUBSTITUTE(VentesMagasins!$J680,".",",")))</f>
        <v>438.599999999999</v>
      </c>
      <c r="R680">
        <f t="shared" si="30"/>
        <v>372.80999999999915</v>
      </c>
      <c r="S680">
        <f>IF(VentesMagasins!$K680=1,(-1)*R680,R680)</f>
        <v>372.80999999999915</v>
      </c>
      <c r="T680">
        <f>IFERROR(VALUE(TRIM(SUBSTITUTE(VentesMagasins!$L680,".",","))),0)</f>
        <v>5</v>
      </c>
      <c r="U680">
        <f t="shared" si="31"/>
        <v>5</v>
      </c>
      <c r="V680" t="str">
        <f t="shared" si="32"/>
        <v>élévé</v>
      </c>
      <c r="W680" t="str">
        <f>_xlfn.XLOOKUP(VentesMagasins!$B680,Clients!ClientID,Région)</f>
        <v>Est</v>
      </c>
      <c r="X680" t="str">
        <f>INDEX(TypeClient,MATCH(VentesMagasins!$B680,Clients!ClientID))</f>
        <v>Fidèle</v>
      </c>
      <c r="Y680" t="str">
        <v>déc</v>
      </c>
    </row>
    <row r="681" spans="1:25" x14ac:dyDescent="0.25">
      <c r="A681" s="2">
        <v>680</v>
      </c>
      <c r="B681" s="12" t="s">
        <v>71</v>
      </c>
      <c r="C681" s="13">
        <v>45756</v>
      </c>
      <c r="D681" s="12" t="s">
        <v>328</v>
      </c>
      <c r="E681" s="14" t="s">
        <v>364</v>
      </c>
      <c r="F681" s="12" t="s">
        <v>341</v>
      </c>
      <c r="G681" s="2">
        <v>4</v>
      </c>
      <c r="H681" s="3">
        <v>65</v>
      </c>
      <c r="I681" s="14" t="s">
        <v>355</v>
      </c>
      <c r="J681" s="12" t="s">
        <v>972</v>
      </c>
      <c r="K681" s="2">
        <v>0</v>
      </c>
      <c r="L681" s="12" t="s">
        <v>332</v>
      </c>
      <c r="M681">
        <f>YEAR(VentesMagasins!$C681)</f>
        <v>2025</v>
      </c>
      <c r="N681" t="e" cm="1" vm="1">
        <f t="array" aca="1" ref="N681" ca="1">MONTH(DateVente)</f>
        <v>#VALUE!</v>
      </c>
      <c r="O681" t="str">
        <f>PROPER(VentesMagasins!$F681)</f>
        <v>Meuble</v>
      </c>
      <c r="P681">
        <f>VALUE(CLEAN(TRIM(SUBSTITUTE(VentesMagasins!$I681,".",","))))</f>
        <v>0.1</v>
      </c>
      <c r="Q681">
        <f>VALUE(TRIM(SUBSTITUTE(VentesMagasins!$J681,".",",")))</f>
        <v>234</v>
      </c>
      <c r="R681">
        <f t="shared" si="30"/>
        <v>210.6</v>
      </c>
      <c r="S681">
        <f>IF(VentesMagasins!$K681=1,(-1)*R681,R681)</f>
        <v>210.6</v>
      </c>
      <c r="T681">
        <f>IFERROR(VALUE(TRIM(SUBSTITUTE(VentesMagasins!$L681,".",","))),0)</f>
        <v>4</v>
      </c>
      <c r="U681">
        <f t="shared" si="31"/>
        <v>4</v>
      </c>
      <c r="V681" t="str">
        <f t="shared" si="32"/>
        <v>moyenne</v>
      </c>
      <c r="W681" t="str">
        <f>_xlfn.XLOOKUP(VentesMagasins!$B681,Clients!ClientID,Région)</f>
        <v>Sud</v>
      </c>
      <c r="X681" t="str">
        <f>INDEX(TypeClient,MATCH(VentesMagasins!$B681,Clients!ClientID))</f>
        <v>Nouveau</v>
      </c>
      <c r="Y681" t="str">
        <v>avr</v>
      </c>
    </row>
    <row r="682" spans="1:25" x14ac:dyDescent="0.25">
      <c r="A682" s="2">
        <v>681</v>
      </c>
      <c r="B682" s="12" t="s">
        <v>172</v>
      </c>
      <c r="C682" s="13">
        <v>45347</v>
      </c>
      <c r="D682" s="12" t="s">
        <v>322</v>
      </c>
      <c r="E682" s="14" t="s">
        <v>364</v>
      </c>
      <c r="F682" s="12" t="s">
        <v>324</v>
      </c>
      <c r="G682" s="2">
        <v>3</v>
      </c>
      <c r="H682" s="3">
        <v>152</v>
      </c>
      <c r="I682" s="14" t="s">
        <v>342</v>
      </c>
      <c r="J682" s="12" t="s">
        <v>973</v>
      </c>
      <c r="K682" s="2">
        <v>0</v>
      </c>
      <c r="L682" s="12" t="s">
        <v>344</v>
      </c>
      <c r="M682">
        <f>YEAR(VentesMagasins!$C682)</f>
        <v>2024</v>
      </c>
      <c r="N682" t="e" cm="1" vm="1">
        <f t="array" aca="1" ref="N682" ca="1">MONTH(DateVente)</f>
        <v>#VALUE!</v>
      </c>
      <c r="O682" t="str">
        <f>PROPER(VentesMagasins!$F682)</f>
        <v>Électronique</v>
      </c>
      <c r="P682">
        <f>VALUE(CLEAN(TRIM(SUBSTITUTE(VentesMagasins!$I682,".",","))))</f>
        <v>0.05</v>
      </c>
      <c r="Q682">
        <f>VALUE(TRIM(SUBSTITUTE(VentesMagasins!$J682,".",",")))</f>
        <v>433.2</v>
      </c>
      <c r="R682">
        <f t="shared" si="30"/>
        <v>411.53999999999996</v>
      </c>
      <c r="S682">
        <f>IF(VentesMagasins!$K682=1,(-1)*R682,R682)</f>
        <v>411.53999999999996</v>
      </c>
      <c r="T682">
        <f>IFERROR(VALUE(TRIM(SUBSTITUTE(VentesMagasins!$L682,".",","))),0)</f>
        <v>2</v>
      </c>
      <c r="U682">
        <f t="shared" si="31"/>
        <v>2</v>
      </c>
      <c r="V682" t="str">
        <f t="shared" si="32"/>
        <v>faible</v>
      </c>
      <c r="W682" t="str">
        <f>_xlfn.XLOOKUP(VentesMagasins!$B682,Clients!ClientID,Région)</f>
        <v>Centre</v>
      </c>
      <c r="X682" t="str">
        <f>INDEX(TypeClient,MATCH(VentesMagasins!$B682,Clients!ClientID))</f>
        <v>Nouveau</v>
      </c>
      <c r="Y682" t="str">
        <v>févr</v>
      </c>
    </row>
    <row r="683" spans="1:25" x14ac:dyDescent="0.25">
      <c r="A683" s="2">
        <v>682</v>
      </c>
      <c r="B683" s="12" t="s">
        <v>16</v>
      </c>
      <c r="C683" s="13">
        <v>45516</v>
      </c>
      <c r="D683" s="12" t="s">
        <v>328</v>
      </c>
      <c r="E683" s="14" t="s">
        <v>329</v>
      </c>
      <c r="F683" s="12" t="s">
        <v>324</v>
      </c>
      <c r="G683" s="2">
        <v>2</v>
      </c>
      <c r="H683" s="3">
        <v>373</v>
      </c>
      <c r="I683" s="14" t="s">
        <v>325</v>
      </c>
      <c r="J683" s="12" t="s">
        <v>974</v>
      </c>
      <c r="K683" s="2">
        <v>0</v>
      </c>
      <c r="L683" s="12" t="s">
        <v>344</v>
      </c>
      <c r="M683">
        <f>YEAR(VentesMagasins!$C683)</f>
        <v>2024</v>
      </c>
      <c r="N683" t="e" cm="1" vm="1">
        <f t="array" aca="1" ref="N683" ca="1">MONTH(DateVente)</f>
        <v>#VALUE!</v>
      </c>
      <c r="O683" t="str">
        <f>PROPER(VentesMagasins!$F683)</f>
        <v>Électronique</v>
      </c>
      <c r="P683">
        <f>VALUE(CLEAN(TRIM(SUBSTITUTE(VentesMagasins!$I683,".",","))))</f>
        <v>0.15</v>
      </c>
      <c r="Q683">
        <f>VALUE(TRIM(SUBSTITUTE(VentesMagasins!$J683,".",",")))</f>
        <v>634.1</v>
      </c>
      <c r="R683">
        <f t="shared" si="30"/>
        <v>538.98500000000001</v>
      </c>
      <c r="S683">
        <f>IF(VentesMagasins!$K683=1,(-1)*R683,R683)</f>
        <v>538.98500000000001</v>
      </c>
      <c r="T683">
        <f>IFERROR(VALUE(TRIM(SUBSTITUTE(VentesMagasins!$L683,".",","))),0)</f>
        <v>2</v>
      </c>
      <c r="U683">
        <f t="shared" si="31"/>
        <v>2</v>
      </c>
      <c r="V683" t="str">
        <f t="shared" si="32"/>
        <v>faible</v>
      </c>
      <c r="W683" t="str">
        <f>_xlfn.XLOOKUP(VentesMagasins!$B683,Clients!ClientID,Région)</f>
        <v>Sud</v>
      </c>
      <c r="X683" t="str">
        <f>INDEX(TypeClient,MATCH(VentesMagasins!$B683,Clients!ClientID))</f>
        <v>Nouveau</v>
      </c>
      <c r="Y683" t="str">
        <v>août</v>
      </c>
    </row>
    <row r="684" spans="1:25" x14ac:dyDescent="0.25">
      <c r="A684" s="2">
        <v>683</v>
      </c>
      <c r="B684" s="12" t="s">
        <v>20</v>
      </c>
      <c r="C684" s="13">
        <v>45562</v>
      </c>
      <c r="D684" s="12" t="s">
        <v>322</v>
      </c>
      <c r="E684" s="14" t="s">
        <v>339</v>
      </c>
      <c r="F684" s="12" t="s">
        <v>324</v>
      </c>
      <c r="G684" s="2">
        <v>3</v>
      </c>
      <c r="H684" s="3">
        <v>50</v>
      </c>
      <c r="I684" s="14" t="s">
        <v>342</v>
      </c>
      <c r="J684" s="12" t="s">
        <v>975</v>
      </c>
      <c r="K684" s="2">
        <v>0</v>
      </c>
      <c r="L684" s="12" t="s">
        <v>332</v>
      </c>
      <c r="M684">
        <f>YEAR(VentesMagasins!$C684)</f>
        <v>2024</v>
      </c>
      <c r="N684" t="e" cm="1" vm="1">
        <f t="array" aca="1" ref="N684" ca="1">MONTH(DateVente)</f>
        <v>#VALUE!</v>
      </c>
      <c r="O684" t="str">
        <f>PROPER(VentesMagasins!$F684)</f>
        <v>Électronique</v>
      </c>
      <c r="P684">
        <f>VALUE(CLEAN(TRIM(SUBSTITUTE(VentesMagasins!$I684,".",","))))</f>
        <v>0.05</v>
      </c>
      <c r="Q684">
        <f>VALUE(TRIM(SUBSTITUTE(VentesMagasins!$J684,".",",")))</f>
        <v>142.5</v>
      </c>
      <c r="R684">
        <f t="shared" si="30"/>
        <v>135.375</v>
      </c>
      <c r="S684">
        <f>IF(VentesMagasins!$K684=1,(-1)*R684,R684)</f>
        <v>135.375</v>
      </c>
      <c r="T684">
        <f>IFERROR(VALUE(TRIM(SUBSTITUTE(VentesMagasins!$L684,".",","))),0)</f>
        <v>4</v>
      </c>
      <c r="U684">
        <f t="shared" si="31"/>
        <v>4</v>
      </c>
      <c r="V684" t="str">
        <f t="shared" si="32"/>
        <v>moyenne</v>
      </c>
      <c r="W684" t="str">
        <f>_xlfn.XLOOKUP(VentesMagasins!$B684,Clients!ClientID,Région)</f>
        <v>Centre</v>
      </c>
      <c r="X684" t="str">
        <f>INDEX(TypeClient,MATCH(VentesMagasins!$B684,Clients!ClientID))</f>
        <v>Nouveau</v>
      </c>
      <c r="Y684" t="str">
        <v>sept</v>
      </c>
    </row>
    <row r="685" spans="1:25" x14ac:dyDescent="0.25">
      <c r="A685" s="2">
        <v>684</v>
      </c>
      <c r="B685" s="12" t="s">
        <v>289</v>
      </c>
      <c r="C685" s="13">
        <v>45687</v>
      </c>
      <c r="D685" s="12" t="s">
        <v>333</v>
      </c>
      <c r="E685" s="14" t="s">
        <v>323</v>
      </c>
      <c r="F685" s="12" t="s">
        <v>341</v>
      </c>
      <c r="G685" s="2">
        <v>2</v>
      </c>
      <c r="H685" s="3">
        <v>152</v>
      </c>
      <c r="I685" s="14" t="s">
        <v>342</v>
      </c>
      <c r="J685" s="12" t="s">
        <v>976</v>
      </c>
      <c r="K685" s="2">
        <v>0</v>
      </c>
      <c r="L685" s="12" t="s">
        <v>327</v>
      </c>
      <c r="M685">
        <f>YEAR(VentesMagasins!$C685)</f>
        <v>2025</v>
      </c>
      <c r="N685" t="e" cm="1" vm="1">
        <f t="array" aca="1" ref="N685" ca="1">MONTH(DateVente)</f>
        <v>#VALUE!</v>
      </c>
      <c r="O685" t="str">
        <f>PROPER(VentesMagasins!$F685)</f>
        <v>Meuble</v>
      </c>
      <c r="P685">
        <f>VALUE(CLEAN(TRIM(SUBSTITUTE(VentesMagasins!$I685,".",","))))</f>
        <v>0.05</v>
      </c>
      <c r="Q685">
        <f>VALUE(TRIM(SUBSTITUTE(VentesMagasins!$J685,".",",")))</f>
        <v>288.8</v>
      </c>
      <c r="R685">
        <f t="shared" si="30"/>
        <v>274.36</v>
      </c>
      <c r="S685">
        <f>IF(VentesMagasins!$K685=1,(-1)*R685,R685)</f>
        <v>274.36</v>
      </c>
      <c r="T685">
        <f>IFERROR(VALUE(TRIM(SUBSTITUTE(VentesMagasins!$L685,".",","))),0)</f>
        <v>5</v>
      </c>
      <c r="U685">
        <f t="shared" si="31"/>
        <v>5</v>
      </c>
      <c r="V685" t="str">
        <f t="shared" si="32"/>
        <v>élévé</v>
      </c>
      <c r="W685" t="str">
        <f>_xlfn.XLOOKUP(VentesMagasins!$B685,Clients!ClientID,Région)</f>
        <v>Est</v>
      </c>
      <c r="X685" t="str">
        <f>INDEX(TypeClient,MATCH(VentesMagasins!$B685,Clients!ClientID))</f>
        <v>Nouveau</v>
      </c>
      <c r="Y685" t="str">
        <v>janv</v>
      </c>
    </row>
    <row r="686" spans="1:25" x14ac:dyDescent="0.25">
      <c r="A686" s="2">
        <v>685</v>
      </c>
      <c r="B686" s="12" t="s">
        <v>221</v>
      </c>
      <c r="C686" s="13">
        <v>45085</v>
      </c>
      <c r="D686" s="12" t="s">
        <v>328</v>
      </c>
      <c r="E686" s="14" t="s">
        <v>339</v>
      </c>
      <c r="F686" s="12" t="s">
        <v>324</v>
      </c>
      <c r="G686" s="2">
        <v>2</v>
      </c>
      <c r="H686" s="3">
        <v>189</v>
      </c>
      <c r="I686" s="14" t="s">
        <v>355</v>
      </c>
      <c r="J686" s="12" t="s">
        <v>977</v>
      </c>
      <c r="K686" s="2">
        <v>1</v>
      </c>
      <c r="L686" s="12" t="s">
        <v>369</v>
      </c>
      <c r="M686">
        <f>YEAR(VentesMagasins!$C686)</f>
        <v>2023</v>
      </c>
      <c r="N686" t="e" cm="1" vm="1">
        <f t="array" aca="1" ref="N686" ca="1">MONTH(DateVente)</f>
        <v>#VALUE!</v>
      </c>
      <c r="O686" t="str">
        <f>PROPER(VentesMagasins!$F686)</f>
        <v>Électronique</v>
      </c>
      <c r="P686">
        <f>VALUE(CLEAN(TRIM(SUBSTITUTE(VentesMagasins!$I686,".",","))))</f>
        <v>0.1</v>
      </c>
      <c r="Q686">
        <f>VALUE(TRIM(SUBSTITUTE(VentesMagasins!$J686,".",",")))</f>
        <v>340.2</v>
      </c>
      <c r="R686">
        <f t="shared" si="30"/>
        <v>306.18</v>
      </c>
      <c r="S686">
        <f>IF(VentesMagasins!$K686=1,(-1)*R686,R686)</f>
        <v>-306.18</v>
      </c>
      <c r="T686">
        <f>IFERROR(VALUE(TRIM(SUBSTITUTE(VentesMagasins!$L686,".",","))),0)</f>
        <v>1</v>
      </c>
      <c r="U686">
        <f t="shared" si="31"/>
        <v>1</v>
      </c>
      <c r="V686" t="str">
        <f t="shared" si="32"/>
        <v>faible</v>
      </c>
      <c r="W686" t="str">
        <f>_xlfn.XLOOKUP(VentesMagasins!$B686,Clients!ClientID,Région)</f>
        <v>Sud</v>
      </c>
      <c r="X686" t="str">
        <f>INDEX(TypeClient,MATCH(VentesMagasins!$B686,Clients!ClientID))</f>
        <v>Occasionnel</v>
      </c>
      <c r="Y686" t="str">
        <v>juin</v>
      </c>
    </row>
    <row r="687" spans="1:25" x14ac:dyDescent="0.25">
      <c r="A687" s="2">
        <v>686</v>
      </c>
      <c r="B687" s="12" t="s">
        <v>270</v>
      </c>
      <c r="C687" s="13">
        <v>45003</v>
      </c>
      <c r="D687" s="12" t="s">
        <v>333</v>
      </c>
      <c r="E687" s="14" t="s">
        <v>329</v>
      </c>
      <c r="F687" s="12" t="s">
        <v>341</v>
      </c>
      <c r="G687" s="2">
        <v>5</v>
      </c>
      <c r="H687" s="3">
        <v>342</v>
      </c>
      <c r="I687" s="14" t="s">
        <v>355</v>
      </c>
      <c r="J687" s="12" t="s">
        <v>978</v>
      </c>
      <c r="K687" s="2">
        <v>0</v>
      </c>
      <c r="L687" s="12" t="s">
        <v>327</v>
      </c>
      <c r="M687">
        <f>YEAR(VentesMagasins!$C687)</f>
        <v>2023</v>
      </c>
      <c r="N687" t="e" cm="1" vm="1">
        <f t="array" aca="1" ref="N687" ca="1">MONTH(DateVente)</f>
        <v>#VALUE!</v>
      </c>
      <c r="O687" t="str">
        <f>PROPER(VentesMagasins!$F687)</f>
        <v>Meuble</v>
      </c>
      <c r="P687">
        <f>VALUE(CLEAN(TRIM(SUBSTITUTE(VentesMagasins!$I687,".",","))))</f>
        <v>0.1</v>
      </c>
      <c r="Q687">
        <f>VALUE(TRIM(SUBSTITUTE(VentesMagasins!$J687,".",",")))</f>
        <v>1539</v>
      </c>
      <c r="R687">
        <f t="shared" si="30"/>
        <v>1385.1000000000001</v>
      </c>
      <c r="S687">
        <f>IF(VentesMagasins!$K687=1,(-1)*R687,R687)</f>
        <v>1385.1000000000001</v>
      </c>
      <c r="T687">
        <f>IFERROR(VALUE(TRIM(SUBSTITUTE(VentesMagasins!$L687,".",","))),0)</f>
        <v>5</v>
      </c>
      <c r="U687">
        <f t="shared" si="31"/>
        <v>5</v>
      </c>
      <c r="V687" t="str">
        <f t="shared" si="32"/>
        <v>élévé</v>
      </c>
      <c r="W687" t="str">
        <f>_xlfn.XLOOKUP(VentesMagasins!$B687,Clients!ClientID,Région)</f>
        <v>Centre</v>
      </c>
      <c r="X687" t="str">
        <f>INDEX(TypeClient,MATCH(VentesMagasins!$B687,Clients!ClientID))</f>
        <v>Nouveau</v>
      </c>
      <c r="Y687" t="str">
        <v>mars</v>
      </c>
    </row>
    <row r="688" spans="1:25" x14ac:dyDescent="0.25">
      <c r="A688" s="2">
        <v>687</v>
      </c>
      <c r="B688" s="12" t="s">
        <v>50</v>
      </c>
      <c r="C688" s="13">
        <v>45096</v>
      </c>
      <c r="D688" s="12" t="s">
        <v>333</v>
      </c>
      <c r="E688" s="14" t="s">
        <v>323</v>
      </c>
      <c r="F688" s="12" t="s">
        <v>341</v>
      </c>
      <c r="G688" s="2">
        <v>5</v>
      </c>
      <c r="H688" s="3">
        <v>340</v>
      </c>
      <c r="I688" s="14" t="s">
        <v>335</v>
      </c>
      <c r="J688" s="12" t="s">
        <v>979</v>
      </c>
      <c r="K688" s="2">
        <v>0</v>
      </c>
      <c r="L688" s="12" t="s">
        <v>352</v>
      </c>
      <c r="M688">
        <f>YEAR(VentesMagasins!$C688)</f>
        <v>2023</v>
      </c>
      <c r="N688" t="e" cm="1" vm="1">
        <f t="array" aca="1" ref="N688" ca="1">MONTH(DateVente)</f>
        <v>#VALUE!</v>
      </c>
      <c r="O688" t="str">
        <f>PROPER(VentesMagasins!$F688)</f>
        <v>Meuble</v>
      </c>
      <c r="P688">
        <f>VALUE(CLEAN(TRIM(SUBSTITUTE(VentesMagasins!$I688,".",","))))</f>
        <v>0</v>
      </c>
      <c r="Q688">
        <f>VALUE(TRIM(SUBSTITUTE(VentesMagasins!$J688,".",",")))</f>
        <v>1700</v>
      </c>
      <c r="R688">
        <f t="shared" si="30"/>
        <v>1700</v>
      </c>
      <c r="S688">
        <f>IF(VentesMagasins!$K688=1,(-1)*R688,R688)</f>
        <v>1700</v>
      </c>
      <c r="T688">
        <f>IFERROR(VALUE(TRIM(SUBSTITUTE(VentesMagasins!$L688,".",","))),0)</f>
        <v>0</v>
      </c>
      <c r="U688">
        <f t="shared" si="31"/>
        <v>3</v>
      </c>
      <c r="V688" t="str">
        <f t="shared" si="32"/>
        <v>moyenne</v>
      </c>
      <c r="W688" t="str">
        <f>_xlfn.XLOOKUP(VentesMagasins!$B688,Clients!ClientID,Région)</f>
        <v>Centre</v>
      </c>
      <c r="X688" t="str">
        <f>INDEX(TypeClient,MATCH(VentesMagasins!$B688,Clients!ClientID))</f>
        <v>Nouveau</v>
      </c>
      <c r="Y688" t="str">
        <v>juin</v>
      </c>
    </row>
    <row r="689" spans="1:25" x14ac:dyDescent="0.25">
      <c r="A689" s="2">
        <v>688</v>
      </c>
      <c r="B689" s="12" t="s">
        <v>52</v>
      </c>
      <c r="C689" s="13">
        <v>45362</v>
      </c>
      <c r="D689" s="12" t="s">
        <v>328</v>
      </c>
      <c r="E689" s="14" t="s">
        <v>329</v>
      </c>
      <c r="F689" s="12" t="s">
        <v>324</v>
      </c>
      <c r="G689" s="2">
        <v>4</v>
      </c>
      <c r="H689" s="3">
        <v>471</v>
      </c>
      <c r="I689" s="14" t="s">
        <v>342</v>
      </c>
      <c r="J689" s="12" t="s">
        <v>980</v>
      </c>
      <c r="K689" s="2">
        <v>0</v>
      </c>
      <c r="L689" s="12" t="s">
        <v>344</v>
      </c>
      <c r="M689">
        <f>YEAR(VentesMagasins!$C689)</f>
        <v>2024</v>
      </c>
      <c r="N689" t="e" cm="1" vm="1">
        <f t="array" aca="1" ref="N689" ca="1">MONTH(DateVente)</f>
        <v>#VALUE!</v>
      </c>
      <c r="O689" t="str">
        <f>PROPER(VentesMagasins!$F689)</f>
        <v>Électronique</v>
      </c>
      <c r="P689">
        <f>VALUE(CLEAN(TRIM(SUBSTITUTE(VentesMagasins!$I689,".",","))))</f>
        <v>0.05</v>
      </c>
      <c r="Q689">
        <f>VALUE(TRIM(SUBSTITUTE(VentesMagasins!$J689,".",",")))</f>
        <v>1789.8</v>
      </c>
      <c r="R689">
        <f t="shared" si="30"/>
        <v>1700.31</v>
      </c>
      <c r="S689">
        <f>IF(VentesMagasins!$K689=1,(-1)*R689,R689)</f>
        <v>1700.31</v>
      </c>
      <c r="T689">
        <f>IFERROR(VALUE(TRIM(SUBSTITUTE(VentesMagasins!$L689,".",","))),0)</f>
        <v>2</v>
      </c>
      <c r="U689">
        <f t="shared" si="31"/>
        <v>2</v>
      </c>
      <c r="V689" t="str">
        <f t="shared" si="32"/>
        <v>faible</v>
      </c>
      <c r="W689" t="str">
        <f>_xlfn.XLOOKUP(VentesMagasins!$B689,Clients!ClientID,Région)</f>
        <v>Est</v>
      </c>
      <c r="X689" t="str">
        <f>INDEX(TypeClient,MATCH(VentesMagasins!$B689,Clients!ClientID))</f>
        <v>Fidèle</v>
      </c>
      <c r="Y689" t="str">
        <v>mars</v>
      </c>
    </row>
    <row r="690" spans="1:25" x14ac:dyDescent="0.25">
      <c r="A690" s="2">
        <v>689</v>
      </c>
      <c r="B690" s="12" t="s">
        <v>123</v>
      </c>
      <c r="C690" s="13">
        <v>45526</v>
      </c>
      <c r="D690" s="12" t="s">
        <v>338</v>
      </c>
      <c r="E690" s="14" t="s">
        <v>329</v>
      </c>
      <c r="F690" s="12" t="s">
        <v>330</v>
      </c>
      <c r="G690" s="2">
        <v>1</v>
      </c>
      <c r="H690" s="3">
        <v>420</v>
      </c>
      <c r="I690" s="14" t="s">
        <v>335</v>
      </c>
      <c r="J690" s="12" t="s">
        <v>981</v>
      </c>
      <c r="K690" s="2">
        <v>1</v>
      </c>
      <c r="L690" s="12" t="s">
        <v>344</v>
      </c>
      <c r="M690">
        <f>YEAR(VentesMagasins!$C690)</f>
        <v>2024</v>
      </c>
      <c r="N690" t="e" cm="1" vm="1">
        <f t="array" aca="1" ref="N690" ca="1">MONTH(DateVente)</f>
        <v>#VALUE!</v>
      </c>
      <c r="O690" t="str">
        <f>PROPER(VentesMagasins!$F690)</f>
        <v>Décoration</v>
      </c>
      <c r="P690">
        <f>VALUE(CLEAN(TRIM(SUBSTITUTE(VentesMagasins!$I690,".",","))))</f>
        <v>0</v>
      </c>
      <c r="Q690">
        <f>VALUE(TRIM(SUBSTITUTE(VentesMagasins!$J690,".",",")))</f>
        <v>420</v>
      </c>
      <c r="R690">
        <f t="shared" si="30"/>
        <v>420</v>
      </c>
      <c r="S690">
        <f>IF(VentesMagasins!$K690=1,(-1)*R690,R690)</f>
        <v>-420</v>
      </c>
      <c r="T690">
        <f>IFERROR(VALUE(TRIM(SUBSTITUTE(VentesMagasins!$L690,".",","))),0)</f>
        <v>2</v>
      </c>
      <c r="U690">
        <f t="shared" si="31"/>
        <v>2</v>
      </c>
      <c r="V690" t="str">
        <f t="shared" si="32"/>
        <v>faible</v>
      </c>
      <c r="W690" t="str">
        <f>_xlfn.XLOOKUP(VentesMagasins!$B690,Clients!ClientID,Région)</f>
        <v>Nord</v>
      </c>
      <c r="X690" t="str">
        <f>INDEX(TypeClient,MATCH(VentesMagasins!$B690,Clients!ClientID))</f>
        <v>Occasionnel</v>
      </c>
      <c r="Y690" t="str">
        <v>août</v>
      </c>
    </row>
    <row r="691" spans="1:25" x14ac:dyDescent="0.25">
      <c r="A691" s="2">
        <v>690</v>
      </c>
      <c r="B691" s="12" t="s">
        <v>245</v>
      </c>
      <c r="C691" s="13">
        <v>45009</v>
      </c>
      <c r="D691" s="12" t="s">
        <v>322</v>
      </c>
      <c r="E691" s="14" t="s">
        <v>348</v>
      </c>
      <c r="F691" s="12" t="s">
        <v>341</v>
      </c>
      <c r="G691" s="2">
        <v>2</v>
      </c>
      <c r="H691" s="3">
        <v>20</v>
      </c>
      <c r="I691" s="14" t="s">
        <v>342</v>
      </c>
      <c r="J691" s="12" t="s">
        <v>982</v>
      </c>
      <c r="K691" s="2">
        <v>0</v>
      </c>
      <c r="L691" s="12" t="s">
        <v>344</v>
      </c>
      <c r="M691">
        <f>YEAR(VentesMagasins!$C691)</f>
        <v>2023</v>
      </c>
      <c r="N691" t="e" cm="1" vm="1">
        <f t="array" aca="1" ref="N691" ca="1">MONTH(DateVente)</f>
        <v>#VALUE!</v>
      </c>
      <c r="O691" t="str">
        <f>PROPER(VentesMagasins!$F691)</f>
        <v>Meuble</v>
      </c>
      <c r="P691">
        <f>VALUE(CLEAN(TRIM(SUBSTITUTE(VentesMagasins!$I691,".",","))))</f>
        <v>0.05</v>
      </c>
      <c r="Q691">
        <f>VALUE(TRIM(SUBSTITUTE(VentesMagasins!$J691,".",",")))</f>
        <v>38</v>
      </c>
      <c r="R691">
        <f t="shared" si="30"/>
        <v>36.1</v>
      </c>
      <c r="S691">
        <f>IF(VentesMagasins!$K691=1,(-1)*R691,R691)</f>
        <v>36.1</v>
      </c>
      <c r="T691">
        <f>IFERROR(VALUE(TRIM(SUBSTITUTE(VentesMagasins!$L691,".",","))),0)</f>
        <v>2</v>
      </c>
      <c r="U691">
        <f t="shared" si="31"/>
        <v>2</v>
      </c>
      <c r="V691" t="str">
        <f t="shared" si="32"/>
        <v>faible</v>
      </c>
      <c r="W691" t="str">
        <f>_xlfn.XLOOKUP(VentesMagasins!$B691,Clients!ClientID,Région)</f>
        <v>Nord</v>
      </c>
      <c r="X691" t="str">
        <f>INDEX(TypeClient,MATCH(VentesMagasins!$B691,Clients!ClientID))</f>
        <v>Occasionnel</v>
      </c>
      <c r="Y691" t="str">
        <v>mars</v>
      </c>
    </row>
    <row r="692" spans="1:25" x14ac:dyDescent="0.25">
      <c r="A692" s="2">
        <v>691</v>
      </c>
      <c r="B692" s="12" t="s">
        <v>264</v>
      </c>
      <c r="C692" s="13">
        <v>45898</v>
      </c>
      <c r="D692" s="12" t="s">
        <v>338</v>
      </c>
      <c r="E692" s="14" t="s">
        <v>334</v>
      </c>
      <c r="F692" s="12" t="s">
        <v>330</v>
      </c>
      <c r="G692" s="2">
        <v>4</v>
      </c>
      <c r="H692" s="3">
        <v>425</v>
      </c>
      <c r="I692" s="14" t="s">
        <v>325</v>
      </c>
      <c r="J692" s="12" t="s">
        <v>578</v>
      </c>
      <c r="K692" s="2">
        <v>0</v>
      </c>
      <c r="L692" s="12" t="s">
        <v>352</v>
      </c>
      <c r="M692">
        <f>YEAR(VentesMagasins!$C692)</f>
        <v>2025</v>
      </c>
      <c r="N692" t="e" cm="1" vm="1">
        <f t="array" aca="1" ref="N692" ca="1">MONTH(DateVente)</f>
        <v>#VALUE!</v>
      </c>
      <c r="O692" t="str">
        <f>PROPER(VentesMagasins!$F692)</f>
        <v>Décoration</v>
      </c>
      <c r="P692">
        <f>VALUE(CLEAN(TRIM(SUBSTITUTE(VentesMagasins!$I692,".",","))))</f>
        <v>0.15</v>
      </c>
      <c r="Q692">
        <f>VALUE(TRIM(SUBSTITUTE(VentesMagasins!$J692,".",",")))</f>
        <v>1445</v>
      </c>
      <c r="R692">
        <f t="shared" si="30"/>
        <v>1228.25</v>
      </c>
      <c r="S692">
        <f>IF(VentesMagasins!$K692=1,(-1)*R692,R692)</f>
        <v>1228.25</v>
      </c>
      <c r="T692">
        <f>IFERROR(VALUE(TRIM(SUBSTITUTE(VentesMagasins!$L692,".",","))),0)</f>
        <v>0</v>
      </c>
      <c r="U692">
        <f t="shared" si="31"/>
        <v>3</v>
      </c>
      <c r="V692" t="str">
        <f t="shared" si="32"/>
        <v>moyenne</v>
      </c>
      <c r="W692" t="str">
        <f>_xlfn.XLOOKUP(VentesMagasins!$B692,Clients!ClientID,Région)</f>
        <v>Ouest</v>
      </c>
      <c r="X692" t="str">
        <f>INDEX(TypeClient,MATCH(VentesMagasins!$B692,Clients!ClientID))</f>
        <v>Nouveau</v>
      </c>
      <c r="Y692" t="str">
        <v>août</v>
      </c>
    </row>
    <row r="693" spans="1:25" x14ac:dyDescent="0.25">
      <c r="A693" s="2">
        <v>692</v>
      </c>
      <c r="B693" s="12" t="s">
        <v>295</v>
      </c>
      <c r="C693" s="13">
        <v>45454</v>
      </c>
      <c r="D693" s="12" t="s">
        <v>328</v>
      </c>
      <c r="E693" s="14" t="s">
        <v>334</v>
      </c>
      <c r="F693" s="12" t="s">
        <v>330</v>
      </c>
      <c r="G693" s="2">
        <v>3</v>
      </c>
      <c r="H693" s="3">
        <v>145</v>
      </c>
      <c r="I693" s="14" t="s">
        <v>335</v>
      </c>
      <c r="J693" s="12" t="s">
        <v>814</v>
      </c>
      <c r="K693" s="2">
        <v>1</v>
      </c>
      <c r="L693" s="12" t="s">
        <v>344</v>
      </c>
      <c r="M693">
        <f>YEAR(VentesMagasins!$C693)</f>
        <v>2024</v>
      </c>
      <c r="N693" t="e" cm="1" vm="1">
        <f t="array" aca="1" ref="N693" ca="1">MONTH(DateVente)</f>
        <v>#VALUE!</v>
      </c>
      <c r="O693" t="str">
        <f>PROPER(VentesMagasins!$F693)</f>
        <v>Décoration</v>
      </c>
      <c r="P693">
        <f>VALUE(CLEAN(TRIM(SUBSTITUTE(VentesMagasins!$I693,".",","))))</f>
        <v>0</v>
      </c>
      <c r="Q693">
        <f>VALUE(TRIM(SUBSTITUTE(VentesMagasins!$J693,".",",")))</f>
        <v>435</v>
      </c>
      <c r="R693">
        <f t="shared" si="30"/>
        <v>435</v>
      </c>
      <c r="S693">
        <f>IF(VentesMagasins!$K693=1,(-1)*R693,R693)</f>
        <v>-435</v>
      </c>
      <c r="T693">
        <f>IFERROR(VALUE(TRIM(SUBSTITUTE(VentesMagasins!$L693,".",","))),0)</f>
        <v>2</v>
      </c>
      <c r="U693">
        <f t="shared" si="31"/>
        <v>2</v>
      </c>
      <c r="V693" t="str">
        <f t="shared" si="32"/>
        <v>faible</v>
      </c>
      <c r="W693" t="str">
        <f>_xlfn.XLOOKUP(VentesMagasins!$B693,Clients!ClientID,Région)</f>
        <v>Est</v>
      </c>
      <c r="X693" t="str">
        <f>INDEX(TypeClient,MATCH(VentesMagasins!$B693,Clients!ClientID))</f>
        <v>Nouveau</v>
      </c>
      <c r="Y693" t="str">
        <v>juin</v>
      </c>
    </row>
    <row r="694" spans="1:25" x14ac:dyDescent="0.25">
      <c r="A694" s="2">
        <v>693</v>
      </c>
      <c r="B694" s="12" t="s">
        <v>163</v>
      </c>
      <c r="C694" s="13">
        <v>45409</v>
      </c>
      <c r="D694" s="12" t="s">
        <v>360</v>
      </c>
      <c r="E694" s="14" t="s">
        <v>323</v>
      </c>
      <c r="F694" s="12" t="s">
        <v>330</v>
      </c>
      <c r="G694" s="2">
        <v>1</v>
      </c>
      <c r="H694" s="3">
        <v>152</v>
      </c>
      <c r="I694" s="14" t="s">
        <v>325</v>
      </c>
      <c r="J694" s="12" t="s">
        <v>390</v>
      </c>
      <c r="K694" s="2">
        <v>0</v>
      </c>
      <c r="L694" s="12" t="s">
        <v>327</v>
      </c>
      <c r="M694">
        <f>YEAR(VentesMagasins!$C694)</f>
        <v>2024</v>
      </c>
      <c r="N694" t="e" cm="1" vm="1">
        <f t="array" aca="1" ref="N694" ca="1">MONTH(DateVente)</f>
        <v>#VALUE!</v>
      </c>
      <c r="O694" t="str">
        <f>PROPER(VentesMagasins!$F694)</f>
        <v>Décoration</v>
      </c>
      <c r="P694">
        <f>VALUE(CLEAN(TRIM(SUBSTITUTE(VentesMagasins!$I694,".",","))))</f>
        <v>0.15</v>
      </c>
      <c r="Q694">
        <f>VALUE(TRIM(SUBSTITUTE(VentesMagasins!$J694,".",",")))</f>
        <v>129.19999999999999</v>
      </c>
      <c r="R694">
        <f t="shared" si="30"/>
        <v>109.82</v>
      </c>
      <c r="S694">
        <f>IF(VentesMagasins!$K694=1,(-1)*R694,R694)</f>
        <v>109.82</v>
      </c>
      <c r="T694">
        <f>IFERROR(VALUE(TRIM(SUBSTITUTE(VentesMagasins!$L694,".",","))),0)</f>
        <v>5</v>
      </c>
      <c r="U694">
        <f t="shared" si="31"/>
        <v>5</v>
      </c>
      <c r="V694" t="str">
        <f t="shared" si="32"/>
        <v>élévé</v>
      </c>
      <c r="W694" t="str">
        <f>_xlfn.XLOOKUP(VentesMagasins!$B694,Clients!ClientID,Région)</f>
        <v>Nord</v>
      </c>
      <c r="X694" t="str">
        <f>INDEX(TypeClient,MATCH(VentesMagasins!$B694,Clients!ClientID))</f>
        <v>Nouveau</v>
      </c>
      <c r="Y694" t="str">
        <v>avr</v>
      </c>
    </row>
    <row r="695" spans="1:25" x14ac:dyDescent="0.25">
      <c r="A695" s="2">
        <v>694</v>
      </c>
      <c r="B695" s="12" t="s">
        <v>127</v>
      </c>
      <c r="C695" s="13">
        <v>45137</v>
      </c>
      <c r="D695" s="12" t="s">
        <v>350</v>
      </c>
      <c r="E695" s="14" t="s">
        <v>364</v>
      </c>
      <c r="F695" s="12" t="s">
        <v>330</v>
      </c>
      <c r="G695" s="2">
        <v>5</v>
      </c>
      <c r="H695" s="3">
        <v>125</v>
      </c>
      <c r="I695" s="14" t="s">
        <v>325</v>
      </c>
      <c r="J695" s="12" t="s">
        <v>983</v>
      </c>
      <c r="K695" s="2">
        <v>0</v>
      </c>
      <c r="L695" s="12" t="s">
        <v>344</v>
      </c>
      <c r="M695">
        <f>YEAR(VentesMagasins!$C695)</f>
        <v>2023</v>
      </c>
      <c r="N695" t="e" cm="1" vm="1">
        <f t="array" aca="1" ref="N695" ca="1">MONTH(DateVente)</f>
        <v>#VALUE!</v>
      </c>
      <c r="O695" t="str">
        <f>PROPER(VentesMagasins!$F695)</f>
        <v>Décoration</v>
      </c>
      <c r="P695">
        <f>VALUE(CLEAN(TRIM(SUBSTITUTE(VentesMagasins!$I695,".",","))))</f>
        <v>0.15</v>
      </c>
      <c r="Q695">
        <f>VALUE(TRIM(SUBSTITUTE(VentesMagasins!$J695,".",",")))</f>
        <v>531.25</v>
      </c>
      <c r="R695">
        <f t="shared" si="30"/>
        <v>451.5625</v>
      </c>
      <c r="S695">
        <f>IF(VentesMagasins!$K695=1,(-1)*R695,R695)</f>
        <v>451.5625</v>
      </c>
      <c r="T695">
        <f>IFERROR(VALUE(TRIM(SUBSTITUTE(VentesMagasins!$L695,".",","))),0)</f>
        <v>2</v>
      </c>
      <c r="U695">
        <f t="shared" si="31"/>
        <v>2</v>
      </c>
      <c r="V695" t="str">
        <f t="shared" si="32"/>
        <v>faible</v>
      </c>
      <c r="W695" t="str">
        <f>_xlfn.XLOOKUP(VentesMagasins!$B695,Clients!ClientID,Région)</f>
        <v>Ouest</v>
      </c>
      <c r="X695" t="str">
        <f>INDEX(TypeClient,MATCH(VentesMagasins!$B695,Clients!ClientID))</f>
        <v>Fidèle</v>
      </c>
      <c r="Y695" t="str">
        <v>juil</v>
      </c>
    </row>
    <row r="696" spans="1:25" x14ac:dyDescent="0.25">
      <c r="A696" s="2">
        <v>695</v>
      </c>
      <c r="B696" s="12" t="s">
        <v>69</v>
      </c>
      <c r="C696" s="13">
        <v>45664</v>
      </c>
      <c r="D696" s="12" t="s">
        <v>333</v>
      </c>
      <c r="E696" s="14" t="s">
        <v>323</v>
      </c>
      <c r="F696" s="12" t="s">
        <v>341</v>
      </c>
      <c r="G696" s="2">
        <v>4</v>
      </c>
      <c r="H696" s="3">
        <v>244</v>
      </c>
      <c r="I696" s="14" t="s">
        <v>342</v>
      </c>
      <c r="J696" s="12" t="s">
        <v>984</v>
      </c>
      <c r="K696" s="2">
        <v>1</v>
      </c>
      <c r="L696" s="12" t="s">
        <v>344</v>
      </c>
      <c r="M696">
        <f>YEAR(VentesMagasins!$C696)</f>
        <v>2025</v>
      </c>
      <c r="N696" t="e" cm="1" vm="1">
        <f t="array" aca="1" ref="N696" ca="1">MONTH(DateVente)</f>
        <v>#VALUE!</v>
      </c>
      <c r="O696" t="str">
        <f>PROPER(VentesMagasins!$F696)</f>
        <v>Meuble</v>
      </c>
      <c r="P696">
        <f>VALUE(CLEAN(TRIM(SUBSTITUTE(VentesMagasins!$I696,".",","))))</f>
        <v>0.05</v>
      </c>
      <c r="Q696">
        <f>VALUE(TRIM(SUBSTITUTE(VentesMagasins!$J696,".",",")))</f>
        <v>927.19999999999902</v>
      </c>
      <c r="R696">
        <f t="shared" si="30"/>
        <v>880.83999999999901</v>
      </c>
      <c r="S696">
        <f>IF(VentesMagasins!$K696=1,(-1)*R696,R696)</f>
        <v>-880.83999999999901</v>
      </c>
      <c r="T696">
        <f>IFERROR(VALUE(TRIM(SUBSTITUTE(VentesMagasins!$L696,".",","))),0)</f>
        <v>2</v>
      </c>
      <c r="U696">
        <f t="shared" si="31"/>
        <v>2</v>
      </c>
      <c r="V696" t="str">
        <f t="shared" si="32"/>
        <v>faible</v>
      </c>
      <c r="W696" t="str">
        <f>_xlfn.XLOOKUP(VentesMagasins!$B696,Clients!ClientID,Région)</f>
        <v>Centre</v>
      </c>
      <c r="X696" t="str">
        <f>INDEX(TypeClient,MATCH(VentesMagasins!$B696,Clients!ClientID))</f>
        <v>Nouveau</v>
      </c>
      <c r="Y696" t="str">
        <v>janv</v>
      </c>
    </row>
    <row r="697" spans="1:25" x14ac:dyDescent="0.25">
      <c r="A697" s="2">
        <v>696</v>
      </c>
      <c r="B697" s="12" t="s">
        <v>123</v>
      </c>
      <c r="C697" s="13">
        <v>45759</v>
      </c>
      <c r="D697" s="12" t="s">
        <v>449</v>
      </c>
      <c r="E697" s="14" t="s">
        <v>334</v>
      </c>
      <c r="F697" s="12" t="s">
        <v>324</v>
      </c>
      <c r="G697" s="2">
        <v>5</v>
      </c>
      <c r="H697" s="3">
        <v>275</v>
      </c>
      <c r="I697" s="14" t="s">
        <v>325</v>
      </c>
      <c r="J697" s="12" t="s">
        <v>985</v>
      </c>
      <c r="K697" s="2">
        <v>1</v>
      </c>
      <c r="L697" s="12" t="s">
        <v>352</v>
      </c>
      <c r="M697">
        <f>YEAR(VentesMagasins!$C697)</f>
        <v>2025</v>
      </c>
      <c r="N697" t="e" cm="1" vm="1">
        <f t="array" aca="1" ref="N697" ca="1">MONTH(DateVente)</f>
        <v>#VALUE!</v>
      </c>
      <c r="O697" t="str">
        <f>PROPER(VentesMagasins!$F697)</f>
        <v>Électronique</v>
      </c>
      <c r="P697">
        <f>VALUE(CLEAN(TRIM(SUBSTITUTE(VentesMagasins!$I697,".",","))))</f>
        <v>0.15</v>
      </c>
      <c r="Q697">
        <f>VALUE(TRIM(SUBSTITUTE(VentesMagasins!$J697,".",",")))</f>
        <v>1168.75</v>
      </c>
      <c r="R697">
        <f t="shared" si="30"/>
        <v>993.4375</v>
      </c>
      <c r="S697">
        <f>IF(VentesMagasins!$K697=1,(-1)*R697,R697)</f>
        <v>-993.4375</v>
      </c>
      <c r="T697">
        <f>IFERROR(VALUE(TRIM(SUBSTITUTE(VentesMagasins!$L697,".",","))),0)</f>
        <v>0</v>
      </c>
      <c r="U697">
        <f t="shared" si="31"/>
        <v>3</v>
      </c>
      <c r="V697" t="str">
        <f t="shared" si="32"/>
        <v>moyenne</v>
      </c>
      <c r="W697" t="str">
        <f>_xlfn.XLOOKUP(VentesMagasins!$B697,Clients!ClientID,Région)</f>
        <v>Nord</v>
      </c>
      <c r="X697" t="str">
        <f>INDEX(TypeClient,MATCH(VentesMagasins!$B697,Clients!ClientID))</f>
        <v>Occasionnel</v>
      </c>
      <c r="Y697" t="str">
        <v>avr</v>
      </c>
    </row>
    <row r="698" spans="1:25" x14ac:dyDescent="0.25">
      <c r="A698" s="2">
        <v>697</v>
      </c>
      <c r="B698" s="12" t="s">
        <v>167</v>
      </c>
      <c r="C698" s="13">
        <v>45800</v>
      </c>
      <c r="D698" s="12" t="s">
        <v>322</v>
      </c>
      <c r="E698" s="14" t="s">
        <v>362</v>
      </c>
      <c r="F698" s="12" t="s">
        <v>341</v>
      </c>
      <c r="G698" s="2">
        <v>3</v>
      </c>
      <c r="H698" s="3">
        <v>23</v>
      </c>
      <c r="I698" s="14" t="s">
        <v>325</v>
      </c>
      <c r="J698" s="12" t="s">
        <v>986</v>
      </c>
      <c r="K698" s="2">
        <v>0</v>
      </c>
      <c r="L698" s="12" t="s">
        <v>352</v>
      </c>
      <c r="M698">
        <f>YEAR(VentesMagasins!$C698)</f>
        <v>2025</v>
      </c>
      <c r="N698" t="e" cm="1" vm="1">
        <f t="array" aca="1" ref="N698" ca="1">MONTH(DateVente)</f>
        <v>#VALUE!</v>
      </c>
      <c r="O698" t="str">
        <f>PROPER(VentesMagasins!$F698)</f>
        <v>Meuble</v>
      </c>
      <c r="P698">
        <f>VALUE(CLEAN(TRIM(SUBSTITUTE(VentesMagasins!$I698,".",","))))</f>
        <v>0.15</v>
      </c>
      <c r="Q698">
        <f>VALUE(TRIM(SUBSTITUTE(VentesMagasins!$J698,".",",")))</f>
        <v>58.65</v>
      </c>
      <c r="R698">
        <f t="shared" si="30"/>
        <v>49.852499999999999</v>
      </c>
      <c r="S698">
        <f>IF(VentesMagasins!$K698=1,(-1)*R698,R698)</f>
        <v>49.852499999999999</v>
      </c>
      <c r="T698">
        <f>IFERROR(VALUE(TRIM(SUBSTITUTE(VentesMagasins!$L698,".",","))),0)</f>
        <v>0</v>
      </c>
      <c r="U698">
        <f t="shared" si="31"/>
        <v>3</v>
      </c>
      <c r="V698" t="str">
        <f t="shared" si="32"/>
        <v>moyenne</v>
      </c>
      <c r="W698" t="str">
        <f>_xlfn.XLOOKUP(VentesMagasins!$B698,Clients!ClientID,Région)</f>
        <v>Ouest</v>
      </c>
      <c r="X698" t="str">
        <f>INDEX(TypeClient,MATCH(VentesMagasins!$B698,Clients!ClientID))</f>
        <v>Nouveau</v>
      </c>
      <c r="Y698" t="str">
        <v>mai</v>
      </c>
    </row>
    <row r="699" spans="1:25" x14ac:dyDescent="0.25">
      <c r="A699" s="2">
        <v>698</v>
      </c>
      <c r="B699" s="12" t="s">
        <v>106</v>
      </c>
      <c r="C699" s="13">
        <v>45854</v>
      </c>
      <c r="D699" s="12" t="s">
        <v>360</v>
      </c>
      <c r="E699" s="14" t="s">
        <v>329</v>
      </c>
      <c r="F699" s="12" t="s">
        <v>341</v>
      </c>
      <c r="G699" s="2">
        <v>5</v>
      </c>
      <c r="H699" s="3">
        <v>20</v>
      </c>
      <c r="I699" s="14" t="s">
        <v>335</v>
      </c>
      <c r="J699" s="12" t="s">
        <v>811</v>
      </c>
      <c r="K699" s="2">
        <v>0</v>
      </c>
      <c r="L699" s="12" t="s">
        <v>332</v>
      </c>
      <c r="M699">
        <f>YEAR(VentesMagasins!$C699)</f>
        <v>2025</v>
      </c>
      <c r="N699" t="e" cm="1" vm="1">
        <f t="array" aca="1" ref="N699" ca="1">MONTH(DateVente)</f>
        <v>#VALUE!</v>
      </c>
      <c r="O699" t="str">
        <f>PROPER(VentesMagasins!$F699)</f>
        <v>Meuble</v>
      </c>
      <c r="P699">
        <f>VALUE(CLEAN(TRIM(SUBSTITUTE(VentesMagasins!$I699,".",","))))</f>
        <v>0</v>
      </c>
      <c r="Q699">
        <f>VALUE(TRIM(SUBSTITUTE(VentesMagasins!$J699,".",",")))</f>
        <v>100</v>
      </c>
      <c r="R699">
        <f t="shared" si="30"/>
        <v>100</v>
      </c>
      <c r="S699">
        <f>IF(VentesMagasins!$K699=1,(-1)*R699,R699)</f>
        <v>100</v>
      </c>
      <c r="T699">
        <f>IFERROR(VALUE(TRIM(SUBSTITUTE(VentesMagasins!$L699,".",","))),0)</f>
        <v>4</v>
      </c>
      <c r="U699">
        <f t="shared" si="31"/>
        <v>4</v>
      </c>
      <c r="V699" t="str">
        <f t="shared" si="32"/>
        <v>moyenne</v>
      </c>
      <c r="W699" t="str">
        <f>_xlfn.XLOOKUP(VentesMagasins!$B699,Clients!ClientID,Région)</f>
        <v>Est</v>
      </c>
      <c r="X699" t="str">
        <f>INDEX(TypeClient,MATCH(VentesMagasins!$B699,Clients!ClientID))</f>
        <v>Fidèle</v>
      </c>
      <c r="Y699" t="str">
        <v>juil</v>
      </c>
    </row>
    <row r="700" spans="1:25" x14ac:dyDescent="0.25">
      <c r="A700" s="2">
        <v>699</v>
      </c>
      <c r="B700" s="12" t="s">
        <v>296</v>
      </c>
      <c r="C700" s="13">
        <v>45142</v>
      </c>
      <c r="D700" s="12" t="s">
        <v>328</v>
      </c>
      <c r="E700" s="14" t="s">
        <v>362</v>
      </c>
      <c r="F700" s="12" t="s">
        <v>341</v>
      </c>
      <c r="G700" s="2">
        <v>2</v>
      </c>
      <c r="H700" s="3">
        <v>346</v>
      </c>
      <c r="I700" s="14" t="s">
        <v>355</v>
      </c>
      <c r="J700" s="12" t="s">
        <v>987</v>
      </c>
      <c r="K700" s="2">
        <v>1</v>
      </c>
      <c r="L700" s="12" t="s">
        <v>332</v>
      </c>
      <c r="M700">
        <f>YEAR(VentesMagasins!$C700)</f>
        <v>2023</v>
      </c>
      <c r="N700" t="e" cm="1" vm="1">
        <f t="array" aca="1" ref="N700" ca="1">MONTH(DateVente)</f>
        <v>#VALUE!</v>
      </c>
      <c r="O700" t="str">
        <f>PROPER(VentesMagasins!$F700)</f>
        <v>Meuble</v>
      </c>
      <c r="P700">
        <f>VALUE(CLEAN(TRIM(SUBSTITUTE(VentesMagasins!$I700,".",","))))</f>
        <v>0.1</v>
      </c>
      <c r="Q700">
        <f>VALUE(TRIM(SUBSTITUTE(VentesMagasins!$J700,".",",")))</f>
        <v>622.79999999999995</v>
      </c>
      <c r="R700">
        <f t="shared" si="30"/>
        <v>560.52</v>
      </c>
      <c r="S700">
        <f>IF(VentesMagasins!$K700=1,(-1)*R700,R700)</f>
        <v>-560.52</v>
      </c>
      <c r="T700">
        <f>IFERROR(VALUE(TRIM(SUBSTITUTE(VentesMagasins!$L700,".",","))),0)</f>
        <v>4</v>
      </c>
      <c r="U700">
        <f t="shared" si="31"/>
        <v>4</v>
      </c>
      <c r="V700" t="str">
        <f t="shared" si="32"/>
        <v>moyenne</v>
      </c>
      <c r="W700" t="str">
        <f>_xlfn.XLOOKUP(VentesMagasins!$B700,Clients!ClientID,Région)</f>
        <v>Ouest</v>
      </c>
      <c r="X700" t="str">
        <f>INDEX(TypeClient,MATCH(VentesMagasins!$B700,Clients!ClientID))</f>
        <v>Fidèle</v>
      </c>
      <c r="Y700" t="str">
        <v>août</v>
      </c>
    </row>
    <row r="701" spans="1:25" x14ac:dyDescent="0.25">
      <c r="A701" s="2">
        <v>700</v>
      </c>
      <c r="B701" s="12" t="s">
        <v>301</v>
      </c>
      <c r="C701" s="13">
        <v>45919</v>
      </c>
      <c r="D701" s="12" t="s">
        <v>338</v>
      </c>
      <c r="E701" s="14" t="s">
        <v>362</v>
      </c>
      <c r="F701" s="12" t="s">
        <v>330</v>
      </c>
      <c r="G701" s="2">
        <v>5</v>
      </c>
      <c r="H701" s="3">
        <v>368</v>
      </c>
      <c r="I701" s="14" t="s">
        <v>355</v>
      </c>
      <c r="J701" s="12" t="s">
        <v>988</v>
      </c>
      <c r="K701" s="2">
        <v>0</v>
      </c>
      <c r="L701" s="12" t="s">
        <v>344</v>
      </c>
      <c r="M701">
        <f>YEAR(VentesMagasins!$C701)</f>
        <v>2025</v>
      </c>
      <c r="N701" t="e" cm="1" vm="1">
        <f t="array" aca="1" ref="N701" ca="1">MONTH(DateVente)</f>
        <v>#VALUE!</v>
      </c>
      <c r="O701" t="str">
        <f>PROPER(VentesMagasins!$F701)</f>
        <v>Décoration</v>
      </c>
      <c r="P701">
        <f>VALUE(CLEAN(TRIM(SUBSTITUTE(VentesMagasins!$I701,".",","))))</f>
        <v>0.1</v>
      </c>
      <c r="Q701">
        <f>VALUE(TRIM(SUBSTITUTE(VentesMagasins!$J701,".",",")))</f>
        <v>1656</v>
      </c>
      <c r="R701">
        <f t="shared" si="30"/>
        <v>1490.4</v>
      </c>
      <c r="S701">
        <f>IF(VentesMagasins!$K701=1,(-1)*R701,R701)</f>
        <v>1490.4</v>
      </c>
      <c r="T701">
        <f>IFERROR(VALUE(TRIM(SUBSTITUTE(VentesMagasins!$L701,".",","))),0)</f>
        <v>2</v>
      </c>
      <c r="U701">
        <f t="shared" si="31"/>
        <v>2</v>
      </c>
      <c r="V701" t="str">
        <f t="shared" si="32"/>
        <v>faible</v>
      </c>
      <c r="W701" t="str">
        <f>_xlfn.XLOOKUP(VentesMagasins!$B701,Clients!ClientID,Région)</f>
        <v>Nord</v>
      </c>
      <c r="X701" t="str">
        <f>INDEX(TypeClient,MATCH(VentesMagasins!$B701,Clients!ClientID))</f>
        <v>Fidèle</v>
      </c>
      <c r="Y701" t="str">
        <v>sept</v>
      </c>
    </row>
    <row r="702" spans="1:25" x14ac:dyDescent="0.25">
      <c r="A702" s="2">
        <v>701</v>
      </c>
      <c r="B702" s="12" t="s">
        <v>295</v>
      </c>
      <c r="C702" s="13">
        <v>45049</v>
      </c>
      <c r="D702" s="12" t="s">
        <v>338</v>
      </c>
      <c r="E702" s="14" t="s">
        <v>362</v>
      </c>
      <c r="F702" s="12" t="s">
        <v>324</v>
      </c>
      <c r="G702" s="2">
        <v>2</v>
      </c>
      <c r="H702" s="3">
        <v>238</v>
      </c>
      <c r="I702" s="14" t="s">
        <v>355</v>
      </c>
      <c r="J702" s="12" t="s">
        <v>989</v>
      </c>
      <c r="K702" s="2">
        <v>0</v>
      </c>
      <c r="L702" s="12" t="s">
        <v>344</v>
      </c>
      <c r="M702">
        <f>YEAR(VentesMagasins!$C702)</f>
        <v>2023</v>
      </c>
      <c r="N702" t="e" cm="1" vm="1">
        <f t="array" aca="1" ref="N702" ca="1">MONTH(DateVente)</f>
        <v>#VALUE!</v>
      </c>
      <c r="O702" t="str">
        <f>PROPER(VentesMagasins!$F702)</f>
        <v>Électronique</v>
      </c>
      <c r="P702">
        <f>VALUE(CLEAN(TRIM(SUBSTITUTE(VentesMagasins!$I702,".",","))))</f>
        <v>0.1</v>
      </c>
      <c r="Q702">
        <f>VALUE(TRIM(SUBSTITUTE(VentesMagasins!$J702,".",",")))</f>
        <v>428.4</v>
      </c>
      <c r="R702">
        <f t="shared" si="30"/>
        <v>385.56</v>
      </c>
      <c r="S702">
        <f>IF(VentesMagasins!$K702=1,(-1)*R702,R702)</f>
        <v>385.56</v>
      </c>
      <c r="T702">
        <f>IFERROR(VALUE(TRIM(SUBSTITUTE(VentesMagasins!$L702,".",","))),0)</f>
        <v>2</v>
      </c>
      <c r="U702">
        <f t="shared" si="31"/>
        <v>2</v>
      </c>
      <c r="V702" t="str">
        <f t="shared" si="32"/>
        <v>faible</v>
      </c>
      <c r="W702" t="str">
        <f>_xlfn.XLOOKUP(VentesMagasins!$B702,Clients!ClientID,Région)</f>
        <v>Est</v>
      </c>
      <c r="X702" t="str">
        <f>INDEX(TypeClient,MATCH(VentesMagasins!$B702,Clients!ClientID))</f>
        <v>Nouveau</v>
      </c>
      <c r="Y702" t="str">
        <v>mai</v>
      </c>
    </row>
    <row r="703" spans="1:25" x14ac:dyDescent="0.25">
      <c r="A703" s="2">
        <v>702</v>
      </c>
      <c r="B703" s="12" t="s">
        <v>79</v>
      </c>
      <c r="C703" s="13">
        <v>45231</v>
      </c>
      <c r="D703" s="12" t="s">
        <v>338</v>
      </c>
      <c r="E703" s="14" t="s">
        <v>348</v>
      </c>
      <c r="F703" s="12" t="s">
        <v>341</v>
      </c>
      <c r="G703" s="2">
        <v>4</v>
      </c>
      <c r="H703" s="3">
        <v>50</v>
      </c>
      <c r="I703" s="14" t="s">
        <v>355</v>
      </c>
      <c r="J703" s="12" t="s">
        <v>381</v>
      </c>
      <c r="K703" s="2">
        <v>0</v>
      </c>
      <c r="L703" s="12" t="s">
        <v>327</v>
      </c>
      <c r="M703">
        <f>YEAR(VentesMagasins!$C703)</f>
        <v>2023</v>
      </c>
      <c r="N703" t="e" cm="1" vm="1">
        <f t="array" aca="1" ref="N703" ca="1">MONTH(DateVente)</f>
        <v>#VALUE!</v>
      </c>
      <c r="O703" t="str">
        <f>PROPER(VentesMagasins!$F703)</f>
        <v>Meuble</v>
      </c>
      <c r="P703">
        <f>VALUE(CLEAN(TRIM(SUBSTITUTE(VentesMagasins!$I703,".",","))))</f>
        <v>0.1</v>
      </c>
      <c r="Q703">
        <f>VALUE(TRIM(SUBSTITUTE(VentesMagasins!$J703,".",",")))</f>
        <v>162</v>
      </c>
      <c r="R703">
        <f t="shared" si="30"/>
        <v>145.80000000000001</v>
      </c>
      <c r="S703">
        <f>IF(VentesMagasins!$K703=1,(-1)*R703,R703)</f>
        <v>145.80000000000001</v>
      </c>
      <c r="T703">
        <f>IFERROR(VALUE(TRIM(SUBSTITUTE(VentesMagasins!$L703,".",","))),0)</f>
        <v>5</v>
      </c>
      <c r="U703">
        <f t="shared" si="31"/>
        <v>5</v>
      </c>
      <c r="V703" t="str">
        <f t="shared" si="32"/>
        <v>élévé</v>
      </c>
      <c r="W703" t="str">
        <f>_xlfn.XLOOKUP(VentesMagasins!$B703,Clients!ClientID,Région)</f>
        <v>Ouest</v>
      </c>
      <c r="X703" t="str">
        <f>INDEX(TypeClient,MATCH(VentesMagasins!$B703,Clients!ClientID))</f>
        <v>Occasionnel</v>
      </c>
      <c r="Y703" t="str">
        <v>nov</v>
      </c>
    </row>
    <row r="704" spans="1:25" x14ac:dyDescent="0.25">
      <c r="A704" s="2">
        <v>703</v>
      </c>
      <c r="B704" s="12" t="s">
        <v>295</v>
      </c>
      <c r="C704" s="13">
        <v>45385</v>
      </c>
      <c r="D704" s="12" t="s">
        <v>350</v>
      </c>
      <c r="E704" s="14" t="s">
        <v>334</v>
      </c>
      <c r="F704" s="12" t="s">
        <v>324</v>
      </c>
      <c r="G704" s="2">
        <v>2</v>
      </c>
      <c r="H704" s="3">
        <v>56</v>
      </c>
      <c r="I704" s="14" t="s">
        <v>355</v>
      </c>
      <c r="J704" s="12" t="s">
        <v>990</v>
      </c>
      <c r="K704" s="2">
        <v>0</v>
      </c>
      <c r="L704" s="12" t="s">
        <v>327</v>
      </c>
      <c r="M704">
        <f>YEAR(VentesMagasins!$C704)</f>
        <v>2024</v>
      </c>
      <c r="N704" t="e" cm="1" vm="1">
        <f t="array" aca="1" ref="N704" ca="1">MONTH(DateVente)</f>
        <v>#VALUE!</v>
      </c>
      <c r="O704" t="str">
        <f>PROPER(VentesMagasins!$F704)</f>
        <v>Électronique</v>
      </c>
      <c r="P704">
        <f>VALUE(CLEAN(TRIM(SUBSTITUTE(VentesMagasins!$I704,".",","))))</f>
        <v>0.1</v>
      </c>
      <c r="Q704">
        <f>VALUE(TRIM(SUBSTITUTE(VentesMagasins!$J704,".",",")))</f>
        <v>100.8</v>
      </c>
      <c r="R704">
        <f t="shared" si="30"/>
        <v>90.72</v>
      </c>
      <c r="S704">
        <f>IF(VentesMagasins!$K704=1,(-1)*R704,R704)</f>
        <v>90.72</v>
      </c>
      <c r="T704">
        <f>IFERROR(VALUE(TRIM(SUBSTITUTE(VentesMagasins!$L704,".",","))),0)</f>
        <v>5</v>
      </c>
      <c r="U704">
        <f t="shared" si="31"/>
        <v>5</v>
      </c>
      <c r="V704" t="str">
        <f t="shared" si="32"/>
        <v>élévé</v>
      </c>
      <c r="W704" t="str">
        <f>_xlfn.XLOOKUP(VentesMagasins!$B704,Clients!ClientID,Région)</f>
        <v>Est</v>
      </c>
      <c r="X704" t="str">
        <f>INDEX(TypeClient,MATCH(VentesMagasins!$B704,Clients!ClientID))</f>
        <v>Nouveau</v>
      </c>
      <c r="Y704" t="str">
        <v>avr</v>
      </c>
    </row>
    <row r="705" spans="1:25" x14ac:dyDescent="0.25">
      <c r="A705" s="2">
        <v>704</v>
      </c>
      <c r="B705" s="12" t="s">
        <v>52</v>
      </c>
      <c r="C705" s="13">
        <v>45674</v>
      </c>
      <c r="D705" s="12" t="s">
        <v>350</v>
      </c>
      <c r="E705" s="14" t="s">
        <v>323</v>
      </c>
      <c r="F705" s="12" t="s">
        <v>330</v>
      </c>
      <c r="G705" s="2">
        <v>1</v>
      </c>
      <c r="H705" s="3">
        <v>305</v>
      </c>
      <c r="I705" s="14" t="s">
        <v>355</v>
      </c>
      <c r="J705" s="12" t="s">
        <v>991</v>
      </c>
      <c r="K705" s="2">
        <v>0</v>
      </c>
      <c r="L705" s="12" t="s">
        <v>352</v>
      </c>
      <c r="M705">
        <f>YEAR(VentesMagasins!$C705)</f>
        <v>2025</v>
      </c>
      <c r="N705" t="e" cm="1" vm="1">
        <f t="array" aca="1" ref="N705" ca="1">MONTH(DateVente)</f>
        <v>#VALUE!</v>
      </c>
      <c r="O705" t="str">
        <f>PROPER(VentesMagasins!$F705)</f>
        <v>Décoration</v>
      </c>
      <c r="P705">
        <f>VALUE(CLEAN(TRIM(SUBSTITUTE(VentesMagasins!$I705,".",","))))</f>
        <v>0.1</v>
      </c>
      <c r="Q705">
        <f>VALUE(TRIM(SUBSTITUTE(VentesMagasins!$J705,".",",")))</f>
        <v>274.5</v>
      </c>
      <c r="R705">
        <f t="shared" si="30"/>
        <v>247.05</v>
      </c>
      <c r="S705">
        <f>IF(VentesMagasins!$K705=1,(-1)*R705,R705)</f>
        <v>247.05</v>
      </c>
      <c r="T705">
        <f>IFERROR(VALUE(TRIM(SUBSTITUTE(VentesMagasins!$L705,".",","))),0)</f>
        <v>0</v>
      </c>
      <c r="U705">
        <f t="shared" si="31"/>
        <v>3</v>
      </c>
      <c r="V705" t="str">
        <f t="shared" si="32"/>
        <v>moyenne</v>
      </c>
      <c r="W705" t="str">
        <f>_xlfn.XLOOKUP(VentesMagasins!$B705,Clients!ClientID,Région)</f>
        <v>Est</v>
      </c>
      <c r="X705" t="str">
        <f>INDEX(TypeClient,MATCH(VentesMagasins!$B705,Clients!ClientID))</f>
        <v>Fidèle</v>
      </c>
      <c r="Y705" t="str">
        <v>janv</v>
      </c>
    </row>
    <row r="706" spans="1:25" x14ac:dyDescent="0.25">
      <c r="A706" s="2">
        <v>705</v>
      </c>
      <c r="B706" s="12" t="s">
        <v>35</v>
      </c>
      <c r="C706" s="13">
        <v>45070</v>
      </c>
      <c r="D706" s="12" t="s">
        <v>338</v>
      </c>
      <c r="E706" s="14" t="s">
        <v>348</v>
      </c>
      <c r="F706" s="12" t="s">
        <v>341</v>
      </c>
      <c r="G706" s="2">
        <v>5</v>
      </c>
      <c r="H706" s="3">
        <v>486</v>
      </c>
      <c r="I706" s="14" t="s">
        <v>355</v>
      </c>
      <c r="J706" s="12" t="s">
        <v>992</v>
      </c>
      <c r="K706" s="2">
        <v>0</v>
      </c>
      <c r="L706" s="12" t="s">
        <v>337</v>
      </c>
      <c r="M706">
        <f>YEAR(VentesMagasins!$C706)</f>
        <v>2023</v>
      </c>
      <c r="N706" t="e" cm="1" vm="1">
        <f t="array" aca="1" ref="N706" ca="1">MONTH(DateVente)</f>
        <v>#VALUE!</v>
      </c>
      <c r="O706" t="str">
        <f>PROPER(VentesMagasins!$F706)</f>
        <v>Meuble</v>
      </c>
      <c r="P706">
        <f>VALUE(CLEAN(TRIM(SUBSTITUTE(VentesMagasins!$I706,".",","))))</f>
        <v>0.1</v>
      </c>
      <c r="Q706">
        <f>VALUE(TRIM(SUBSTITUTE(VentesMagasins!$J706,".",",")))</f>
        <v>2187</v>
      </c>
      <c r="R706">
        <f t="shared" si="30"/>
        <v>1968.3</v>
      </c>
      <c r="S706">
        <f>IF(VentesMagasins!$K706=1,(-1)*R706,R706)</f>
        <v>1968.3</v>
      </c>
      <c r="T706">
        <f>IFERROR(VALUE(TRIM(SUBSTITUTE(VentesMagasins!$L706,".",","))),0)</f>
        <v>3</v>
      </c>
      <c r="U706">
        <f t="shared" si="31"/>
        <v>3</v>
      </c>
      <c r="V706" t="str">
        <f t="shared" si="32"/>
        <v>moyenne</v>
      </c>
      <c r="W706" t="str">
        <f>_xlfn.XLOOKUP(VentesMagasins!$B706,Clients!ClientID,Région)</f>
        <v>Ouest</v>
      </c>
      <c r="X706" t="str">
        <f>INDEX(TypeClient,MATCH(VentesMagasins!$B706,Clients!ClientID))</f>
        <v>Occasionnel</v>
      </c>
      <c r="Y706" t="str">
        <v>mai</v>
      </c>
    </row>
    <row r="707" spans="1:25" x14ac:dyDescent="0.25">
      <c r="A707" s="2">
        <v>706</v>
      </c>
      <c r="B707" s="12" t="s">
        <v>61</v>
      </c>
      <c r="C707" s="13">
        <v>45847</v>
      </c>
      <c r="D707" s="12" t="s">
        <v>322</v>
      </c>
      <c r="E707" s="14" t="s">
        <v>364</v>
      </c>
      <c r="F707" s="12" t="s">
        <v>324</v>
      </c>
      <c r="G707" s="2">
        <v>2</v>
      </c>
      <c r="H707" s="3">
        <v>85</v>
      </c>
      <c r="I707" s="14" t="s">
        <v>355</v>
      </c>
      <c r="J707" s="12" t="s">
        <v>993</v>
      </c>
      <c r="K707" s="2">
        <v>0</v>
      </c>
      <c r="L707" s="12" t="s">
        <v>369</v>
      </c>
      <c r="M707">
        <f>YEAR(VentesMagasins!$C707)</f>
        <v>2025</v>
      </c>
      <c r="N707" t="e" cm="1" vm="1">
        <f t="array" aca="1" ref="N707" ca="1">MONTH(DateVente)</f>
        <v>#VALUE!</v>
      </c>
      <c r="O707" t="str">
        <f>PROPER(VentesMagasins!$F707)</f>
        <v>Électronique</v>
      </c>
      <c r="P707">
        <f>VALUE(CLEAN(TRIM(SUBSTITUTE(VentesMagasins!$I707,".",","))))</f>
        <v>0.1</v>
      </c>
      <c r="Q707">
        <f>VALUE(TRIM(SUBSTITUTE(VentesMagasins!$J707,".",",")))</f>
        <v>153</v>
      </c>
      <c r="R707">
        <f t="shared" ref="R707:R770" si="33">Q707*(1-P707)</f>
        <v>137.70000000000002</v>
      </c>
      <c r="S707">
        <f>IF(VentesMagasins!$K707=1,(-1)*R707,R707)</f>
        <v>137.70000000000002</v>
      </c>
      <c r="T707">
        <f>IFERROR(VALUE(TRIM(SUBSTITUTE(VentesMagasins!$L707,".",","))),0)</f>
        <v>1</v>
      </c>
      <c r="U707">
        <f t="shared" ref="U707:U770" si="34">ROUND(IF(T707=0,AVERAGE(T707:T1706),T707),0)</f>
        <v>1</v>
      </c>
      <c r="V707" t="str">
        <f t="shared" ref="V707:V770" si="35">IF(AND(U707&gt;0,U707&lt;=2),"faible",IF(AND(U707&gt;=3,U707&lt;=4),"moyenne",IF(U707=5,"élévé",0)))</f>
        <v>faible</v>
      </c>
      <c r="W707" t="str">
        <f>_xlfn.XLOOKUP(VentesMagasins!$B707,Clients!ClientID,Région)</f>
        <v>Nord</v>
      </c>
      <c r="X707" t="str">
        <f>INDEX(TypeClient,MATCH(VentesMagasins!$B707,Clients!ClientID))</f>
        <v>Fidèle</v>
      </c>
      <c r="Y707" t="str">
        <v>juil</v>
      </c>
    </row>
    <row r="708" spans="1:25" x14ac:dyDescent="0.25">
      <c r="A708" s="2">
        <v>707</v>
      </c>
      <c r="B708" s="12" t="s">
        <v>265</v>
      </c>
      <c r="C708" s="13">
        <v>45130</v>
      </c>
      <c r="D708" s="12" t="s">
        <v>333</v>
      </c>
      <c r="E708" s="14" t="s">
        <v>323</v>
      </c>
      <c r="F708" s="12" t="s">
        <v>341</v>
      </c>
      <c r="G708" s="2">
        <v>2</v>
      </c>
      <c r="H708" s="3">
        <v>136</v>
      </c>
      <c r="I708" s="14" t="s">
        <v>342</v>
      </c>
      <c r="J708" s="12" t="s">
        <v>994</v>
      </c>
      <c r="K708" s="2">
        <v>1</v>
      </c>
      <c r="L708" s="12" t="s">
        <v>369</v>
      </c>
      <c r="M708">
        <f>YEAR(VentesMagasins!$C708)</f>
        <v>2023</v>
      </c>
      <c r="N708" t="e" cm="1" vm="1">
        <f t="array" aca="1" ref="N708" ca="1">MONTH(DateVente)</f>
        <v>#VALUE!</v>
      </c>
      <c r="O708" t="str">
        <f>PROPER(VentesMagasins!$F708)</f>
        <v>Meuble</v>
      </c>
      <c r="P708">
        <f>VALUE(CLEAN(TRIM(SUBSTITUTE(VentesMagasins!$I708,".",","))))</f>
        <v>0.05</v>
      </c>
      <c r="Q708">
        <f>VALUE(TRIM(SUBSTITUTE(VentesMagasins!$J708,".",",")))</f>
        <v>258.39999999999998</v>
      </c>
      <c r="R708">
        <f t="shared" si="33"/>
        <v>245.47999999999996</v>
      </c>
      <c r="S708">
        <f>IF(VentesMagasins!$K708=1,(-1)*R708,R708)</f>
        <v>-245.47999999999996</v>
      </c>
      <c r="T708">
        <f>IFERROR(VALUE(TRIM(SUBSTITUTE(VentesMagasins!$L708,".",","))),0)</f>
        <v>1</v>
      </c>
      <c r="U708">
        <f t="shared" si="34"/>
        <v>1</v>
      </c>
      <c r="V708" t="str">
        <f t="shared" si="35"/>
        <v>faible</v>
      </c>
      <c r="W708" t="str">
        <f>_xlfn.XLOOKUP(VentesMagasins!$B708,Clients!ClientID,Région)</f>
        <v>Ouest</v>
      </c>
      <c r="X708" t="str">
        <f>INDEX(TypeClient,MATCH(VentesMagasins!$B708,Clients!ClientID))</f>
        <v>Fidèle</v>
      </c>
      <c r="Y708" t="str">
        <v>juil</v>
      </c>
    </row>
    <row r="709" spans="1:25" x14ac:dyDescent="0.25">
      <c r="A709" s="2">
        <v>708</v>
      </c>
      <c r="B709" s="12" t="s">
        <v>197</v>
      </c>
      <c r="C709" s="13">
        <v>45766</v>
      </c>
      <c r="D709" s="12" t="s">
        <v>328</v>
      </c>
      <c r="E709" s="14" t="s">
        <v>329</v>
      </c>
      <c r="F709" s="12" t="s">
        <v>324</v>
      </c>
      <c r="G709" s="2">
        <v>2</v>
      </c>
      <c r="H709" s="3">
        <v>473</v>
      </c>
      <c r="I709" s="14" t="s">
        <v>342</v>
      </c>
      <c r="J709" s="12" t="s">
        <v>995</v>
      </c>
      <c r="K709" s="2">
        <v>1</v>
      </c>
      <c r="L709" s="12" t="s">
        <v>327</v>
      </c>
      <c r="M709">
        <f>YEAR(VentesMagasins!$C709)</f>
        <v>2025</v>
      </c>
      <c r="N709" t="e" cm="1" vm="1">
        <f t="array" aca="1" ref="N709" ca="1">MONTH(DateVente)</f>
        <v>#VALUE!</v>
      </c>
      <c r="O709" t="str">
        <f>PROPER(VentesMagasins!$F709)</f>
        <v>Électronique</v>
      </c>
      <c r="P709">
        <f>VALUE(CLEAN(TRIM(SUBSTITUTE(VentesMagasins!$I709,".",","))))</f>
        <v>0.05</v>
      </c>
      <c r="Q709">
        <f>VALUE(TRIM(SUBSTITUTE(VentesMagasins!$J709,".",",")))</f>
        <v>898.69999999999902</v>
      </c>
      <c r="R709">
        <f t="shared" si="33"/>
        <v>853.76499999999908</v>
      </c>
      <c r="S709">
        <f>IF(VentesMagasins!$K709=1,(-1)*R709,R709)</f>
        <v>-853.76499999999908</v>
      </c>
      <c r="T709">
        <f>IFERROR(VALUE(TRIM(SUBSTITUTE(VentesMagasins!$L709,".",","))),0)</f>
        <v>5</v>
      </c>
      <c r="U709">
        <f t="shared" si="34"/>
        <v>5</v>
      </c>
      <c r="V709" t="str">
        <f t="shared" si="35"/>
        <v>élévé</v>
      </c>
      <c r="W709" t="str">
        <f>_xlfn.XLOOKUP(VentesMagasins!$B709,Clients!ClientID,Région)</f>
        <v>Nord</v>
      </c>
      <c r="X709" t="str">
        <f>INDEX(TypeClient,MATCH(VentesMagasins!$B709,Clients!ClientID))</f>
        <v>Nouveau</v>
      </c>
      <c r="Y709" t="str">
        <v>avr</v>
      </c>
    </row>
    <row r="710" spans="1:25" x14ac:dyDescent="0.25">
      <c r="A710" s="2">
        <v>709</v>
      </c>
      <c r="B710" s="12" t="s">
        <v>272</v>
      </c>
      <c r="C710" s="13">
        <v>45796</v>
      </c>
      <c r="D710" s="12" t="s">
        <v>322</v>
      </c>
      <c r="E710" s="14" t="s">
        <v>345</v>
      </c>
      <c r="F710" s="12" t="s">
        <v>330</v>
      </c>
      <c r="G710" s="2">
        <v>1</v>
      </c>
      <c r="H710" s="3">
        <v>72</v>
      </c>
      <c r="I710" s="14" t="s">
        <v>335</v>
      </c>
      <c r="J710" s="12" t="s">
        <v>996</v>
      </c>
      <c r="K710" s="2">
        <v>0</v>
      </c>
      <c r="L710" s="12" t="s">
        <v>344</v>
      </c>
      <c r="M710">
        <f>YEAR(VentesMagasins!$C710)</f>
        <v>2025</v>
      </c>
      <c r="N710" t="e" cm="1" vm="1">
        <f t="array" aca="1" ref="N710" ca="1">MONTH(DateVente)</f>
        <v>#VALUE!</v>
      </c>
      <c r="O710" t="str">
        <f>PROPER(VentesMagasins!$F710)</f>
        <v>Décoration</v>
      </c>
      <c r="P710">
        <f>VALUE(CLEAN(TRIM(SUBSTITUTE(VentesMagasins!$I710,".",","))))</f>
        <v>0</v>
      </c>
      <c r="Q710">
        <f>VALUE(TRIM(SUBSTITUTE(VentesMagasins!$J710,".",",")))</f>
        <v>72</v>
      </c>
      <c r="R710">
        <f t="shared" si="33"/>
        <v>72</v>
      </c>
      <c r="S710">
        <f>IF(VentesMagasins!$K710=1,(-1)*R710,R710)</f>
        <v>72</v>
      </c>
      <c r="T710">
        <f>IFERROR(VALUE(TRIM(SUBSTITUTE(VentesMagasins!$L710,".",","))),0)</f>
        <v>2</v>
      </c>
      <c r="U710">
        <f t="shared" si="34"/>
        <v>2</v>
      </c>
      <c r="V710" t="str">
        <f t="shared" si="35"/>
        <v>faible</v>
      </c>
      <c r="W710" t="str">
        <f>_xlfn.XLOOKUP(VentesMagasins!$B710,Clients!ClientID,Région)</f>
        <v>Centre</v>
      </c>
      <c r="X710" t="str">
        <f>INDEX(TypeClient,MATCH(VentesMagasins!$B710,Clients!ClientID))</f>
        <v>Fidèle</v>
      </c>
      <c r="Y710" t="str">
        <v>mai</v>
      </c>
    </row>
    <row r="711" spans="1:25" x14ac:dyDescent="0.25">
      <c r="A711" s="2">
        <v>710</v>
      </c>
      <c r="B711" s="12" t="s">
        <v>39</v>
      </c>
      <c r="C711" s="13">
        <v>46004</v>
      </c>
      <c r="D711" s="12" t="s">
        <v>350</v>
      </c>
      <c r="E711" s="14" t="s">
        <v>339</v>
      </c>
      <c r="F711" s="12" t="s">
        <v>341</v>
      </c>
      <c r="G711" s="2">
        <v>2</v>
      </c>
      <c r="H711" s="3">
        <v>350</v>
      </c>
      <c r="I711" s="14" t="s">
        <v>325</v>
      </c>
      <c r="J711" s="12" t="s">
        <v>997</v>
      </c>
      <c r="K711" s="2">
        <v>1</v>
      </c>
      <c r="L711" s="12" t="s">
        <v>369</v>
      </c>
      <c r="M711">
        <f>YEAR(VentesMagasins!$C711)</f>
        <v>2025</v>
      </c>
      <c r="N711" t="e" cm="1" vm="1">
        <f t="array" aca="1" ref="N711" ca="1">MONTH(DateVente)</f>
        <v>#VALUE!</v>
      </c>
      <c r="O711" t="str">
        <f>PROPER(VentesMagasins!$F711)</f>
        <v>Meuble</v>
      </c>
      <c r="P711">
        <f>VALUE(CLEAN(TRIM(SUBSTITUTE(VentesMagasins!$I711,".",","))))</f>
        <v>0.15</v>
      </c>
      <c r="Q711">
        <f>VALUE(TRIM(SUBSTITUTE(VentesMagasins!$J711,".",",")))</f>
        <v>595</v>
      </c>
      <c r="R711">
        <f t="shared" si="33"/>
        <v>505.75</v>
      </c>
      <c r="S711">
        <f>IF(VentesMagasins!$K711=1,(-1)*R711,R711)</f>
        <v>-505.75</v>
      </c>
      <c r="T711">
        <f>IFERROR(VALUE(TRIM(SUBSTITUTE(VentesMagasins!$L711,".",","))),0)</f>
        <v>1</v>
      </c>
      <c r="U711">
        <f t="shared" si="34"/>
        <v>1</v>
      </c>
      <c r="V711" t="str">
        <f t="shared" si="35"/>
        <v>faible</v>
      </c>
      <c r="W711" t="str">
        <f>_xlfn.XLOOKUP(VentesMagasins!$B711,Clients!ClientID,Région)</f>
        <v>Nord</v>
      </c>
      <c r="X711" t="str">
        <f>INDEX(TypeClient,MATCH(VentesMagasins!$B711,Clients!ClientID))</f>
        <v>Nouveau</v>
      </c>
      <c r="Y711" t="str">
        <v>déc</v>
      </c>
    </row>
    <row r="712" spans="1:25" x14ac:dyDescent="0.25">
      <c r="A712" s="2">
        <v>711</v>
      </c>
      <c r="B712" s="12" t="s">
        <v>64</v>
      </c>
      <c r="C712" s="13">
        <v>45617</v>
      </c>
      <c r="D712" s="12" t="s">
        <v>350</v>
      </c>
      <c r="E712" s="14" t="s">
        <v>329</v>
      </c>
      <c r="F712" s="12" t="s">
        <v>330</v>
      </c>
      <c r="G712" s="2">
        <v>2</v>
      </c>
      <c r="H712" s="3">
        <v>21</v>
      </c>
      <c r="I712" s="14" t="s">
        <v>325</v>
      </c>
      <c r="J712" s="12" t="s">
        <v>998</v>
      </c>
      <c r="K712" s="2">
        <v>0</v>
      </c>
      <c r="L712" s="12" t="s">
        <v>327</v>
      </c>
      <c r="M712">
        <f>YEAR(VentesMagasins!$C712)</f>
        <v>2024</v>
      </c>
      <c r="N712" t="e" cm="1" vm="1">
        <f t="array" aca="1" ref="N712" ca="1">MONTH(DateVente)</f>
        <v>#VALUE!</v>
      </c>
      <c r="O712" t="str">
        <f>PROPER(VentesMagasins!$F712)</f>
        <v>Décoration</v>
      </c>
      <c r="P712">
        <f>VALUE(CLEAN(TRIM(SUBSTITUTE(VentesMagasins!$I712,".",","))))</f>
        <v>0.15</v>
      </c>
      <c r="Q712">
        <f>VALUE(TRIM(SUBSTITUTE(VentesMagasins!$J712,".",",")))</f>
        <v>35.699999999999903</v>
      </c>
      <c r="R712">
        <f t="shared" si="33"/>
        <v>30.344999999999917</v>
      </c>
      <c r="S712">
        <f>IF(VentesMagasins!$K712=1,(-1)*R712,R712)</f>
        <v>30.344999999999917</v>
      </c>
      <c r="T712">
        <f>IFERROR(VALUE(TRIM(SUBSTITUTE(VentesMagasins!$L712,".",","))),0)</f>
        <v>5</v>
      </c>
      <c r="U712">
        <f t="shared" si="34"/>
        <v>5</v>
      </c>
      <c r="V712" t="str">
        <f t="shared" si="35"/>
        <v>élévé</v>
      </c>
      <c r="W712" t="str">
        <f>_xlfn.XLOOKUP(VentesMagasins!$B712,Clients!ClientID,Région)</f>
        <v>Sud</v>
      </c>
      <c r="X712" t="str">
        <f>INDEX(TypeClient,MATCH(VentesMagasins!$B712,Clients!ClientID))</f>
        <v>Nouveau</v>
      </c>
      <c r="Y712" t="str">
        <v>nov</v>
      </c>
    </row>
    <row r="713" spans="1:25" x14ac:dyDescent="0.25">
      <c r="A713" s="2">
        <v>712</v>
      </c>
      <c r="B713" s="12" t="s">
        <v>46</v>
      </c>
      <c r="C713" s="13">
        <v>45825</v>
      </c>
      <c r="D713" s="12" t="s">
        <v>322</v>
      </c>
      <c r="E713" s="14" t="s">
        <v>334</v>
      </c>
      <c r="F713" s="12" t="s">
        <v>341</v>
      </c>
      <c r="G713" s="2">
        <v>2</v>
      </c>
      <c r="H713" s="3">
        <v>122</v>
      </c>
      <c r="I713" s="14" t="s">
        <v>335</v>
      </c>
      <c r="J713" s="12" t="s">
        <v>999</v>
      </c>
      <c r="K713" s="2">
        <v>0</v>
      </c>
      <c r="L713" s="12" t="s">
        <v>337</v>
      </c>
      <c r="M713">
        <f>YEAR(VentesMagasins!$C713)</f>
        <v>2025</v>
      </c>
      <c r="N713" t="e" cm="1" vm="1">
        <f t="array" aca="1" ref="N713" ca="1">MONTH(DateVente)</f>
        <v>#VALUE!</v>
      </c>
      <c r="O713" t="str">
        <f>PROPER(VentesMagasins!$F713)</f>
        <v>Meuble</v>
      </c>
      <c r="P713">
        <f>VALUE(CLEAN(TRIM(SUBSTITUTE(VentesMagasins!$I713,".",","))))</f>
        <v>0</v>
      </c>
      <c r="Q713">
        <f>VALUE(TRIM(SUBSTITUTE(VentesMagasins!$J713,".",",")))</f>
        <v>244</v>
      </c>
      <c r="R713">
        <f t="shared" si="33"/>
        <v>244</v>
      </c>
      <c r="S713">
        <f>IF(VentesMagasins!$K713=1,(-1)*R713,R713)</f>
        <v>244</v>
      </c>
      <c r="T713">
        <f>IFERROR(VALUE(TRIM(SUBSTITUTE(VentesMagasins!$L713,".",","))),0)</f>
        <v>3</v>
      </c>
      <c r="U713">
        <f t="shared" si="34"/>
        <v>3</v>
      </c>
      <c r="V713" t="str">
        <f t="shared" si="35"/>
        <v>moyenne</v>
      </c>
      <c r="W713" t="str">
        <f>_xlfn.XLOOKUP(VentesMagasins!$B713,Clients!ClientID,Région)</f>
        <v>Ouest</v>
      </c>
      <c r="X713" t="str">
        <f>INDEX(TypeClient,MATCH(VentesMagasins!$B713,Clients!ClientID))</f>
        <v>Occasionnel</v>
      </c>
      <c r="Y713" t="str">
        <v>juin</v>
      </c>
    </row>
    <row r="714" spans="1:25" x14ac:dyDescent="0.25">
      <c r="A714" s="2">
        <v>713</v>
      </c>
      <c r="B714" s="12" t="s">
        <v>126</v>
      </c>
      <c r="C714" s="13">
        <v>45538</v>
      </c>
      <c r="D714" s="12" t="s">
        <v>350</v>
      </c>
      <c r="E714" s="14" t="s">
        <v>364</v>
      </c>
      <c r="F714" s="12" t="s">
        <v>341</v>
      </c>
      <c r="G714" s="2">
        <v>4</v>
      </c>
      <c r="H714" s="3">
        <v>274</v>
      </c>
      <c r="I714" s="14" t="s">
        <v>355</v>
      </c>
      <c r="J714" s="12" t="s">
        <v>1000</v>
      </c>
      <c r="K714" s="2">
        <v>0</v>
      </c>
      <c r="L714" s="12" t="s">
        <v>369</v>
      </c>
      <c r="M714">
        <f>YEAR(VentesMagasins!$C714)</f>
        <v>2024</v>
      </c>
      <c r="N714" t="e" cm="1" vm="1">
        <f t="array" aca="1" ref="N714" ca="1">MONTH(DateVente)</f>
        <v>#VALUE!</v>
      </c>
      <c r="O714" t="str">
        <f>PROPER(VentesMagasins!$F714)</f>
        <v>Meuble</v>
      </c>
      <c r="P714">
        <f>VALUE(CLEAN(TRIM(SUBSTITUTE(VentesMagasins!$I714,".",","))))</f>
        <v>0.1</v>
      </c>
      <c r="Q714">
        <f>VALUE(TRIM(SUBSTITUTE(VentesMagasins!$J714,".",",")))</f>
        <v>986.4</v>
      </c>
      <c r="R714">
        <f t="shared" si="33"/>
        <v>887.76</v>
      </c>
      <c r="S714">
        <f>IF(VentesMagasins!$K714=1,(-1)*R714,R714)</f>
        <v>887.76</v>
      </c>
      <c r="T714">
        <f>IFERROR(VALUE(TRIM(SUBSTITUTE(VentesMagasins!$L714,".",","))),0)</f>
        <v>1</v>
      </c>
      <c r="U714">
        <f t="shared" si="34"/>
        <v>1</v>
      </c>
      <c r="V714" t="str">
        <f t="shared" si="35"/>
        <v>faible</v>
      </c>
      <c r="W714" t="str">
        <f>_xlfn.XLOOKUP(VentesMagasins!$B714,Clients!ClientID,Région)</f>
        <v>Nord</v>
      </c>
      <c r="X714" t="str">
        <f>INDEX(TypeClient,MATCH(VentesMagasins!$B714,Clients!ClientID))</f>
        <v>Nouveau</v>
      </c>
      <c r="Y714" t="str">
        <v>sept</v>
      </c>
    </row>
    <row r="715" spans="1:25" x14ac:dyDescent="0.25">
      <c r="A715" s="2">
        <v>714</v>
      </c>
      <c r="B715" s="12" t="s">
        <v>105</v>
      </c>
      <c r="C715" s="13">
        <v>45964</v>
      </c>
      <c r="D715" s="12" t="s">
        <v>360</v>
      </c>
      <c r="E715" s="14" t="s">
        <v>345</v>
      </c>
      <c r="F715" s="12" t="s">
        <v>324</v>
      </c>
      <c r="G715" s="2">
        <v>1</v>
      </c>
      <c r="H715" s="3">
        <v>99</v>
      </c>
      <c r="I715" s="14" t="s">
        <v>325</v>
      </c>
      <c r="J715" s="12" t="s">
        <v>1001</v>
      </c>
      <c r="K715" s="2">
        <v>1</v>
      </c>
      <c r="L715" s="12" t="s">
        <v>327</v>
      </c>
      <c r="M715">
        <f>YEAR(VentesMagasins!$C715)</f>
        <v>2025</v>
      </c>
      <c r="N715" t="e" cm="1" vm="1">
        <f t="array" aca="1" ref="N715" ca="1">MONTH(DateVente)</f>
        <v>#VALUE!</v>
      </c>
      <c r="O715" t="str">
        <f>PROPER(VentesMagasins!$F715)</f>
        <v>Électronique</v>
      </c>
      <c r="P715">
        <f>VALUE(CLEAN(TRIM(SUBSTITUTE(VentesMagasins!$I715,".",","))))</f>
        <v>0.15</v>
      </c>
      <c r="Q715">
        <f>VALUE(TRIM(SUBSTITUTE(VentesMagasins!$J715,".",",")))</f>
        <v>84.149999999999906</v>
      </c>
      <c r="R715">
        <f t="shared" si="33"/>
        <v>71.527499999999918</v>
      </c>
      <c r="S715">
        <f>IF(VentesMagasins!$K715=1,(-1)*R715,R715)</f>
        <v>-71.527499999999918</v>
      </c>
      <c r="T715">
        <f>IFERROR(VALUE(TRIM(SUBSTITUTE(VentesMagasins!$L715,".",","))),0)</f>
        <v>5</v>
      </c>
      <c r="U715">
        <f t="shared" si="34"/>
        <v>5</v>
      </c>
      <c r="V715" t="str">
        <f t="shared" si="35"/>
        <v>élévé</v>
      </c>
      <c r="W715" t="str">
        <f>_xlfn.XLOOKUP(VentesMagasins!$B715,Clients!ClientID,Région)</f>
        <v>Centre</v>
      </c>
      <c r="X715" t="str">
        <f>INDEX(TypeClient,MATCH(VentesMagasins!$B715,Clients!ClientID))</f>
        <v>Nouveau</v>
      </c>
      <c r="Y715" t="str">
        <v>nov</v>
      </c>
    </row>
    <row r="716" spans="1:25" x14ac:dyDescent="0.25">
      <c r="A716" s="2">
        <v>715</v>
      </c>
      <c r="B716" s="12" t="s">
        <v>221</v>
      </c>
      <c r="C716" s="13">
        <v>45031</v>
      </c>
      <c r="D716" s="12" t="s">
        <v>338</v>
      </c>
      <c r="E716" s="14" t="s">
        <v>362</v>
      </c>
      <c r="F716" s="12" t="s">
        <v>330</v>
      </c>
      <c r="G716" s="2">
        <v>2</v>
      </c>
      <c r="H716" s="3">
        <v>31</v>
      </c>
      <c r="I716" s="14" t="s">
        <v>342</v>
      </c>
      <c r="J716" s="12" t="s">
        <v>1002</v>
      </c>
      <c r="K716" s="2">
        <v>0</v>
      </c>
      <c r="L716" s="12" t="s">
        <v>352</v>
      </c>
      <c r="M716">
        <f>YEAR(VentesMagasins!$C716)</f>
        <v>2023</v>
      </c>
      <c r="N716" t="e" cm="1" vm="1">
        <f t="array" aca="1" ref="N716" ca="1">MONTH(DateVente)</f>
        <v>#VALUE!</v>
      </c>
      <c r="O716" t="str">
        <f>PROPER(VentesMagasins!$F716)</f>
        <v>Décoration</v>
      </c>
      <c r="P716">
        <f>VALUE(CLEAN(TRIM(SUBSTITUTE(VentesMagasins!$I716,".",","))))</f>
        <v>0.05</v>
      </c>
      <c r="Q716">
        <f>VALUE(TRIM(SUBSTITUTE(VentesMagasins!$J716,".",",")))</f>
        <v>58.9</v>
      </c>
      <c r="R716">
        <f t="shared" si="33"/>
        <v>55.954999999999998</v>
      </c>
      <c r="S716">
        <f>IF(VentesMagasins!$K716=1,(-1)*R716,R716)</f>
        <v>55.954999999999998</v>
      </c>
      <c r="T716">
        <f>IFERROR(VALUE(TRIM(SUBSTITUTE(VentesMagasins!$L716,".",","))),0)</f>
        <v>0</v>
      </c>
      <c r="U716">
        <f t="shared" si="34"/>
        <v>3</v>
      </c>
      <c r="V716" t="str">
        <f t="shared" si="35"/>
        <v>moyenne</v>
      </c>
      <c r="W716" t="str">
        <f>_xlfn.XLOOKUP(VentesMagasins!$B716,Clients!ClientID,Région)</f>
        <v>Sud</v>
      </c>
      <c r="X716" t="str">
        <f>INDEX(TypeClient,MATCH(VentesMagasins!$B716,Clients!ClientID))</f>
        <v>Occasionnel</v>
      </c>
      <c r="Y716" t="str">
        <v>avr</v>
      </c>
    </row>
    <row r="717" spans="1:25" x14ac:dyDescent="0.25">
      <c r="A717" s="2">
        <v>716</v>
      </c>
      <c r="B717" s="12" t="s">
        <v>41</v>
      </c>
      <c r="C717" s="13">
        <v>45213</v>
      </c>
      <c r="D717" s="12" t="s">
        <v>338</v>
      </c>
      <c r="E717" s="14" t="s">
        <v>364</v>
      </c>
      <c r="F717" s="12" t="s">
        <v>324</v>
      </c>
      <c r="G717" s="2">
        <v>3</v>
      </c>
      <c r="H717" s="3">
        <v>332</v>
      </c>
      <c r="I717" s="14" t="s">
        <v>325</v>
      </c>
      <c r="J717" s="12" t="s">
        <v>1003</v>
      </c>
      <c r="K717" s="2">
        <v>1</v>
      </c>
      <c r="L717" s="12" t="s">
        <v>344</v>
      </c>
      <c r="M717">
        <f>YEAR(VentesMagasins!$C717)</f>
        <v>2023</v>
      </c>
      <c r="N717" t="e" cm="1" vm="1">
        <f t="array" aca="1" ref="N717" ca="1">MONTH(DateVente)</f>
        <v>#VALUE!</v>
      </c>
      <c r="O717" t="str">
        <f>PROPER(VentesMagasins!$F717)</f>
        <v>Électronique</v>
      </c>
      <c r="P717">
        <f>VALUE(CLEAN(TRIM(SUBSTITUTE(VentesMagasins!$I717,".",","))))</f>
        <v>0.15</v>
      </c>
      <c r="Q717">
        <f>VALUE(TRIM(SUBSTITUTE(VentesMagasins!$J717,".",",")))</f>
        <v>846.6</v>
      </c>
      <c r="R717">
        <f t="shared" si="33"/>
        <v>719.61</v>
      </c>
      <c r="S717">
        <f>IF(VentesMagasins!$K717=1,(-1)*R717,R717)</f>
        <v>-719.61</v>
      </c>
      <c r="T717">
        <f>IFERROR(VALUE(TRIM(SUBSTITUTE(VentesMagasins!$L717,".",","))),0)</f>
        <v>2</v>
      </c>
      <c r="U717">
        <f t="shared" si="34"/>
        <v>2</v>
      </c>
      <c r="V717" t="str">
        <f t="shared" si="35"/>
        <v>faible</v>
      </c>
      <c r="W717" t="str">
        <f>_xlfn.XLOOKUP(VentesMagasins!$B717,Clients!ClientID,Région)</f>
        <v>Centre</v>
      </c>
      <c r="X717" t="str">
        <f>INDEX(TypeClient,MATCH(VentesMagasins!$B717,Clients!ClientID))</f>
        <v>Nouveau</v>
      </c>
      <c r="Y717" t="str">
        <v>oct</v>
      </c>
    </row>
    <row r="718" spans="1:25" x14ac:dyDescent="0.25">
      <c r="A718" s="2">
        <v>717</v>
      </c>
      <c r="B718" s="12" t="s">
        <v>61</v>
      </c>
      <c r="C718" s="13">
        <v>45697</v>
      </c>
      <c r="D718" s="12" t="s">
        <v>338</v>
      </c>
      <c r="E718" s="14" t="s">
        <v>339</v>
      </c>
      <c r="F718" s="12" t="s">
        <v>330</v>
      </c>
      <c r="G718" s="2">
        <v>4</v>
      </c>
      <c r="H718" s="3">
        <v>53</v>
      </c>
      <c r="I718" s="14" t="s">
        <v>342</v>
      </c>
      <c r="J718" s="12" t="s">
        <v>1004</v>
      </c>
      <c r="K718" s="2">
        <v>0</v>
      </c>
      <c r="L718" s="12" t="s">
        <v>344</v>
      </c>
      <c r="M718">
        <f>YEAR(VentesMagasins!$C718)</f>
        <v>2025</v>
      </c>
      <c r="N718" t="e" cm="1" vm="1">
        <f t="array" aca="1" ref="N718" ca="1">MONTH(DateVente)</f>
        <v>#VALUE!</v>
      </c>
      <c r="O718" t="str">
        <f>PROPER(VentesMagasins!$F718)</f>
        <v>Décoration</v>
      </c>
      <c r="P718">
        <f>VALUE(CLEAN(TRIM(SUBSTITUTE(VentesMagasins!$I718,".",","))))</f>
        <v>0.05</v>
      </c>
      <c r="Q718">
        <f>VALUE(TRIM(SUBSTITUTE(VentesMagasins!$J718,".",",")))</f>
        <v>201.39999999999901</v>
      </c>
      <c r="R718">
        <f t="shared" si="33"/>
        <v>191.32999999999905</v>
      </c>
      <c r="S718">
        <f>IF(VentesMagasins!$K718=1,(-1)*R718,R718)</f>
        <v>191.32999999999905</v>
      </c>
      <c r="T718">
        <f>IFERROR(VALUE(TRIM(SUBSTITUTE(VentesMagasins!$L718,".",","))),0)</f>
        <v>2</v>
      </c>
      <c r="U718">
        <f t="shared" si="34"/>
        <v>2</v>
      </c>
      <c r="V718" t="str">
        <f t="shared" si="35"/>
        <v>faible</v>
      </c>
      <c r="W718" t="str">
        <f>_xlfn.XLOOKUP(VentesMagasins!$B718,Clients!ClientID,Région)</f>
        <v>Nord</v>
      </c>
      <c r="X718" t="str">
        <f>INDEX(TypeClient,MATCH(VentesMagasins!$B718,Clients!ClientID))</f>
        <v>Fidèle</v>
      </c>
      <c r="Y718" t="str">
        <v>févr</v>
      </c>
    </row>
    <row r="719" spans="1:25" x14ac:dyDescent="0.25">
      <c r="A719" s="2">
        <v>718</v>
      </c>
      <c r="B719" s="12" t="s">
        <v>145</v>
      </c>
      <c r="C719" s="13">
        <v>45046</v>
      </c>
      <c r="D719" s="12" t="s">
        <v>333</v>
      </c>
      <c r="E719" s="14" t="s">
        <v>348</v>
      </c>
      <c r="F719" s="12" t="s">
        <v>341</v>
      </c>
      <c r="G719" s="2">
        <v>2</v>
      </c>
      <c r="H719" s="3">
        <v>162</v>
      </c>
      <c r="I719" s="14" t="s">
        <v>335</v>
      </c>
      <c r="J719" s="12" t="s">
        <v>1005</v>
      </c>
      <c r="K719" s="2">
        <v>0</v>
      </c>
      <c r="L719" s="12" t="s">
        <v>337</v>
      </c>
      <c r="M719">
        <f>YEAR(VentesMagasins!$C719)</f>
        <v>2023</v>
      </c>
      <c r="N719" t="e" cm="1" vm="1">
        <f t="array" aca="1" ref="N719" ca="1">MONTH(DateVente)</f>
        <v>#VALUE!</v>
      </c>
      <c r="O719" t="str">
        <f>PROPER(VentesMagasins!$F719)</f>
        <v>Meuble</v>
      </c>
      <c r="P719">
        <f>VALUE(CLEAN(TRIM(SUBSTITUTE(VentesMagasins!$I719,".",","))))</f>
        <v>0</v>
      </c>
      <c r="Q719">
        <f>VALUE(TRIM(SUBSTITUTE(VentesMagasins!$J719,".",",")))</f>
        <v>324</v>
      </c>
      <c r="R719">
        <f t="shared" si="33"/>
        <v>324</v>
      </c>
      <c r="S719">
        <f>IF(VentesMagasins!$K719=1,(-1)*R719,R719)</f>
        <v>324</v>
      </c>
      <c r="T719">
        <f>IFERROR(VALUE(TRIM(SUBSTITUTE(VentesMagasins!$L719,".",","))),0)</f>
        <v>3</v>
      </c>
      <c r="U719">
        <f t="shared" si="34"/>
        <v>3</v>
      </c>
      <c r="V719" t="str">
        <f t="shared" si="35"/>
        <v>moyenne</v>
      </c>
      <c r="W719" t="str">
        <f>_xlfn.XLOOKUP(VentesMagasins!$B719,Clients!ClientID,Région)</f>
        <v>Ouest</v>
      </c>
      <c r="X719" t="str">
        <f>INDEX(TypeClient,MATCH(VentesMagasins!$B719,Clients!ClientID))</f>
        <v>Fidèle</v>
      </c>
      <c r="Y719" t="str">
        <v>avr</v>
      </c>
    </row>
    <row r="720" spans="1:25" x14ac:dyDescent="0.25">
      <c r="A720" s="2">
        <v>719</v>
      </c>
      <c r="B720" s="12" t="s">
        <v>59</v>
      </c>
      <c r="C720" s="13">
        <v>45125</v>
      </c>
      <c r="D720" s="12" t="s">
        <v>350</v>
      </c>
      <c r="E720" s="14" t="s">
        <v>345</v>
      </c>
      <c r="F720" s="12" t="s">
        <v>330</v>
      </c>
      <c r="G720" s="2">
        <v>3</v>
      </c>
      <c r="H720" s="3">
        <v>225</v>
      </c>
      <c r="I720" s="14" t="s">
        <v>355</v>
      </c>
      <c r="J720" s="12" t="s">
        <v>1006</v>
      </c>
      <c r="K720" s="2">
        <v>0</v>
      </c>
      <c r="L720" s="12" t="s">
        <v>352</v>
      </c>
      <c r="M720">
        <f>YEAR(VentesMagasins!$C720)</f>
        <v>2023</v>
      </c>
      <c r="N720" t="e" cm="1" vm="1">
        <f t="array" aca="1" ref="N720" ca="1">MONTH(DateVente)</f>
        <v>#VALUE!</v>
      </c>
      <c r="O720" t="str">
        <f>PROPER(VentesMagasins!$F720)</f>
        <v>Décoration</v>
      </c>
      <c r="P720">
        <f>VALUE(CLEAN(TRIM(SUBSTITUTE(VentesMagasins!$I720,".",","))))</f>
        <v>0.1</v>
      </c>
      <c r="Q720">
        <f>VALUE(TRIM(SUBSTITUTE(VentesMagasins!$J720,".",",")))</f>
        <v>607.5</v>
      </c>
      <c r="R720">
        <f t="shared" si="33"/>
        <v>546.75</v>
      </c>
      <c r="S720">
        <f>IF(VentesMagasins!$K720=1,(-1)*R720,R720)</f>
        <v>546.75</v>
      </c>
      <c r="T720">
        <f>IFERROR(VALUE(TRIM(SUBSTITUTE(VentesMagasins!$L720,".",","))),0)</f>
        <v>0</v>
      </c>
      <c r="U720">
        <f t="shared" si="34"/>
        <v>3</v>
      </c>
      <c r="V720" t="str">
        <f t="shared" si="35"/>
        <v>moyenne</v>
      </c>
      <c r="W720" t="str">
        <f>_xlfn.XLOOKUP(VentesMagasins!$B720,Clients!ClientID,Région)</f>
        <v>Sud</v>
      </c>
      <c r="X720" t="str">
        <f>INDEX(TypeClient,MATCH(VentesMagasins!$B720,Clients!ClientID))</f>
        <v>Occasionnel</v>
      </c>
      <c r="Y720" t="str">
        <v>juil</v>
      </c>
    </row>
    <row r="721" spans="1:25" x14ac:dyDescent="0.25">
      <c r="A721" s="2">
        <v>720</v>
      </c>
      <c r="B721" s="12" t="s">
        <v>303</v>
      </c>
      <c r="C721" s="13">
        <v>45727</v>
      </c>
      <c r="D721" s="12" t="s">
        <v>328</v>
      </c>
      <c r="E721" s="14" t="s">
        <v>334</v>
      </c>
      <c r="F721" s="12" t="s">
        <v>341</v>
      </c>
      <c r="G721" s="2">
        <v>1</v>
      </c>
      <c r="H721" s="3">
        <v>70</v>
      </c>
      <c r="I721" s="14" t="s">
        <v>342</v>
      </c>
      <c r="J721" s="12" t="s">
        <v>1007</v>
      </c>
      <c r="K721" s="2">
        <v>0</v>
      </c>
      <c r="L721" s="12" t="s">
        <v>332</v>
      </c>
      <c r="M721">
        <f>YEAR(VentesMagasins!$C721)</f>
        <v>2025</v>
      </c>
      <c r="N721" t="e" cm="1" vm="1">
        <f t="array" aca="1" ref="N721" ca="1">MONTH(DateVente)</f>
        <v>#VALUE!</v>
      </c>
      <c r="O721" t="str">
        <f>PROPER(VentesMagasins!$F721)</f>
        <v>Meuble</v>
      </c>
      <c r="P721">
        <f>VALUE(CLEAN(TRIM(SUBSTITUTE(VentesMagasins!$I721,".",","))))</f>
        <v>0.05</v>
      </c>
      <c r="Q721">
        <f>VALUE(TRIM(SUBSTITUTE(VentesMagasins!$J721,".",",")))</f>
        <v>66.5</v>
      </c>
      <c r="R721">
        <f t="shared" si="33"/>
        <v>63.174999999999997</v>
      </c>
      <c r="S721">
        <f>IF(VentesMagasins!$K721=1,(-1)*R721,R721)</f>
        <v>63.174999999999997</v>
      </c>
      <c r="T721">
        <f>IFERROR(VALUE(TRIM(SUBSTITUTE(VentesMagasins!$L721,".",","))),0)</f>
        <v>4</v>
      </c>
      <c r="U721">
        <f t="shared" si="34"/>
        <v>4</v>
      </c>
      <c r="V721" t="str">
        <f t="shared" si="35"/>
        <v>moyenne</v>
      </c>
      <c r="W721" t="str">
        <f>_xlfn.XLOOKUP(VentesMagasins!$B721,Clients!ClientID,Région)</f>
        <v>Est</v>
      </c>
      <c r="X721" t="str">
        <f>INDEX(TypeClient,MATCH(VentesMagasins!$B721,Clients!ClientID))</f>
        <v>Fidèle</v>
      </c>
      <c r="Y721" t="str">
        <v>mars</v>
      </c>
    </row>
    <row r="722" spans="1:25" x14ac:dyDescent="0.25">
      <c r="A722" s="2">
        <v>721</v>
      </c>
      <c r="B722" s="12" t="s">
        <v>81</v>
      </c>
      <c r="C722" s="13">
        <v>45277</v>
      </c>
      <c r="D722" s="12" t="s">
        <v>333</v>
      </c>
      <c r="E722" s="14" t="s">
        <v>364</v>
      </c>
      <c r="F722" s="12" t="s">
        <v>330</v>
      </c>
      <c r="G722" s="2">
        <v>2</v>
      </c>
      <c r="H722" s="3">
        <v>202</v>
      </c>
      <c r="I722" s="14" t="s">
        <v>335</v>
      </c>
      <c r="J722" s="12" t="s">
        <v>1008</v>
      </c>
      <c r="K722" s="2">
        <v>0</v>
      </c>
      <c r="L722" s="12" t="s">
        <v>344</v>
      </c>
      <c r="M722">
        <f>YEAR(VentesMagasins!$C722)</f>
        <v>2023</v>
      </c>
      <c r="N722" t="e" cm="1" vm="1">
        <f t="array" aca="1" ref="N722" ca="1">MONTH(DateVente)</f>
        <v>#VALUE!</v>
      </c>
      <c r="O722" t="str">
        <f>PROPER(VentesMagasins!$F722)</f>
        <v>Décoration</v>
      </c>
      <c r="P722">
        <f>VALUE(CLEAN(TRIM(SUBSTITUTE(VentesMagasins!$I722,".",","))))</f>
        <v>0</v>
      </c>
      <c r="Q722">
        <f>VALUE(TRIM(SUBSTITUTE(VentesMagasins!$J722,".",",")))</f>
        <v>404</v>
      </c>
      <c r="R722">
        <f t="shared" si="33"/>
        <v>404</v>
      </c>
      <c r="S722">
        <f>IF(VentesMagasins!$K722=1,(-1)*R722,R722)</f>
        <v>404</v>
      </c>
      <c r="T722">
        <f>IFERROR(VALUE(TRIM(SUBSTITUTE(VentesMagasins!$L722,".",","))),0)</f>
        <v>2</v>
      </c>
      <c r="U722">
        <f t="shared" si="34"/>
        <v>2</v>
      </c>
      <c r="V722" t="str">
        <f t="shared" si="35"/>
        <v>faible</v>
      </c>
      <c r="W722" t="str">
        <f>_xlfn.XLOOKUP(VentesMagasins!$B722,Clients!ClientID,Région)</f>
        <v>Sud</v>
      </c>
      <c r="X722" t="str">
        <f>INDEX(TypeClient,MATCH(VentesMagasins!$B722,Clients!ClientID))</f>
        <v>Nouveau</v>
      </c>
      <c r="Y722" t="str">
        <v>déc</v>
      </c>
    </row>
    <row r="723" spans="1:25" x14ac:dyDescent="0.25">
      <c r="A723" s="2">
        <v>722</v>
      </c>
      <c r="B723" s="12" t="s">
        <v>305</v>
      </c>
      <c r="C723" s="13">
        <v>45936</v>
      </c>
      <c r="D723" s="12" t="s">
        <v>322</v>
      </c>
      <c r="E723" s="14" t="s">
        <v>362</v>
      </c>
      <c r="F723" s="12" t="s">
        <v>341</v>
      </c>
      <c r="G723" s="2">
        <v>1</v>
      </c>
      <c r="H723" s="3">
        <v>368</v>
      </c>
      <c r="I723" s="14" t="s">
        <v>325</v>
      </c>
      <c r="J723" s="12" t="s">
        <v>1009</v>
      </c>
      <c r="K723" s="2">
        <v>0</v>
      </c>
      <c r="L723" s="12" t="s">
        <v>327</v>
      </c>
      <c r="M723">
        <f>YEAR(VentesMagasins!$C723)</f>
        <v>2025</v>
      </c>
      <c r="N723" t="e" cm="1" vm="1">
        <f t="array" aca="1" ref="N723" ca="1">MONTH(DateVente)</f>
        <v>#VALUE!</v>
      </c>
      <c r="O723" t="str">
        <f>PROPER(VentesMagasins!$F723)</f>
        <v>Meuble</v>
      </c>
      <c r="P723">
        <f>VALUE(CLEAN(TRIM(SUBSTITUTE(VentesMagasins!$I723,".",","))))</f>
        <v>0.15</v>
      </c>
      <c r="Q723">
        <f>VALUE(TRIM(SUBSTITUTE(VentesMagasins!$J723,".",",")))</f>
        <v>281.52</v>
      </c>
      <c r="R723">
        <f t="shared" si="33"/>
        <v>239.29199999999997</v>
      </c>
      <c r="S723">
        <f>IF(VentesMagasins!$K723=1,(-1)*R723,R723)</f>
        <v>239.29199999999997</v>
      </c>
      <c r="T723">
        <f>IFERROR(VALUE(TRIM(SUBSTITUTE(VentesMagasins!$L723,".",","))),0)</f>
        <v>5</v>
      </c>
      <c r="U723">
        <f t="shared" si="34"/>
        <v>5</v>
      </c>
      <c r="V723" t="str">
        <f t="shared" si="35"/>
        <v>élévé</v>
      </c>
      <c r="W723" t="str">
        <f>_xlfn.XLOOKUP(VentesMagasins!$B723,Clients!ClientID,Région)</f>
        <v>Est</v>
      </c>
      <c r="X723" t="str">
        <f>INDEX(TypeClient,MATCH(VentesMagasins!$B723,Clients!ClientID))</f>
        <v>Fidèle</v>
      </c>
      <c r="Y723" t="str">
        <v>oct</v>
      </c>
    </row>
    <row r="724" spans="1:25" x14ac:dyDescent="0.25">
      <c r="A724" s="2">
        <v>723</v>
      </c>
      <c r="B724" s="12" t="s">
        <v>92</v>
      </c>
      <c r="C724" s="13">
        <v>45555</v>
      </c>
      <c r="D724" s="12" t="s">
        <v>449</v>
      </c>
      <c r="E724" s="14" t="s">
        <v>323</v>
      </c>
      <c r="F724" s="12" t="s">
        <v>324</v>
      </c>
      <c r="G724" s="2">
        <v>4</v>
      </c>
      <c r="H724" s="3">
        <v>235</v>
      </c>
      <c r="I724" s="14" t="s">
        <v>325</v>
      </c>
      <c r="J724" s="12" t="s">
        <v>1010</v>
      </c>
      <c r="K724" s="2">
        <v>0</v>
      </c>
      <c r="L724" s="12" t="s">
        <v>344</v>
      </c>
      <c r="M724">
        <f>YEAR(VentesMagasins!$C724)</f>
        <v>2024</v>
      </c>
      <c r="N724" t="e" cm="1" vm="1">
        <f t="array" aca="1" ref="N724" ca="1">MONTH(DateVente)</f>
        <v>#VALUE!</v>
      </c>
      <c r="O724" t="str">
        <f>PROPER(VentesMagasins!$F724)</f>
        <v>Électronique</v>
      </c>
      <c r="P724">
        <f>VALUE(CLEAN(TRIM(SUBSTITUTE(VentesMagasins!$I724,".",","))))</f>
        <v>0.15</v>
      </c>
      <c r="Q724">
        <f>VALUE(TRIM(SUBSTITUTE(VentesMagasins!$J724,".",",")))</f>
        <v>799</v>
      </c>
      <c r="R724">
        <f t="shared" si="33"/>
        <v>679.15</v>
      </c>
      <c r="S724">
        <f>IF(VentesMagasins!$K724=1,(-1)*R724,R724)</f>
        <v>679.15</v>
      </c>
      <c r="T724">
        <f>IFERROR(VALUE(TRIM(SUBSTITUTE(VentesMagasins!$L724,".",","))),0)</f>
        <v>2</v>
      </c>
      <c r="U724">
        <f t="shared" si="34"/>
        <v>2</v>
      </c>
      <c r="V724" t="str">
        <f t="shared" si="35"/>
        <v>faible</v>
      </c>
      <c r="W724" t="str">
        <f>_xlfn.XLOOKUP(VentesMagasins!$B724,Clients!ClientID,Région)</f>
        <v>Centre</v>
      </c>
      <c r="X724" t="str">
        <f>INDEX(TypeClient,MATCH(VentesMagasins!$B724,Clients!ClientID))</f>
        <v>Fidèle</v>
      </c>
      <c r="Y724" t="str">
        <v>sept</v>
      </c>
    </row>
    <row r="725" spans="1:25" x14ac:dyDescent="0.25">
      <c r="A725" s="2">
        <v>724</v>
      </c>
      <c r="B725" s="12" t="s">
        <v>303</v>
      </c>
      <c r="C725" s="13">
        <v>44985</v>
      </c>
      <c r="D725" s="12" t="s">
        <v>350</v>
      </c>
      <c r="E725" s="14" t="s">
        <v>364</v>
      </c>
      <c r="F725" s="12" t="s">
        <v>324</v>
      </c>
      <c r="G725" s="2">
        <v>4</v>
      </c>
      <c r="H725" s="3">
        <v>490</v>
      </c>
      <c r="I725" s="14" t="s">
        <v>335</v>
      </c>
      <c r="J725" s="12" t="s">
        <v>1011</v>
      </c>
      <c r="K725" s="2">
        <v>0</v>
      </c>
      <c r="L725" s="12" t="s">
        <v>369</v>
      </c>
      <c r="M725">
        <f>YEAR(VentesMagasins!$C725)</f>
        <v>2023</v>
      </c>
      <c r="N725" t="e" cm="1" vm="1">
        <f t="array" aca="1" ref="N725" ca="1">MONTH(DateVente)</f>
        <v>#VALUE!</v>
      </c>
      <c r="O725" t="str">
        <f>PROPER(VentesMagasins!$F725)</f>
        <v>Électronique</v>
      </c>
      <c r="P725">
        <f>VALUE(CLEAN(TRIM(SUBSTITUTE(VentesMagasins!$I725,".",","))))</f>
        <v>0</v>
      </c>
      <c r="Q725">
        <f>VALUE(TRIM(SUBSTITUTE(VentesMagasins!$J725,".",",")))</f>
        <v>1960</v>
      </c>
      <c r="R725">
        <f t="shared" si="33"/>
        <v>1960</v>
      </c>
      <c r="S725">
        <f>IF(VentesMagasins!$K725=1,(-1)*R725,R725)</f>
        <v>1960</v>
      </c>
      <c r="T725">
        <f>IFERROR(VALUE(TRIM(SUBSTITUTE(VentesMagasins!$L725,".",","))),0)</f>
        <v>1</v>
      </c>
      <c r="U725">
        <f t="shared" si="34"/>
        <v>1</v>
      </c>
      <c r="V725" t="str">
        <f t="shared" si="35"/>
        <v>faible</v>
      </c>
      <c r="W725" t="str">
        <f>_xlfn.XLOOKUP(VentesMagasins!$B725,Clients!ClientID,Région)</f>
        <v>Est</v>
      </c>
      <c r="X725" t="str">
        <f>INDEX(TypeClient,MATCH(VentesMagasins!$B725,Clients!ClientID))</f>
        <v>Fidèle</v>
      </c>
      <c r="Y725" t="str">
        <v>févr</v>
      </c>
    </row>
    <row r="726" spans="1:25" x14ac:dyDescent="0.25">
      <c r="A726" s="2">
        <v>725</v>
      </c>
      <c r="B726" s="12" t="s">
        <v>240</v>
      </c>
      <c r="C726" s="13">
        <v>45950</v>
      </c>
      <c r="D726" s="12" t="s">
        <v>328</v>
      </c>
      <c r="E726" s="14" t="s">
        <v>364</v>
      </c>
      <c r="F726" s="12" t="s">
        <v>330</v>
      </c>
      <c r="G726" s="2">
        <v>3</v>
      </c>
      <c r="H726" s="3">
        <v>95</v>
      </c>
      <c r="I726" s="14" t="s">
        <v>355</v>
      </c>
      <c r="J726" s="12" t="s">
        <v>475</v>
      </c>
      <c r="K726" s="2">
        <v>1</v>
      </c>
      <c r="L726" s="12" t="s">
        <v>337</v>
      </c>
      <c r="M726">
        <f>YEAR(VentesMagasins!$C726)</f>
        <v>2025</v>
      </c>
      <c r="N726" t="e" cm="1" vm="1">
        <f t="array" aca="1" ref="N726" ca="1">MONTH(DateVente)</f>
        <v>#VALUE!</v>
      </c>
      <c r="O726" t="str">
        <f>PROPER(VentesMagasins!$F726)</f>
        <v>Décoration</v>
      </c>
      <c r="P726">
        <f>VALUE(CLEAN(TRIM(SUBSTITUTE(VentesMagasins!$I726,".",","))))</f>
        <v>0.1</v>
      </c>
      <c r="Q726">
        <f>VALUE(TRIM(SUBSTITUTE(VentesMagasins!$J726,".",",")))</f>
        <v>256.5</v>
      </c>
      <c r="R726">
        <f t="shared" si="33"/>
        <v>230.85</v>
      </c>
      <c r="S726">
        <f>IF(VentesMagasins!$K726=1,(-1)*R726,R726)</f>
        <v>-230.85</v>
      </c>
      <c r="T726">
        <f>IFERROR(VALUE(TRIM(SUBSTITUTE(VentesMagasins!$L726,".",","))),0)</f>
        <v>3</v>
      </c>
      <c r="U726">
        <f t="shared" si="34"/>
        <v>3</v>
      </c>
      <c r="V726" t="str">
        <f t="shared" si="35"/>
        <v>moyenne</v>
      </c>
      <c r="W726" t="str">
        <f>_xlfn.XLOOKUP(VentesMagasins!$B726,Clients!ClientID,Région)</f>
        <v>Est</v>
      </c>
      <c r="X726" t="str">
        <f>INDEX(TypeClient,MATCH(VentesMagasins!$B726,Clients!ClientID))</f>
        <v>Nouveau</v>
      </c>
      <c r="Y726" t="str">
        <v>oct</v>
      </c>
    </row>
    <row r="727" spans="1:25" x14ac:dyDescent="0.25">
      <c r="A727" s="2">
        <v>726</v>
      </c>
      <c r="B727" s="12" t="s">
        <v>238</v>
      </c>
      <c r="C727" s="13">
        <v>45717</v>
      </c>
      <c r="D727" s="12" t="s">
        <v>322</v>
      </c>
      <c r="E727" s="14" t="s">
        <v>329</v>
      </c>
      <c r="F727" s="12" t="s">
        <v>324</v>
      </c>
      <c r="G727" s="2">
        <v>4</v>
      </c>
      <c r="H727" s="3">
        <v>258</v>
      </c>
      <c r="I727" s="14" t="s">
        <v>355</v>
      </c>
      <c r="J727" s="12" t="s">
        <v>1012</v>
      </c>
      <c r="K727" s="2">
        <v>0</v>
      </c>
      <c r="L727" s="12" t="s">
        <v>337</v>
      </c>
      <c r="M727">
        <f>YEAR(VentesMagasins!$C727)</f>
        <v>2025</v>
      </c>
      <c r="N727" t="e" cm="1" vm="1">
        <f t="array" aca="1" ref="N727" ca="1">MONTH(DateVente)</f>
        <v>#VALUE!</v>
      </c>
      <c r="O727" t="str">
        <f>PROPER(VentesMagasins!$F727)</f>
        <v>Électronique</v>
      </c>
      <c r="P727">
        <f>VALUE(CLEAN(TRIM(SUBSTITUTE(VentesMagasins!$I727,".",","))))</f>
        <v>0.1</v>
      </c>
      <c r="Q727">
        <f>VALUE(TRIM(SUBSTITUTE(VentesMagasins!$J727,".",",")))</f>
        <v>928.8</v>
      </c>
      <c r="R727">
        <f t="shared" si="33"/>
        <v>835.92</v>
      </c>
      <c r="S727">
        <f>IF(VentesMagasins!$K727=1,(-1)*R727,R727)</f>
        <v>835.92</v>
      </c>
      <c r="T727">
        <f>IFERROR(VALUE(TRIM(SUBSTITUTE(VentesMagasins!$L727,".",","))),0)</f>
        <v>3</v>
      </c>
      <c r="U727">
        <f t="shared" si="34"/>
        <v>3</v>
      </c>
      <c r="V727" t="str">
        <f t="shared" si="35"/>
        <v>moyenne</v>
      </c>
      <c r="W727" t="str">
        <f>_xlfn.XLOOKUP(VentesMagasins!$B727,Clients!ClientID,Région)</f>
        <v>Centre</v>
      </c>
      <c r="X727" t="str">
        <f>INDEX(TypeClient,MATCH(VentesMagasins!$B727,Clients!ClientID))</f>
        <v>Occasionnel</v>
      </c>
      <c r="Y727" t="str">
        <v>mars</v>
      </c>
    </row>
    <row r="728" spans="1:25" x14ac:dyDescent="0.25">
      <c r="A728" s="2">
        <v>727</v>
      </c>
      <c r="B728" s="12" t="s">
        <v>102</v>
      </c>
      <c r="C728" s="13">
        <v>45419</v>
      </c>
      <c r="D728" s="12" t="s">
        <v>338</v>
      </c>
      <c r="E728" s="14" t="s">
        <v>345</v>
      </c>
      <c r="F728" s="12" t="s">
        <v>341</v>
      </c>
      <c r="G728" s="2">
        <v>4</v>
      </c>
      <c r="H728" s="3">
        <v>110</v>
      </c>
      <c r="I728" s="14" t="s">
        <v>335</v>
      </c>
      <c r="J728" s="12" t="s">
        <v>1013</v>
      </c>
      <c r="K728" s="2">
        <v>0</v>
      </c>
      <c r="L728" s="12" t="s">
        <v>332</v>
      </c>
      <c r="M728">
        <f>YEAR(VentesMagasins!$C728)</f>
        <v>2024</v>
      </c>
      <c r="N728" t="e" cm="1" vm="1">
        <f t="array" aca="1" ref="N728" ca="1">MONTH(DateVente)</f>
        <v>#VALUE!</v>
      </c>
      <c r="O728" t="str">
        <f>PROPER(VentesMagasins!$F728)</f>
        <v>Meuble</v>
      </c>
      <c r="P728">
        <f>VALUE(CLEAN(TRIM(SUBSTITUTE(VentesMagasins!$I728,".",","))))</f>
        <v>0</v>
      </c>
      <c r="Q728">
        <f>VALUE(TRIM(SUBSTITUTE(VentesMagasins!$J728,".",",")))</f>
        <v>440</v>
      </c>
      <c r="R728">
        <f t="shared" si="33"/>
        <v>440</v>
      </c>
      <c r="S728">
        <f>IF(VentesMagasins!$K728=1,(-1)*R728,R728)</f>
        <v>440</v>
      </c>
      <c r="T728">
        <f>IFERROR(VALUE(TRIM(SUBSTITUTE(VentesMagasins!$L728,".",","))),0)</f>
        <v>4</v>
      </c>
      <c r="U728">
        <f t="shared" si="34"/>
        <v>4</v>
      </c>
      <c r="V728" t="str">
        <f t="shared" si="35"/>
        <v>moyenne</v>
      </c>
      <c r="W728" t="str">
        <f>_xlfn.XLOOKUP(VentesMagasins!$B728,Clients!ClientID,Région)</f>
        <v>Centre</v>
      </c>
      <c r="X728" t="str">
        <f>INDEX(TypeClient,MATCH(VentesMagasins!$B728,Clients!ClientID))</f>
        <v>Nouveau</v>
      </c>
      <c r="Y728" t="str">
        <v>mai</v>
      </c>
    </row>
    <row r="729" spans="1:25" x14ac:dyDescent="0.25">
      <c r="A729" s="2">
        <v>728</v>
      </c>
      <c r="B729" s="12" t="s">
        <v>262</v>
      </c>
      <c r="C729" s="13">
        <v>45442</v>
      </c>
      <c r="D729" s="12" t="s">
        <v>350</v>
      </c>
      <c r="E729" s="14" t="s">
        <v>339</v>
      </c>
      <c r="F729" s="12" t="s">
        <v>341</v>
      </c>
      <c r="G729" s="2">
        <v>3</v>
      </c>
      <c r="H729" s="3">
        <v>464</v>
      </c>
      <c r="I729" s="14" t="s">
        <v>335</v>
      </c>
      <c r="J729" s="12" t="s">
        <v>1014</v>
      </c>
      <c r="K729" s="2">
        <v>1</v>
      </c>
      <c r="L729" s="12" t="s">
        <v>369</v>
      </c>
      <c r="M729">
        <f>YEAR(VentesMagasins!$C729)</f>
        <v>2024</v>
      </c>
      <c r="N729" t="e" cm="1" vm="1">
        <f t="array" aca="1" ref="N729" ca="1">MONTH(DateVente)</f>
        <v>#VALUE!</v>
      </c>
      <c r="O729" t="str">
        <f>PROPER(VentesMagasins!$F729)</f>
        <v>Meuble</v>
      </c>
      <c r="P729">
        <f>VALUE(CLEAN(TRIM(SUBSTITUTE(VentesMagasins!$I729,".",","))))</f>
        <v>0</v>
      </c>
      <c r="Q729">
        <f>VALUE(TRIM(SUBSTITUTE(VentesMagasins!$J729,".",",")))</f>
        <v>1392</v>
      </c>
      <c r="R729">
        <f t="shared" si="33"/>
        <v>1392</v>
      </c>
      <c r="S729">
        <f>IF(VentesMagasins!$K729=1,(-1)*R729,R729)</f>
        <v>-1392</v>
      </c>
      <c r="T729">
        <f>IFERROR(VALUE(TRIM(SUBSTITUTE(VentesMagasins!$L729,".",","))),0)</f>
        <v>1</v>
      </c>
      <c r="U729">
        <f t="shared" si="34"/>
        <v>1</v>
      </c>
      <c r="V729" t="str">
        <f t="shared" si="35"/>
        <v>faible</v>
      </c>
      <c r="W729" t="str">
        <f>_xlfn.XLOOKUP(VentesMagasins!$B729,Clients!ClientID,Région)</f>
        <v>Nord</v>
      </c>
      <c r="X729" t="str">
        <f>INDEX(TypeClient,MATCH(VentesMagasins!$B729,Clients!ClientID))</f>
        <v>Fidèle</v>
      </c>
      <c r="Y729" t="str">
        <v>mai</v>
      </c>
    </row>
    <row r="730" spans="1:25" x14ac:dyDescent="0.25">
      <c r="A730" s="2">
        <v>729</v>
      </c>
      <c r="B730" s="12" t="s">
        <v>253</v>
      </c>
      <c r="C730" s="13">
        <v>45587</v>
      </c>
      <c r="D730" s="12" t="s">
        <v>350</v>
      </c>
      <c r="E730" s="14" t="s">
        <v>323</v>
      </c>
      <c r="F730" s="12" t="s">
        <v>341</v>
      </c>
      <c r="G730" s="2">
        <v>3</v>
      </c>
      <c r="H730" s="3">
        <v>440</v>
      </c>
      <c r="I730" s="14" t="s">
        <v>355</v>
      </c>
      <c r="J730" s="12" t="s">
        <v>1015</v>
      </c>
      <c r="K730" s="2">
        <v>0</v>
      </c>
      <c r="L730" s="12" t="s">
        <v>332</v>
      </c>
      <c r="M730">
        <f>YEAR(VentesMagasins!$C730)</f>
        <v>2024</v>
      </c>
      <c r="N730" t="e" cm="1" vm="1">
        <f t="array" aca="1" ref="N730" ca="1">MONTH(DateVente)</f>
        <v>#VALUE!</v>
      </c>
      <c r="O730" t="str">
        <f>PROPER(VentesMagasins!$F730)</f>
        <v>Meuble</v>
      </c>
      <c r="P730">
        <f>VALUE(CLEAN(TRIM(SUBSTITUTE(VentesMagasins!$I730,".",","))))</f>
        <v>0.1</v>
      </c>
      <c r="Q730">
        <f>VALUE(TRIM(SUBSTITUTE(VentesMagasins!$J730,".",",")))</f>
        <v>1188</v>
      </c>
      <c r="R730">
        <f t="shared" si="33"/>
        <v>1069.2</v>
      </c>
      <c r="S730">
        <f>IF(VentesMagasins!$K730=1,(-1)*R730,R730)</f>
        <v>1069.2</v>
      </c>
      <c r="T730">
        <f>IFERROR(VALUE(TRIM(SUBSTITUTE(VentesMagasins!$L730,".",","))),0)</f>
        <v>4</v>
      </c>
      <c r="U730">
        <f t="shared" si="34"/>
        <v>4</v>
      </c>
      <c r="V730" t="str">
        <f t="shared" si="35"/>
        <v>moyenne</v>
      </c>
      <c r="W730" t="str">
        <f>_xlfn.XLOOKUP(VentesMagasins!$B730,Clients!ClientID,Région)</f>
        <v>Nord</v>
      </c>
      <c r="X730" t="str">
        <f>INDEX(TypeClient,MATCH(VentesMagasins!$B730,Clients!ClientID))</f>
        <v>Nouveau</v>
      </c>
      <c r="Y730" t="str">
        <v>oct</v>
      </c>
    </row>
    <row r="731" spans="1:25" x14ac:dyDescent="0.25">
      <c r="A731" s="2">
        <v>730</v>
      </c>
      <c r="B731" s="12" t="s">
        <v>124</v>
      </c>
      <c r="C731" s="13">
        <v>45803</v>
      </c>
      <c r="D731" s="12" t="s">
        <v>350</v>
      </c>
      <c r="E731" s="14" t="s">
        <v>348</v>
      </c>
      <c r="F731" s="12" t="s">
        <v>341</v>
      </c>
      <c r="G731" s="2">
        <v>1</v>
      </c>
      <c r="H731" s="3">
        <v>69</v>
      </c>
      <c r="I731" s="14" t="s">
        <v>325</v>
      </c>
      <c r="J731" s="12" t="s">
        <v>986</v>
      </c>
      <c r="K731" s="2">
        <v>0</v>
      </c>
      <c r="L731" s="12" t="s">
        <v>344</v>
      </c>
      <c r="M731">
        <f>YEAR(VentesMagasins!$C731)</f>
        <v>2025</v>
      </c>
      <c r="N731" t="e" cm="1" vm="1">
        <f t="array" aca="1" ref="N731" ca="1">MONTH(DateVente)</f>
        <v>#VALUE!</v>
      </c>
      <c r="O731" t="str">
        <f>PROPER(VentesMagasins!$F731)</f>
        <v>Meuble</v>
      </c>
      <c r="P731">
        <f>VALUE(CLEAN(TRIM(SUBSTITUTE(VentesMagasins!$I731,".",","))))</f>
        <v>0.15</v>
      </c>
      <c r="Q731">
        <f>VALUE(TRIM(SUBSTITUTE(VentesMagasins!$J731,".",",")))</f>
        <v>58.65</v>
      </c>
      <c r="R731">
        <f t="shared" si="33"/>
        <v>49.852499999999999</v>
      </c>
      <c r="S731">
        <f>IF(VentesMagasins!$K731=1,(-1)*R731,R731)</f>
        <v>49.852499999999999</v>
      </c>
      <c r="T731">
        <f>IFERROR(VALUE(TRIM(SUBSTITUTE(VentesMagasins!$L731,".",","))),0)</f>
        <v>2</v>
      </c>
      <c r="U731">
        <f t="shared" si="34"/>
        <v>2</v>
      </c>
      <c r="V731" t="str">
        <f t="shared" si="35"/>
        <v>faible</v>
      </c>
      <c r="W731" t="str">
        <f>_xlfn.XLOOKUP(VentesMagasins!$B731,Clients!ClientID,Région)</f>
        <v>Ouest</v>
      </c>
      <c r="X731" t="str">
        <f>INDEX(TypeClient,MATCH(VentesMagasins!$B731,Clients!ClientID))</f>
        <v>Occasionnel</v>
      </c>
      <c r="Y731" t="str">
        <v>mai</v>
      </c>
    </row>
    <row r="732" spans="1:25" x14ac:dyDescent="0.25">
      <c r="A732" s="2">
        <v>731</v>
      </c>
      <c r="B732" s="12" t="s">
        <v>163</v>
      </c>
      <c r="C732" s="13">
        <v>45575</v>
      </c>
      <c r="D732" s="12" t="s">
        <v>322</v>
      </c>
      <c r="E732" s="14" t="s">
        <v>323</v>
      </c>
      <c r="F732" s="12" t="s">
        <v>324</v>
      </c>
      <c r="G732" s="2">
        <v>2</v>
      </c>
      <c r="H732" s="3">
        <v>365</v>
      </c>
      <c r="I732" s="14" t="s">
        <v>325</v>
      </c>
      <c r="J732" s="12" t="s">
        <v>1016</v>
      </c>
      <c r="K732" s="2">
        <v>1</v>
      </c>
      <c r="L732" s="12" t="s">
        <v>344</v>
      </c>
      <c r="M732">
        <f>YEAR(VentesMagasins!$C732)</f>
        <v>2024</v>
      </c>
      <c r="N732" t="e" cm="1" vm="1">
        <f t="array" aca="1" ref="N732" ca="1">MONTH(DateVente)</f>
        <v>#VALUE!</v>
      </c>
      <c r="O732" t="str">
        <f>PROPER(VentesMagasins!$F732)</f>
        <v>Électronique</v>
      </c>
      <c r="P732">
        <f>VALUE(CLEAN(TRIM(SUBSTITUTE(VentesMagasins!$I732,".",","))))</f>
        <v>0.15</v>
      </c>
      <c r="Q732">
        <f>VALUE(TRIM(SUBSTITUTE(VentesMagasins!$J732,".",",")))</f>
        <v>620.5</v>
      </c>
      <c r="R732">
        <f t="shared" si="33"/>
        <v>527.42499999999995</v>
      </c>
      <c r="S732">
        <f>IF(VentesMagasins!$K732=1,(-1)*R732,R732)</f>
        <v>-527.42499999999995</v>
      </c>
      <c r="T732">
        <f>IFERROR(VALUE(TRIM(SUBSTITUTE(VentesMagasins!$L732,".",","))),0)</f>
        <v>2</v>
      </c>
      <c r="U732">
        <f t="shared" si="34"/>
        <v>2</v>
      </c>
      <c r="V732" t="str">
        <f t="shared" si="35"/>
        <v>faible</v>
      </c>
      <c r="W732" t="str">
        <f>_xlfn.XLOOKUP(VentesMagasins!$B732,Clients!ClientID,Région)</f>
        <v>Nord</v>
      </c>
      <c r="X732" t="str">
        <f>INDEX(TypeClient,MATCH(VentesMagasins!$B732,Clients!ClientID))</f>
        <v>Nouveau</v>
      </c>
      <c r="Y732" t="str">
        <v>oct</v>
      </c>
    </row>
    <row r="733" spans="1:25" x14ac:dyDescent="0.25">
      <c r="A733" s="2">
        <v>732</v>
      </c>
      <c r="B733" s="12" t="s">
        <v>267</v>
      </c>
      <c r="C733" s="13">
        <v>45280</v>
      </c>
      <c r="D733" s="12" t="s">
        <v>328</v>
      </c>
      <c r="E733" s="14" t="s">
        <v>362</v>
      </c>
      <c r="F733" s="12" t="s">
        <v>341</v>
      </c>
      <c r="G733" s="2">
        <v>1</v>
      </c>
      <c r="H733" s="3">
        <v>474</v>
      </c>
      <c r="I733" s="14" t="s">
        <v>342</v>
      </c>
      <c r="J733" s="12" t="s">
        <v>573</v>
      </c>
      <c r="K733" s="2">
        <v>1</v>
      </c>
      <c r="L733" s="12" t="s">
        <v>337</v>
      </c>
      <c r="M733">
        <f>YEAR(VentesMagasins!$C733)</f>
        <v>2023</v>
      </c>
      <c r="N733" t="e" cm="1" vm="1">
        <f t="array" aca="1" ref="N733" ca="1">MONTH(DateVente)</f>
        <v>#VALUE!</v>
      </c>
      <c r="O733" t="str">
        <f>PROPER(VentesMagasins!$F733)</f>
        <v>Meuble</v>
      </c>
      <c r="P733">
        <f>VALUE(CLEAN(TRIM(SUBSTITUTE(VentesMagasins!$I733,".",","))))</f>
        <v>0.05</v>
      </c>
      <c r="Q733">
        <f>VALUE(TRIM(SUBSTITUTE(VentesMagasins!$J733,".",",")))</f>
        <v>450.29999999999899</v>
      </c>
      <c r="R733">
        <f t="shared" si="33"/>
        <v>427.784999999999</v>
      </c>
      <c r="S733">
        <f>IF(VentesMagasins!$K733=1,(-1)*R733,R733)</f>
        <v>-427.784999999999</v>
      </c>
      <c r="T733">
        <f>IFERROR(VALUE(TRIM(SUBSTITUTE(VentesMagasins!$L733,".",","))),0)</f>
        <v>3</v>
      </c>
      <c r="U733">
        <f t="shared" si="34"/>
        <v>3</v>
      </c>
      <c r="V733" t="str">
        <f t="shared" si="35"/>
        <v>moyenne</v>
      </c>
      <c r="W733" t="str">
        <f>_xlfn.XLOOKUP(VentesMagasins!$B733,Clients!ClientID,Région)</f>
        <v>Est</v>
      </c>
      <c r="X733" t="str">
        <f>INDEX(TypeClient,MATCH(VentesMagasins!$B733,Clients!ClientID))</f>
        <v>Nouveau</v>
      </c>
      <c r="Y733" t="str">
        <v>déc</v>
      </c>
    </row>
    <row r="734" spans="1:25" x14ac:dyDescent="0.25">
      <c r="A734" s="2">
        <v>733</v>
      </c>
      <c r="B734" s="12" t="s">
        <v>164</v>
      </c>
      <c r="C734" s="13">
        <v>45085</v>
      </c>
      <c r="D734" s="12" t="s">
        <v>350</v>
      </c>
      <c r="E734" s="14" t="s">
        <v>345</v>
      </c>
      <c r="F734" s="12" t="s">
        <v>324</v>
      </c>
      <c r="G734" s="2">
        <v>3</v>
      </c>
      <c r="H734" s="3">
        <v>187</v>
      </c>
      <c r="I734" s="14" t="s">
        <v>325</v>
      </c>
      <c r="J734" s="12" t="s">
        <v>1017</v>
      </c>
      <c r="K734" s="2">
        <v>0</v>
      </c>
      <c r="L734" s="12" t="s">
        <v>332</v>
      </c>
      <c r="M734">
        <f>YEAR(VentesMagasins!$C734)</f>
        <v>2023</v>
      </c>
      <c r="N734" t="e" cm="1" vm="1">
        <f t="array" aca="1" ref="N734" ca="1">MONTH(DateVente)</f>
        <v>#VALUE!</v>
      </c>
      <c r="O734" t="str">
        <f>PROPER(VentesMagasins!$F734)</f>
        <v>Électronique</v>
      </c>
      <c r="P734">
        <f>VALUE(CLEAN(TRIM(SUBSTITUTE(VentesMagasins!$I734,".",","))))</f>
        <v>0.15</v>
      </c>
      <c r="Q734">
        <f>VALUE(TRIM(SUBSTITUTE(VentesMagasins!$J734,".",",")))</f>
        <v>476.849999999999</v>
      </c>
      <c r="R734">
        <f t="shared" si="33"/>
        <v>405.32249999999914</v>
      </c>
      <c r="S734">
        <f>IF(VentesMagasins!$K734=1,(-1)*R734,R734)</f>
        <v>405.32249999999914</v>
      </c>
      <c r="T734">
        <f>IFERROR(VALUE(TRIM(SUBSTITUTE(VentesMagasins!$L734,".",","))),0)</f>
        <v>4</v>
      </c>
      <c r="U734">
        <f t="shared" si="34"/>
        <v>4</v>
      </c>
      <c r="V734" t="str">
        <f t="shared" si="35"/>
        <v>moyenne</v>
      </c>
      <c r="W734" t="str">
        <f>_xlfn.XLOOKUP(VentesMagasins!$B734,Clients!ClientID,Région)</f>
        <v>Est</v>
      </c>
      <c r="X734" t="str">
        <f>INDEX(TypeClient,MATCH(VentesMagasins!$B734,Clients!ClientID))</f>
        <v>Occasionnel</v>
      </c>
      <c r="Y734" t="str">
        <v>juin</v>
      </c>
    </row>
    <row r="735" spans="1:25" x14ac:dyDescent="0.25">
      <c r="A735" s="2">
        <v>734</v>
      </c>
      <c r="B735" s="12" t="s">
        <v>285</v>
      </c>
      <c r="C735" s="13">
        <v>45729</v>
      </c>
      <c r="D735" s="12" t="s">
        <v>328</v>
      </c>
      <c r="E735" s="14" t="s">
        <v>348</v>
      </c>
      <c r="F735" s="12" t="s">
        <v>330</v>
      </c>
      <c r="G735" s="2">
        <v>3</v>
      </c>
      <c r="H735" s="3">
        <v>236</v>
      </c>
      <c r="I735" s="14" t="s">
        <v>342</v>
      </c>
      <c r="J735" s="12" t="s">
        <v>1018</v>
      </c>
      <c r="K735" s="2">
        <v>0</v>
      </c>
      <c r="L735" s="12" t="s">
        <v>369</v>
      </c>
      <c r="M735">
        <f>YEAR(VentesMagasins!$C735)</f>
        <v>2025</v>
      </c>
      <c r="N735" t="e" cm="1" vm="1">
        <f t="array" aca="1" ref="N735" ca="1">MONTH(DateVente)</f>
        <v>#VALUE!</v>
      </c>
      <c r="O735" t="str">
        <f>PROPER(VentesMagasins!$F735)</f>
        <v>Décoration</v>
      </c>
      <c r="P735">
        <f>VALUE(CLEAN(TRIM(SUBSTITUTE(VentesMagasins!$I735,".",","))))</f>
        <v>0.05</v>
      </c>
      <c r="Q735">
        <f>VALUE(TRIM(SUBSTITUTE(VentesMagasins!$J735,".",",")))</f>
        <v>672.6</v>
      </c>
      <c r="R735">
        <f t="shared" si="33"/>
        <v>638.97</v>
      </c>
      <c r="S735">
        <f>IF(VentesMagasins!$K735=1,(-1)*R735,R735)</f>
        <v>638.97</v>
      </c>
      <c r="T735">
        <f>IFERROR(VALUE(TRIM(SUBSTITUTE(VentesMagasins!$L735,".",","))),0)</f>
        <v>1</v>
      </c>
      <c r="U735">
        <f t="shared" si="34"/>
        <v>1</v>
      </c>
      <c r="V735" t="str">
        <f t="shared" si="35"/>
        <v>faible</v>
      </c>
      <c r="W735" t="str">
        <f>_xlfn.XLOOKUP(VentesMagasins!$B735,Clients!ClientID,Région)</f>
        <v>Ouest</v>
      </c>
      <c r="X735" t="str">
        <f>INDEX(TypeClient,MATCH(VentesMagasins!$B735,Clients!ClientID))</f>
        <v>Fidèle</v>
      </c>
      <c r="Y735" t="str">
        <v>mars</v>
      </c>
    </row>
    <row r="736" spans="1:25" x14ac:dyDescent="0.25">
      <c r="A736" s="2">
        <v>735</v>
      </c>
      <c r="B736" s="12" t="s">
        <v>198</v>
      </c>
      <c r="C736" s="13">
        <v>45065</v>
      </c>
      <c r="D736" s="12" t="s">
        <v>328</v>
      </c>
      <c r="E736" s="14" t="s">
        <v>334</v>
      </c>
      <c r="F736" s="12" t="s">
        <v>341</v>
      </c>
      <c r="G736" s="2">
        <v>3</v>
      </c>
      <c r="H736" s="3">
        <v>251</v>
      </c>
      <c r="I736" s="14" t="s">
        <v>325</v>
      </c>
      <c r="J736" s="12" t="s">
        <v>1019</v>
      </c>
      <c r="K736" s="2">
        <v>0</v>
      </c>
      <c r="L736" s="12" t="s">
        <v>337</v>
      </c>
      <c r="M736">
        <f>YEAR(VentesMagasins!$C736)</f>
        <v>2023</v>
      </c>
      <c r="N736" t="e" cm="1" vm="1">
        <f t="array" aca="1" ref="N736" ca="1">MONTH(DateVente)</f>
        <v>#VALUE!</v>
      </c>
      <c r="O736" t="str">
        <f>PROPER(VentesMagasins!$F736)</f>
        <v>Meuble</v>
      </c>
      <c r="P736">
        <f>VALUE(CLEAN(TRIM(SUBSTITUTE(VentesMagasins!$I736,".",","))))</f>
        <v>0.15</v>
      </c>
      <c r="Q736">
        <f>VALUE(TRIM(SUBSTITUTE(VentesMagasins!$J736,".",",")))</f>
        <v>640.04999999999995</v>
      </c>
      <c r="R736">
        <f t="shared" si="33"/>
        <v>544.0424999999999</v>
      </c>
      <c r="S736">
        <f>IF(VentesMagasins!$K736=1,(-1)*R736,R736)</f>
        <v>544.0424999999999</v>
      </c>
      <c r="T736">
        <f>IFERROR(VALUE(TRIM(SUBSTITUTE(VentesMagasins!$L736,".",","))),0)</f>
        <v>3</v>
      </c>
      <c r="U736">
        <f t="shared" si="34"/>
        <v>3</v>
      </c>
      <c r="V736" t="str">
        <f t="shared" si="35"/>
        <v>moyenne</v>
      </c>
      <c r="W736" t="str">
        <f>_xlfn.XLOOKUP(VentesMagasins!$B736,Clients!ClientID,Région)</f>
        <v>Nord</v>
      </c>
      <c r="X736" t="str">
        <f>INDEX(TypeClient,MATCH(VentesMagasins!$B736,Clients!ClientID))</f>
        <v>Fidèle</v>
      </c>
      <c r="Y736" t="str">
        <v>mai</v>
      </c>
    </row>
    <row r="737" spans="1:25" x14ac:dyDescent="0.25">
      <c r="A737" s="2">
        <v>736</v>
      </c>
      <c r="B737" s="12" t="s">
        <v>55</v>
      </c>
      <c r="C737" s="13">
        <v>45772</v>
      </c>
      <c r="D737" s="12" t="s">
        <v>322</v>
      </c>
      <c r="E737" s="14" t="s">
        <v>323</v>
      </c>
      <c r="F737" s="12" t="s">
        <v>330</v>
      </c>
      <c r="G737" s="2">
        <v>3</v>
      </c>
      <c r="H737" s="3">
        <v>39</v>
      </c>
      <c r="I737" s="14" t="s">
        <v>342</v>
      </c>
      <c r="J737" s="12" t="s">
        <v>1020</v>
      </c>
      <c r="K737" s="2">
        <v>0</v>
      </c>
      <c r="L737" s="12" t="s">
        <v>327</v>
      </c>
      <c r="M737">
        <f>YEAR(VentesMagasins!$C737)</f>
        <v>2025</v>
      </c>
      <c r="N737" t="e" cm="1" vm="1">
        <f t="array" aca="1" ref="N737" ca="1">MONTH(DateVente)</f>
        <v>#VALUE!</v>
      </c>
      <c r="O737" t="str">
        <f>PROPER(VentesMagasins!$F737)</f>
        <v>Décoration</v>
      </c>
      <c r="P737">
        <f>VALUE(CLEAN(TRIM(SUBSTITUTE(VentesMagasins!$I737,".",","))))</f>
        <v>0.05</v>
      </c>
      <c r="Q737">
        <f>VALUE(TRIM(SUBSTITUTE(VentesMagasins!$J737,".",",")))</f>
        <v>111.149999999999</v>
      </c>
      <c r="R737">
        <f t="shared" si="33"/>
        <v>105.59249999999905</v>
      </c>
      <c r="S737">
        <f>IF(VentesMagasins!$K737=1,(-1)*R737,R737)</f>
        <v>105.59249999999905</v>
      </c>
      <c r="T737">
        <f>IFERROR(VALUE(TRIM(SUBSTITUTE(VentesMagasins!$L737,".",","))),0)</f>
        <v>5</v>
      </c>
      <c r="U737">
        <f t="shared" si="34"/>
        <v>5</v>
      </c>
      <c r="V737" t="str">
        <f t="shared" si="35"/>
        <v>élévé</v>
      </c>
      <c r="W737" t="str">
        <f>_xlfn.XLOOKUP(VentesMagasins!$B737,Clients!ClientID,Région)</f>
        <v>Nord</v>
      </c>
      <c r="X737" t="str">
        <f>INDEX(TypeClient,MATCH(VentesMagasins!$B737,Clients!ClientID))</f>
        <v>Fidèle</v>
      </c>
      <c r="Y737" t="str">
        <v>avr</v>
      </c>
    </row>
    <row r="738" spans="1:25" x14ac:dyDescent="0.25">
      <c r="A738" s="2">
        <v>737</v>
      </c>
      <c r="B738" s="12" t="s">
        <v>239</v>
      </c>
      <c r="C738" s="13">
        <v>45968</v>
      </c>
      <c r="D738" s="12" t="s">
        <v>338</v>
      </c>
      <c r="E738" s="14" t="s">
        <v>323</v>
      </c>
      <c r="F738" s="12" t="s">
        <v>341</v>
      </c>
      <c r="G738" s="2">
        <v>1</v>
      </c>
      <c r="H738" s="3">
        <v>401</v>
      </c>
      <c r="I738" s="14" t="s">
        <v>325</v>
      </c>
      <c r="J738" s="12" t="s">
        <v>1021</v>
      </c>
      <c r="K738" s="2">
        <v>0</v>
      </c>
      <c r="L738" s="12" t="s">
        <v>327</v>
      </c>
      <c r="M738">
        <f>YEAR(VentesMagasins!$C738)</f>
        <v>2025</v>
      </c>
      <c r="N738" t="e" cm="1" vm="1">
        <f t="array" aca="1" ref="N738" ca="1">MONTH(DateVente)</f>
        <v>#VALUE!</v>
      </c>
      <c r="O738" t="str">
        <f>PROPER(VentesMagasins!$F738)</f>
        <v>Meuble</v>
      </c>
      <c r="P738">
        <f>VALUE(CLEAN(TRIM(SUBSTITUTE(VentesMagasins!$I738,".",","))))</f>
        <v>0.15</v>
      </c>
      <c r="Q738">
        <f>VALUE(TRIM(SUBSTITUTE(VentesMagasins!$J738,".",",")))</f>
        <v>340.849999999999</v>
      </c>
      <c r="R738">
        <f t="shared" si="33"/>
        <v>289.72249999999912</v>
      </c>
      <c r="S738">
        <f>IF(VentesMagasins!$K738=1,(-1)*R738,R738)</f>
        <v>289.72249999999912</v>
      </c>
      <c r="T738">
        <f>IFERROR(VALUE(TRIM(SUBSTITUTE(VentesMagasins!$L738,".",","))),0)</f>
        <v>5</v>
      </c>
      <c r="U738">
        <f t="shared" si="34"/>
        <v>5</v>
      </c>
      <c r="V738" t="str">
        <f t="shared" si="35"/>
        <v>élévé</v>
      </c>
      <c r="W738" t="str">
        <f>_xlfn.XLOOKUP(VentesMagasins!$B738,Clients!ClientID,Région)</f>
        <v>Centre</v>
      </c>
      <c r="X738" t="str">
        <f>INDEX(TypeClient,MATCH(VentesMagasins!$B738,Clients!ClientID))</f>
        <v>Fidèle</v>
      </c>
      <c r="Y738" t="str">
        <v>nov</v>
      </c>
    </row>
    <row r="739" spans="1:25" x14ac:dyDescent="0.25">
      <c r="A739" s="2">
        <v>738</v>
      </c>
      <c r="B739" s="12" t="s">
        <v>106</v>
      </c>
      <c r="C739" s="13">
        <v>45245</v>
      </c>
      <c r="D739" s="12" t="s">
        <v>328</v>
      </c>
      <c r="E739" s="14" t="s">
        <v>339</v>
      </c>
      <c r="F739" s="12" t="s">
        <v>341</v>
      </c>
      <c r="G739" s="2">
        <v>1</v>
      </c>
      <c r="H739" s="3">
        <v>46</v>
      </c>
      <c r="I739" s="14" t="s">
        <v>325</v>
      </c>
      <c r="J739" s="12" t="s">
        <v>1022</v>
      </c>
      <c r="K739" s="2">
        <v>1</v>
      </c>
      <c r="L739" s="12" t="s">
        <v>352</v>
      </c>
      <c r="M739">
        <f>YEAR(VentesMagasins!$C739)</f>
        <v>2023</v>
      </c>
      <c r="N739" t="e" cm="1" vm="1">
        <f t="array" aca="1" ref="N739" ca="1">MONTH(DateVente)</f>
        <v>#VALUE!</v>
      </c>
      <c r="O739" t="str">
        <f>PROPER(VentesMagasins!$F739)</f>
        <v>Meuble</v>
      </c>
      <c r="P739">
        <f>VALUE(CLEAN(TRIM(SUBSTITUTE(VentesMagasins!$I739,".",","))))</f>
        <v>0.15</v>
      </c>
      <c r="Q739">
        <f>VALUE(TRIM(SUBSTITUTE(VentesMagasins!$J739,".",",")))</f>
        <v>39.1</v>
      </c>
      <c r="R739">
        <f t="shared" si="33"/>
        <v>33.234999999999999</v>
      </c>
      <c r="S739">
        <f>IF(VentesMagasins!$K739=1,(-1)*R739,R739)</f>
        <v>-33.234999999999999</v>
      </c>
      <c r="T739">
        <f>IFERROR(VALUE(TRIM(SUBSTITUTE(VentesMagasins!$L739,".",","))),0)</f>
        <v>0</v>
      </c>
      <c r="U739">
        <f t="shared" si="34"/>
        <v>3</v>
      </c>
      <c r="V739" t="str">
        <f t="shared" si="35"/>
        <v>moyenne</v>
      </c>
      <c r="W739" t="str">
        <f>_xlfn.XLOOKUP(VentesMagasins!$B739,Clients!ClientID,Région)</f>
        <v>Est</v>
      </c>
      <c r="X739" t="str">
        <f>INDEX(TypeClient,MATCH(VentesMagasins!$B739,Clients!ClientID))</f>
        <v>Fidèle</v>
      </c>
      <c r="Y739" t="str">
        <v>nov</v>
      </c>
    </row>
    <row r="740" spans="1:25" x14ac:dyDescent="0.25">
      <c r="A740" s="2">
        <v>739</v>
      </c>
      <c r="B740" s="12" t="s">
        <v>107</v>
      </c>
      <c r="C740" s="13">
        <v>45041</v>
      </c>
      <c r="D740" s="12" t="s">
        <v>322</v>
      </c>
      <c r="E740" s="14" t="s">
        <v>329</v>
      </c>
      <c r="F740" s="12" t="s">
        <v>324</v>
      </c>
      <c r="G740" s="2">
        <v>2</v>
      </c>
      <c r="H740" s="3">
        <v>230</v>
      </c>
      <c r="I740" s="14" t="s">
        <v>355</v>
      </c>
      <c r="J740" s="12" t="s">
        <v>735</v>
      </c>
      <c r="K740" s="2">
        <v>1</v>
      </c>
      <c r="L740" s="12" t="s">
        <v>332</v>
      </c>
      <c r="M740">
        <f>YEAR(VentesMagasins!$C740)</f>
        <v>2023</v>
      </c>
      <c r="N740" t="e" cm="1" vm="1">
        <f t="array" aca="1" ref="N740" ca="1">MONTH(DateVente)</f>
        <v>#VALUE!</v>
      </c>
      <c r="O740" t="str">
        <f>PROPER(VentesMagasins!$F740)</f>
        <v>Électronique</v>
      </c>
      <c r="P740">
        <f>VALUE(CLEAN(TRIM(SUBSTITUTE(VentesMagasins!$I740,".",","))))</f>
        <v>0.1</v>
      </c>
      <c r="Q740">
        <f>VALUE(TRIM(SUBSTITUTE(VentesMagasins!$J740,".",",")))</f>
        <v>372.6</v>
      </c>
      <c r="R740">
        <f t="shared" si="33"/>
        <v>335.34000000000003</v>
      </c>
      <c r="S740">
        <f>IF(VentesMagasins!$K740=1,(-1)*R740,R740)</f>
        <v>-335.34000000000003</v>
      </c>
      <c r="T740">
        <f>IFERROR(VALUE(TRIM(SUBSTITUTE(VentesMagasins!$L740,".",","))),0)</f>
        <v>4</v>
      </c>
      <c r="U740">
        <f t="shared" si="34"/>
        <v>4</v>
      </c>
      <c r="V740" t="str">
        <f t="shared" si="35"/>
        <v>moyenne</v>
      </c>
      <c r="W740" t="str">
        <f>_xlfn.XLOOKUP(VentesMagasins!$B740,Clients!ClientID,Région)</f>
        <v>Est</v>
      </c>
      <c r="X740" t="str">
        <f>INDEX(TypeClient,MATCH(VentesMagasins!$B740,Clients!ClientID))</f>
        <v>Nouveau</v>
      </c>
      <c r="Y740" t="str">
        <v>avr</v>
      </c>
    </row>
    <row r="741" spans="1:25" x14ac:dyDescent="0.25">
      <c r="A741" s="2">
        <v>740</v>
      </c>
      <c r="B741" s="12" t="s">
        <v>27</v>
      </c>
      <c r="C741" s="13">
        <v>45405</v>
      </c>
      <c r="D741" s="12" t="s">
        <v>328</v>
      </c>
      <c r="E741" s="14" t="s">
        <v>323</v>
      </c>
      <c r="F741" s="12" t="s">
        <v>341</v>
      </c>
      <c r="G741" s="2">
        <v>5</v>
      </c>
      <c r="H741" s="3">
        <v>258</v>
      </c>
      <c r="I741" s="14" t="s">
        <v>325</v>
      </c>
      <c r="J741" s="12" t="s">
        <v>1023</v>
      </c>
      <c r="K741" s="2">
        <v>0</v>
      </c>
      <c r="L741" s="12" t="s">
        <v>327</v>
      </c>
      <c r="M741">
        <f>YEAR(VentesMagasins!$C741)</f>
        <v>2024</v>
      </c>
      <c r="N741" t="e" cm="1" vm="1">
        <f t="array" aca="1" ref="N741" ca="1">MONTH(DateVente)</f>
        <v>#VALUE!</v>
      </c>
      <c r="O741" t="str">
        <f>PROPER(VentesMagasins!$F741)</f>
        <v>Meuble</v>
      </c>
      <c r="P741">
        <f>VALUE(CLEAN(TRIM(SUBSTITUTE(VentesMagasins!$I741,".",","))))</f>
        <v>0.15</v>
      </c>
      <c r="Q741">
        <f>VALUE(TRIM(SUBSTITUTE(VentesMagasins!$J741,".",",")))</f>
        <v>1096.5</v>
      </c>
      <c r="R741">
        <f t="shared" si="33"/>
        <v>932.02499999999998</v>
      </c>
      <c r="S741">
        <f>IF(VentesMagasins!$K741=1,(-1)*R741,R741)</f>
        <v>932.02499999999998</v>
      </c>
      <c r="T741">
        <f>IFERROR(VALUE(TRIM(SUBSTITUTE(VentesMagasins!$L741,".",","))),0)</f>
        <v>5</v>
      </c>
      <c r="U741">
        <f t="shared" si="34"/>
        <v>5</v>
      </c>
      <c r="V741" t="str">
        <f t="shared" si="35"/>
        <v>élévé</v>
      </c>
      <c r="W741" t="str">
        <f>_xlfn.XLOOKUP(VentesMagasins!$B741,Clients!ClientID,Région)</f>
        <v>Sud</v>
      </c>
      <c r="X741" t="str">
        <f>INDEX(TypeClient,MATCH(VentesMagasins!$B741,Clients!ClientID))</f>
        <v>Occasionnel</v>
      </c>
      <c r="Y741" t="str">
        <v>avr</v>
      </c>
    </row>
    <row r="742" spans="1:25" x14ac:dyDescent="0.25">
      <c r="A742" s="2">
        <v>741</v>
      </c>
      <c r="B742" s="12" t="s">
        <v>241</v>
      </c>
      <c r="C742" s="13">
        <v>45691</v>
      </c>
      <c r="D742" s="12" t="s">
        <v>333</v>
      </c>
      <c r="E742" s="14" t="s">
        <v>345</v>
      </c>
      <c r="F742" s="12" t="s">
        <v>330</v>
      </c>
      <c r="G742" s="2">
        <v>4</v>
      </c>
      <c r="H742" s="3">
        <v>72</v>
      </c>
      <c r="I742" s="14" t="s">
        <v>325</v>
      </c>
      <c r="J742" s="12" t="s">
        <v>1024</v>
      </c>
      <c r="K742" s="2">
        <v>0</v>
      </c>
      <c r="L742" s="12" t="s">
        <v>344</v>
      </c>
      <c r="M742">
        <f>YEAR(VentesMagasins!$C742)</f>
        <v>2025</v>
      </c>
      <c r="N742" t="e" cm="1" vm="1">
        <f t="array" aca="1" ref="N742" ca="1">MONTH(DateVente)</f>
        <v>#VALUE!</v>
      </c>
      <c r="O742" t="str">
        <f>PROPER(VentesMagasins!$F742)</f>
        <v>Décoration</v>
      </c>
      <c r="P742">
        <f>VALUE(CLEAN(TRIM(SUBSTITUTE(VentesMagasins!$I742,".",","))))</f>
        <v>0.15</v>
      </c>
      <c r="Q742">
        <f>VALUE(TRIM(SUBSTITUTE(VentesMagasins!$J742,".",",")))</f>
        <v>244.79999999999899</v>
      </c>
      <c r="R742">
        <f t="shared" si="33"/>
        <v>208.07999999999913</v>
      </c>
      <c r="S742">
        <f>IF(VentesMagasins!$K742=1,(-1)*R742,R742)</f>
        <v>208.07999999999913</v>
      </c>
      <c r="T742">
        <f>IFERROR(VALUE(TRIM(SUBSTITUTE(VentesMagasins!$L742,".",","))),0)</f>
        <v>2</v>
      </c>
      <c r="U742">
        <f t="shared" si="34"/>
        <v>2</v>
      </c>
      <c r="V742" t="str">
        <f t="shared" si="35"/>
        <v>faible</v>
      </c>
      <c r="W742" t="str">
        <f>_xlfn.XLOOKUP(VentesMagasins!$B742,Clients!ClientID,Région)</f>
        <v>Ouest</v>
      </c>
      <c r="X742" t="str">
        <f>INDEX(TypeClient,MATCH(VentesMagasins!$B742,Clients!ClientID))</f>
        <v>Occasionnel</v>
      </c>
      <c r="Y742" t="str">
        <v>févr</v>
      </c>
    </row>
    <row r="743" spans="1:25" x14ac:dyDescent="0.25">
      <c r="A743" s="2">
        <v>742</v>
      </c>
      <c r="B743" s="12" t="s">
        <v>208</v>
      </c>
      <c r="C743" s="13">
        <v>45691</v>
      </c>
      <c r="D743" s="12" t="s">
        <v>328</v>
      </c>
      <c r="E743" s="14" t="s">
        <v>345</v>
      </c>
      <c r="F743" s="12" t="s">
        <v>330</v>
      </c>
      <c r="G743" s="2">
        <v>3</v>
      </c>
      <c r="H743" s="3">
        <v>134</v>
      </c>
      <c r="I743" s="14" t="s">
        <v>342</v>
      </c>
      <c r="J743" s="12" t="s">
        <v>1025</v>
      </c>
      <c r="K743" s="2">
        <v>0</v>
      </c>
      <c r="L743" s="12" t="s">
        <v>344</v>
      </c>
      <c r="M743">
        <f>YEAR(VentesMagasins!$C743)</f>
        <v>2025</v>
      </c>
      <c r="N743" t="e" cm="1" vm="1">
        <f t="array" aca="1" ref="N743" ca="1">MONTH(DateVente)</f>
        <v>#VALUE!</v>
      </c>
      <c r="O743" t="str">
        <f>PROPER(VentesMagasins!$F743)</f>
        <v>Décoration</v>
      </c>
      <c r="P743">
        <f>VALUE(CLEAN(TRIM(SUBSTITUTE(VentesMagasins!$I743,".",","))))</f>
        <v>0.05</v>
      </c>
      <c r="Q743">
        <f>VALUE(TRIM(SUBSTITUTE(VentesMagasins!$J743,".",",")))</f>
        <v>381.9</v>
      </c>
      <c r="R743">
        <f t="shared" si="33"/>
        <v>362.80499999999995</v>
      </c>
      <c r="S743">
        <f>IF(VentesMagasins!$K743=1,(-1)*R743,R743)</f>
        <v>362.80499999999995</v>
      </c>
      <c r="T743">
        <f>IFERROR(VALUE(TRIM(SUBSTITUTE(VentesMagasins!$L743,".",","))),0)</f>
        <v>2</v>
      </c>
      <c r="U743">
        <f t="shared" si="34"/>
        <v>2</v>
      </c>
      <c r="V743" t="str">
        <f t="shared" si="35"/>
        <v>faible</v>
      </c>
      <c r="W743" t="str">
        <f>_xlfn.XLOOKUP(VentesMagasins!$B743,Clients!ClientID,Région)</f>
        <v>Nord</v>
      </c>
      <c r="X743" t="str">
        <f>INDEX(TypeClient,MATCH(VentesMagasins!$B743,Clients!ClientID))</f>
        <v>Fidèle</v>
      </c>
      <c r="Y743" t="str">
        <v>févr</v>
      </c>
    </row>
    <row r="744" spans="1:25" x14ac:dyDescent="0.25">
      <c r="A744" s="2">
        <v>743</v>
      </c>
      <c r="B744" s="12" t="s">
        <v>238</v>
      </c>
      <c r="C744" s="13">
        <v>45715</v>
      </c>
      <c r="D744" s="12" t="s">
        <v>350</v>
      </c>
      <c r="E744" s="14" t="s">
        <v>329</v>
      </c>
      <c r="F744" s="12" t="s">
        <v>330</v>
      </c>
      <c r="G744" s="2">
        <v>2</v>
      </c>
      <c r="H744" s="3">
        <v>398</v>
      </c>
      <c r="I744" s="14" t="s">
        <v>355</v>
      </c>
      <c r="J744" s="12" t="s">
        <v>1026</v>
      </c>
      <c r="K744" s="2">
        <v>1</v>
      </c>
      <c r="L744" s="12" t="s">
        <v>352</v>
      </c>
      <c r="M744">
        <f>YEAR(VentesMagasins!$C744)</f>
        <v>2025</v>
      </c>
      <c r="N744" t="e" cm="1" vm="1">
        <f t="array" aca="1" ref="N744" ca="1">MONTH(DateVente)</f>
        <v>#VALUE!</v>
      </c>
      <c r="O744" t="str">
        <f>PROPER(VentesMagasins!$F744)</f>
        <v>Décoration</v>
      </c>
      <c r="P744">
        <f>VALUE(CLEAN(TRIM(SUBSTITUTE(VentesMagasins!$I744,".",","))))</f>
        <v>0.1</v>
      </c>
      <c r="Q744">
        <f>VALUE(TRIM(SUBSTITUTE(VentesMagasins!$J744,".",",")))</f>
        <v>716.4</v>
      </c>
      <c r="R744">
        <f t="shared" si="33"/>
        <v>644.76</v>
      </c>
      <c r="S744">
        <f>IF(VentesMagasins!$K744=1,(-1)*R744,R744)</f>
        <v>-644.76</v>
      </c>
      <c r="T744">
        <f>IFERROR(VALUE(TRIM(SUBSTITUTE(VentesMagasins!$L744,".",","))),0)</f>
        <v>0</v>
      </c>
      <c r="U744">
        <f t="shared" si="34"/>
        <v>3</v>
      </c>
      <c r="V744" t="str">
        <f t="shared" si="35"/>
        <v>moyenne</v>
      </c>
      <c r="W744" t="str">
        <f>_xlfn.XLOOKUP(VentesMagasins!$B744,Clients!ClientID,Région)</f>
        <v>Centre</v>
      </c>
      <c r="X744" t="str">
        <f>INDEX(TypeClient,MATCH(VentesMagasins!$B744,Clients!ClientID))</f>
        <v>Occasionnel</v>
      </c>
      <c r="Y744" t="str">
        <v>févr</v>
      </c>
    </row>
    <row r="745" spans="1:25" x14ac:dyDescent="0.25">
      <c r="A745" s="2">
        <v>744</v>
      </c>
      <c r="B745" s="12" t="s">
        <v>120</v>
      </c>
      <c r="C745" s="13">
        <v>45494</v>
      </c>
      <c r="D745" s="12" t="s">
        <v>333</v>
      </c>
      <c r="E745" s="14" t="s">
        <v>329</v>
      </c>
      <c r="F745" s="12" t="s">
        <v>330</v>
      </c>
      <c r="G745" s="2">
        <v>2</v>
      </c>
      <c r="H745" s="3">
        <v>326</v>
      </c>
      <c r="I745" s="14" t="s">
        <v>335</v>
      </c>
      <c r="J745" s="12" t="s">
        <v>1027</v>
      </c>
      <c r="K745" s="2">
        <v>0</v>
      </c>
      <c r="L745" s="12" t="s">
        <v>352</v>
      </c>
      <c r="M745">
        <f>YEAR(VentesMagasins!$C745)</f>
        <v>2024</v>
      </c>
      <c r="N745" t="e" cm="1" vm="1">
        <f t="array" aca="1" ref="N745" ca="1">MONTH(DateVente)</f>
        <v>#VALUE!</v>
      </c>
      <c r="O745" t="str">
        <f>PROPER(VentesMagasins!$F745)</f>
        <v>Décoration</v>
      </c>
      <c r="P745">
        <f>VALUE(CLEAN(TRIM(SUBSTITUTE(VentesMagasins!$I745,".",","))))</f>
        <v>0</v>
      </c>
      <c r="Q745">
        <f>VALUE(TRIM(SUBSTITUTE(VentesMagasins!$J745,".",",")))</f>
        <v>652</v>
      </c>
      <c r="R745">
        <f t="shared" si="33"/>
        <v>652</v>
      </c>
      <c r="S745">
        <f>IF(VentesMagasins!$K745=1,(-1)*R745,R745)</f>
        <v>652</v>
      </c>
      <c r="T745">
        <f>IFERROR(VALUE(TRIM(SUBSTITUTE(VentesMagasins!$L745,".",","))),0)</f>
        <v>0</v>
      </c>
      <c r="U745">
        <f t="shared" si="34"/>
        <v>3</v>
      </c>
      <c r="V745" t="str">
        <f t="shared" si="35"/>
        <v>moyenne</v>
      </c>
      <c r="W745" t="str">
        <f>_xlfn.XLOOKUP(VentesMagasins!$B745,Clients!ClientID,Région)</f>
        <v>Ouest</v>
      </c>
      <c r="X745" t="str">
        <f>INDEX(TypeClient,MATCH(VentesMagasins!$B745,Clients!ClientID))</f>
        <v>Nouveau</v>
      </c>
      <c r="Y745" t="str">
        <v>juil</v>
      </c>
    </row>
    <row r="746" spans="1:25" x14ac:dyDescent="0.25">
      <c r="A746" s="2">
        <v>745</v>
      </c>
      <c r="B746" s="12" t="s">
        <v>259</v>
      </c>
      <c r="C746" s="13">
        <v>45986</v>
      </c>
      <c r="D746" s="12" t="s">
        <v>338</v>
      </c>
      <c r="E746" s="14" t="s">
        <v>329</v>
      </c>
      <c r="F746" s="12" t="s">
        <v>324</v>
      </c>
      <c r="G746" s="2">
        <v>2</v>
      </c>
      <c r="H746" s="3">
        <v>374</v>
      </c>
      <c r="I746" s="14" t="s">
        <v>335</v>
      </c>
      <c r="J746" s="12" t="s">
        <v>544</v>
      </c>
      <c r="K746" s="2">
        <v>1</v>
      </c>
      <c r="L746" s="12" t="s">
        <v>332</v>
      </c>
      <c r="M746">
        <f>YEAR(VentesMagasins!$C746)</f>
        <v>2025</v>
      </c>
      <c r="N746" t="e" cm="1" vm="1">
        <f t="array" aca="1" ref="N746" ca="1">MONTH(DateVente)</f>
        <v>#VALUE!</v>
      </c>
      <c r="O746" t="str">
        <f>PROPER(VentesMagasins!$F746)</f>
        <v>Électronique</v>
      </c>
      <c r="P746">
        <f>VALUE(CLEAN(TRIM(SUBSTITUTE(VentesMagasins!$I746,".",","))))</f>
        <v>0</v>
      </c>
      <c r="Q746">
        <f>VALUE(TRIM(SUBSTITUTE(VentesMagasins!$J746,".",",")))</f>
        <v>748</v>
      </c>
      <c r="R746">
        <f t="shared" si="33"/>
        <v>748</v>
      </c>
      <c r="S746">
        <f>IF(VentesMagasins!$K746=1,(-1)*R746,R746)</f>
        <v>-748</v>
      </c>
      <c r="T746">
        <f>IFERROR(VALUE(TRIM(SUBSTITUTE(VentesMagasins!$L746,".",","))),0)</f>
        <v>4</v>
      </c>
      <c r="U746">
        <f t="shared" si="34"/>
        <v>4</v>
      </c>
      <c r="V746" t="str">
        <f t="shared" si="35"/>
        <v>moyenne</v>
      </c>
      <c r="W746" t="str">
        <f>_xlfn.XLOOKUP(VentesMagasins!$B746,Clients!ClientID,Région)</f>
        <v>Ouest</v>
      </c>
      <c r="X746" t="str">
        <f>INDEX(TypeClient,MATCH(VentesMagasins!$B746,Clients!ClientID))</f>
        <v>Fidèle</v>
      </c>
      <c r="Y746" t="str">
        <v>nov</v>
      </c>
    </row>
    <row r="747" spans="1:25" x14ac:dyDescent="0.25">
      <c r="A747" s="2">
        <v>746</v>
      </c>
      <c r="B747" s="12" t="s">
        <v>182</v>
      </c>
      <c r="C747" s="13">
        <v>45562</v>
      </c>
      <c r="D747" s="12" t="s">
        <v>328</v>
      </c>
      <c r="E747" s="14" t="s">
        <v>364</v>
      </c>
      <c r="F747" s="12" t="s">
        <v>330</v>
      </c>
      <c r="G747" s="2">
        <v>1</v>
      </c>
      <c r="H747" s="3">
        <v>195</v>
      </c>
      <c r="I747" s="14" t="s">
        <v>335</v>
      </c>
      <c r="J747" s="12" t="s">
        <v>798</v>
      </c>
      <c r="K747" s="2">
        <v>0</v>
      </c>
      <c r="L747" s="12" t="s">
        <v>337</v>
      </c>
      <c r="M747">
        <f>YEAR(VentesMagasins!$C747)</f>
        <v>2024</v>
      </c>
      <c r="N747" t="e" cm="1" vm="1">
        <f t="array" aca="1" ref="N747" ca="1">MONTH(DateVente)</f>
        <v>#VALUE!</v>
      </c>
      <c r="O747" t="str">
        <f>PROPER(VentesMagasins!$F747)</f>
        <v>Décoration</v>
      </c>
      <c r="P747">
        <f>VALUE(CLEAN(TRIM(SUBSTITUTE(VentesMagasins!$I747,".",","))))</f>
        <v>0</v>
      </c>
      <c r="Q747">
        <f>VALUE(TRIM(SUBSTITUTE(VentesMagasins!$J747,".",",")))</f>
        <v>195</v>
      </c>
      <c r="R747">
        <f t="shared" si="33"/>
        <v>195</v>
      </c>
      <c r="S747">
        <f>IF(VentesMagasins!$K747=1,(-1)*R747,R747)</f>
        <v>195</v>
      </c>
      <c r="T747">
        <f>IFERROR(VALUE(TRIM(SUBSTITUTE(VentesMagasins!$L747,".",","))),0)</f>
        <v>3</v>
      </c>
      <c r="U747">
        <f t="shared" si="34"/>
        <v>3</v>
      </c>
      <c r="V747" t="str">
        <f t="shared" si="35"/>
        <v>moyenne</v>
      </c>
      <c r="W747" t="str">
        <f>_xlfn.XLOOKUP(VentesMagasins!$B747,Clients!ClientID,Région)</f>
        <v>Nord</v>
      </c>
      <c r="X747" t="str">
        <f>INDEX(TypeClient,MATCH(VentesMagasins!$B747,Clients!ClientID))</f>
        <v>Fidèle</v>
      </c>
      <c r="Y747" t="str">
        <v>sept</v>
      </c>
    </row>
    <row r="748" spans="1:25" x14ac:dyDescent="0.25">
      <c r="A748" s="2">
        <v>747</v>
      </c>
      <c r="B748" s="12" t="s">
        <v>96</v>
      </c>
      <c r="C748" s="13">
        <v>45796</v>
      </c>
      <c r="D748" s="12" t="s">
        <v>338</v>
      </c>
      <c r="E748" s="14" t="s">
        <v>339</v>
      </c>
      <c r="F748" s="12" t="s">
        <v>341</v>
      </c>
      <c r="G748" s="2">
        <v>4</v>
      </c>
      <c r="H748" s="3">
        <v>159</v>
      </c>
      <c r="I748" s="14" t="s">
        <v>342</v>
      </c>
      <c r="J748" s="12" t="s">
        <v>1028</v>
      </c>
      <c r="K748" s="2">
        <v>1</v>
      </c>
      <c r="L748" s="12" t="s">
        <v>332</v>
      </c>
      <c r="M748">
        <f>YEAR(VentesMagasins!$C748)</f>
        <v>2025</v>
      </c>
      <c r="N748" t="e" cm="1" vm="1">
        <f t="array" aca="1" ref="N748" ca="1">MONTH(DateVente)</f>
        <v>#VALUE!</v>
      </c>
      <c r="O748" t="str">
        <f>PROPER(VentesMagasins!$F748)</f>
        <v>Meuble</v>
      </c>
      <c r="P748">
        <f>VALUE(CLEAN(TRIM(SUBSTITUTE(VentesMagasins!$I748,".",","))))</f>
        <v>0.05</v>
      </c>
      <c r="Q748">
        <f>VALUE(TRIM(SUBSTITUTE(VentesMagasins!$J748,".",",")))</f>
        <v>604.19999999999902</v>
      </c>
      <c r="R748">
        <f t="shared" si="33"/>
        <v>573.9899999999991</v>
      </c>
      <c r="S748">
        <f>IF(VentesMagasins!$K748=1,(-1)*R748,R748)</f>
        <v>-573.9899999999991</v>
      </c>
      <c r="T748">
        <f>IFERROR(VALUE(TRIM(SUBSTITUTE(VentesMagasins!$L748,".",","))),0)</f>
        <v>4</v>
      </c>
      <c r="U748">
        <f t="shared" si="34"/>
        <v>4</v>
      </c>
      <c r="V748" t="str">
        <f t="shared" si="35"/>
        <v>moyenne</v>
      </c>
      <c r="W748" t="str">
        <f>_xlfn.XLOOKUP(VentesMagasins!$B748,Clients!ClientID,Région)</f>
        <v>Nord</v>
      </c>
      <c r="X748" t="str">
        <f>INDEX(TypeClient,MATCH(VentesMagasins!$B748,Clients!ClientID))</f>
        <v>Nouveau</v>
      </c>
      <c r="Y748" t="str">
        <v>mai</v>
      </c>
    </row>
    <row r="749" spans="1:25" x14ac:dyDescent="0.25">
      <c r="A749" s="2">
        <v>748</v>
      </c>
      <c r="B749" s="12" t="s">
        <v>39</v>
      </c>
      <c r="C749" s="13">
        <v>45486</v>
      </c>
      <c r="D749" s="12" t="s">
        <v>350</v>
      </c>
      <c r="E749" s="14" t="s">
        <v>345</v>
      </c>
      <c r="F749" s="12" t="s">
        <v>330</v>
      </c>
      <c r="G749" s="2">
        <v>2</v>
      </c>
      <c r="H749" s="3">
        <v>56</v>
      </c>
      <c r="I749" s="14" t="s">
        <v>335</v>
      </c>
      <c r="J749" s="12" t="s">
        <v>954</v>
      </c>
      <c r="K749" s="2">
        <v>1</v>
      </c>
      <c r="L749" s="12" t="s">
        <v>332</v>
      </c>
      <c r="M749">
        <f>YEAR(VentesMagasins!$C749)</f>
        <v>2024</v>
      </c>
      <c r="N749" t="e" cm="1" vm="1">
        <f t="array" aca="1" ref="N749" ca="1">MONTH(DateVente)</f>
        <v>#VALUE!</v>
      </c>
      <c r="O749" t="str">
        <f>PROPER(VentesMagasins!$F749)</f>
        <v>Décoration</v>
      </c>
      <c r="P749">
        <f>VALUE(CLEAN(TRIM(SUBSTITUTE(VentesMagasins!$I749,".",","))))</f>
        <v>0</v>
      </c>
      <c r="Q749">
        <f>VALUE(TRIM(SUBSTITUTE(VentesMagasins!$J749,".",",")))</f>
        <v>112</v>
      </c>
      <c r="R749">
        <f t="shared" si="33"/>
        <v>112</v>
      </c>
      <c r="S749">
        <f>IF(VentesMagasins!$K749=1,(-1)*R749,R749)</f>
        <v>-112</v>
      </c>
      <c r="T749">
        <f>IFERROR(VALUE(TRIM(SUBSTITUTE(VentesMagasins!$L749,".",","))),0)</f>
        <v>4</v>
      </c>
      <c r="U749">
        <f t="shared" si="34"/>
        <v>4</v>
      </c>
      <c r="V749" t="str">
        <f t="shared" si="35"/>
        <v>moyenne</v>
      </c>
      <c r="W749" t="str">
        <f>_xlfn.XLOOKUP(VentesMagasins!$B749,Clients!ClientID,Région)</f>
        <v>Nord</v>
      </c>
      <c r="X749" t="str">
        <f>INDEX(TypeClient,MATCH(VentesMagasins!$B749,Clients!ClientID))</f>
        <v>Nouveau</v>
      </c>
      <c r="Y749" t="str">
        <v>juil</v>
      </c>
    </row>
    <row r="750" spans="1:25" x14ac:dyDescent="0.25">
      <c r="A750" s="2">
        <v>749</v>
      </c>
      <c r="B750" s="12" t="s">
        <v>228</v>
      </c>
      <c r="C750" s="13">
        <v>45601</v>
      </c>
      <c r="D750" s="12" t="s">
        <v>333</v>
      </c>
      <c r="E750" s="14" t="s">
        <v>364</v>
      </c>
      <c r="F750" s="12" t="s">
        <v>324</v>
      </c>
      <c r="G750" s="2">
        <v>3</v>
      </c>
      <c r="H750" s="3">
        <v>434</v>
      </c>
      <c r="I750" s="14" t="s">
        <v>342</v>
      </c>
      <c r="J750" s="12" t="s">
        <v>1029</v>
      </c>
      <c r="K750" s="2">
        <v>0</v>
      </c>
      <c r="L750" s="12" t="s">
        <v>332</v>
      </c>
      <c r="M750">
        <f>YEAR(VentesMagasins!$C750)</f>
        <v>2024</v>
      </c>
      <c r="N750" t="e" cm="1" vm="1">
        <f t="array" aca="1" ref="N750" ca="1">MONTH(DateVente)</f>
        <v>#VALUE!</v>
      </c>
      <c r="O750" t="str">
        <f>PROPER(VentesMagasins!$F750)</f>
        <v>Électronique</v>
      </c>
      <c r="P750">
        <f>VALUE(CLEAN(TRIM(SUBSTITUTE(VentesMagasins!$I750,".",","))))</f>
        <v>0.05</v>
      </c>
      <c r="Q750">
        <f>VALUE(TRIM(SUBSTITUTE(VentesMagasins!$J750,".",",")))</f>
        <v>1236.8999999999901</v>
      </c>
      <c r="R750">
        <f t="shared" si="33"/>
        <v>1175.0549999999905</v>
      </c>
      <c r="S750">
        <f>IF(VentesMagasins!$K750=1,(-1)*R750,R750)</f>
        <v>1175.0549999999905</v>
      </c>
      <c r="T750">
        <f>IFERROR(VALUE(TRIM(SUBSTITUTE(VentesMagasins!$L750,".",","))),0)</f>
        <v>4</v>
      </c>
      <c r="U750">
        <f t="shared" si="34"/>
        <v>4</v>
      </c>
      <c r="V750" t="str">
        <f t="shared" si="35"/>
        <v>moyenne</v>
      </c>
      <c r="W750" t="str">
        <f>_xlfn.XLOOKUP(VentesMagasins!$B750,Clients!ClientID,Région)</f>
        <v>Centre</v>
      </c>
      <c r="X750" t="str">
        <f>INDEX(TypeClient,MATCH(VentesMagasins!$B750,Clients!ClientID))</f>
        <v>Occasionnel</v>
      </c>
      <c r="Y750" t="str">
        <v>nov</v>
      </c>
    </row>
    <row r="751" spans="1:25" x14ac:dyDescent="0.25">
      <c r="A751" s="2">
        <v>750</v>
      </c>
      <c r="B751" s="12" t="s">
        <v>305</v>
      </c>
      <c r="C751" s="13">
        <v>45966</v>
      </c>
      <c r="D751" s="12" t="s">
        <v>333</v>
      </c>
      <c r="E751" s="14" t="s">
        <v>345</v>
      </c>
      <c r="F751" s="12" t="s">
        <v>341</v>
      </c>
      <c r="G751" s="2">
        <v>1</v>
      </c>
      <c r="H751" s="3">
        <v>167</v>
      </c>
      <c r="I751" s="14" t="s">
        <v>325</v>
      </c>
      <c r="J751" s="12" t="s">
        <v>1030</v>
      </c>
      <c r="K751" s="2">
        <v>0</v>
      </c>
      <c r="L751" s="12" t="s">
        <v>369</v>
      </c>
      <c r="M751">
        <f>YEAR(VentesMagasins!$C751)</f>
        <v>2025</v>
      </c>
      <c r="N751" t="e" cm="1" vm="1">
        <f t="array" aca="1" ref="N751" ca="1">MONTH(DateVente)</f>
        <v>#VALUE!</v>
      </c>
      <c r="O751" t="str">
        <f>PROPER(VentesMagasins!$F751)</f>
        <v>Meuble</v>
      </c>
      <c r="P751">
        <f>VALUE(CLEAN(TRIM(SUBSTITUTE(VentesMagasins!$I751,".",","))))</f>
        <v>0.15</v>
      </c>
      <c r="Q751">
        <f>VALUE(TRIM(SUBSTITUTE(VentesMagasins!$J751,".",",")))</f>
        <v>141.94999999999999</v>
      </c>
      <c r="R751">
        <f t="shared" si="33"/>
        <v>120.65749999999998</v>
      </c>
      <c r="S751">
        <f>IF(VentesMagasins!$K751=1,(-1)*R751,R751)</f>
        <v>120.65749999999998</v>
      </c>
      <c r="T751">
        <f>IFERROR(VALUE(TRIM(SUBSTITUTE(VentesMagasins!$L751,".",","))),0)</f>
        <v>1</v>
      </c>
      <c r="U751">
        <f t="shared" si="34"/>
        <v>1</v>
      </c>
      <c r="V751" t="str">
        <f t="shared" si="35"/>
        <v>faible</v>
      </c>
      <c r="W751" t="str">
        <f>_xlfn.XLOOKUP(VentesMagasins!$B751,Clients!ClientID,Région)</f>
        <v>Est</v>
      </c>
      <c r="X751" t="str">
        <f>INDEX(TypeClient,MATCH(VentesMagasins!$B751,Clients!ClientID))</f>
        <v>Fidèle</v>
      </c>
      <c r="Y751" t="str">
        <v>nov</v>
      </c>
    </row>
    <row r="752" spans="1:25" x14ac:dyDescent="0.25">
      <c r="A752" s="2">
        <v>751</v>
      </c>
      <c r="B752" s="12" t="s">
        <v>239</v>
      </c>
      <c r="C752" s="13">
        <v>45180</v>
      </c>
      <c r="D752" s="12" t="s">
        <v>333</v>
      </c>
      <c r="E752" s="14" t="s">
        <v>364</v>
      </c>
      <c r="F752" s="12" t="s">
        <v>330</v>
      </c>
      <c r="G752" s="2">
        <v>5</v>
      </c>
      <c r="H752" s="3">
        <v>246</v>
      </c>
      <c r="I752" s="14" t="s">
        <v>325</v>
      </c>
      <c r="J752" s="12" t="s">
        <v>1031</v>
      </c>
      <c r="K752" s="2">
        <v>0</v>
      </c>
      <c r="L752" s="12" t="s">
        <v>344</v>
      </c>
      <c r="M752">
        <f>YEAR(VentesMagasins!$C752)</f>
        <v>2023</v>
      </c>
      <c r="N752" t="e" cm="1" vm="1">
        <f t="array" aca="1" ref="N752" ca="1">MONTH(DateVente)</f>
        <v>#VALUE!</v>
      </c>
      <c r="O752" t="str">
        <f>PROPER(VentesMagasins!$F752)</f>
        <v>Décoration</v>
      </c>
      <c r="P752">
        <f>VALUE(CLEAN(TRIM(SUBSTITUTE(VentesMagasins!$I752,".",","))))</f>
        <v>0.15</v>
      </c>
      <c r="Q752">
        <f>VALUE(TRIM(SUBSTITUTE(VentesMagasins!$J752,".",",")))</f>
        <v>1045.5</v>
      </c>
      <c r="R752">
        <f t="shared" si="33"/>
        <v>888.67499999999995</v>
      </c>
      <c r="S752">
        <f>IF(VentesMagasins!$K752=1,(-1)*R752,R752)</f>
        <v>888.67499999999995</v>
      </c>
      <c r="T752">
        <f>IFERROR(VALUE(TRIM(SUBSTITUTE(VentesMagasins!$L752,".",","))),0)</f>
        <v>2</v>
      </c>
      <c r="U752">
        <f t="shared" si="34"/>
        <v>2</v>
      </c>
      <c r="V752" t="str">
        <f t="shared" si="35"/>
        <v>faible</v>
      </c>
      <c r="W752" t="str">
        <f>_xlfn.XLOOKUP(VentesMagasins!$B752,Clients!ClientID,Région)</f>
        <v>Centre</v>
      </c>
      <c r="X752" t="str">
        <f>INDEX(TypeClient,MATCH(VentesMagasins!$B752,Clients!ClientID))</f>
        <v>Fidèle</v>
      </c>
      <c r="Y752" t="str">
        <v>sept</v>
      </c>
    </row>
    <row r="753" spans="1:25" x14ac:dyDescent="0.25">
      <c r="A753" s="2">
        <v>752</v>
      </c>
      <c r="B753" s="12" t="s">
        <v>194</v>
      </c>
      <c r="C753" s="13">
        <v>45872</v>
      </c>
      <c r="D753" s="12" t="s">
        <v>338</v>
      </c>
      <c r="E753" s="14" t="s">
        <v>362</v>
      </c>
      <c r="F753" s="12" t="s">
        <v>324</v>
      </c>
      <c r="G753" s="2">
        <v>5</v>
      </c>
      <c r="H753" s="3">
        <v>101</v>
      </c>
      <c r="I753" s="14" t="s">
        <v>355</v>
      </c>
      <c r="J753" s="12" t="s">
        <v>1032</v>
      </c>
      <c r="K753" s="2">
        <v>0</v>
      </c>
      <c r="L753" s="12" t="s">
        <v>327</v>
      </c>
      <c r="M753">
        <f>YEAR(VentesMagasins!$C753)</f>
        <v>2025</v>
      </c>
      <c r="N753" t="e" cm="1" vm="1">
        <f t="array" aca="1" ref="N753" ca="1">MONTH(DateVente)</f>
        <v>#VALUE!</v>
      </c>
      <c r="O753" t="str">
        <f>PROPER(VentesMagasins!$F753)</f>
        <v>Électronique</v>
      </c>
      <c r="P753">
        <f>VALUE(CLEAN(TRIM(SUBSTITUTE(VentesMagasins!$I753,".",","))))</f>
        <v>0.1</v>
      </c>
      <c r="Q753">
        <f>VALUE(TRIM(SUBSTITUTE(VentesMagasins!$J753,".",",")))</f>
        <v>454.5</v>
      </c>
      <c r="R753">
        <f t="shared" si="33"/>
        <v>409.05</v>
      </c>
      <c r="S753">
        <f>IF(VentesMagasins!$K753=1,(-1)*R753,R753)</f>
        <v>409.05</v>
      </c>
      <c r="T753">
        <f>IFERROR(VALUE(TRIM(SUBSTITUTE(VentesMagasins!$L753,".",","))),0)</f>
        <v>5</v>
      </c>
      <c r="U753">
        <f t="shared" si="34"/>
        <v>5</v>
      </c>
      <c r="V753" t="str">
        <f t="shared" si="35"/>
        <v>élévé</v>
      </c>
      <c r="W753" t="str">
        <f>_xlfn.XLOOKUP(VentesMagasins!$B753,Clients!ClientID,Région)</f>
        <v>Centre</v>
      </c>
      <c r="X753" t="str">
        <f>INDEX(TypeClient,MATCH(VentesMagasins!$B753,Clients!ClientID))</f>
        <v>Fidèle</v>
      </c>
      <c r="Y753" t="str">
        <v>août</v>
      </c>
    </row>
    <row r="754" spans="1:25" x14ac:dyDescent="0.25">
      <c r="A754" s="2">
        <v>753</v>
      </c>
      <c r="B754" s="12" t="s">
        <v>85</v>
      </c>
      <c r="C754" s="13">
        <v>45605</v>
      </c>
      <c r="D754" s="12" t="s">
        <v>333</v>
      </c>
      <c r="E754" s="14" t="s">
        <v>323</v>
      </c>
      <c r="F754" s="12" t="s">
        <v>324</v>
      </c>
      <c r="G754" s="2">
        <v>1</v>
      </c>
      <c r="H754" s="3">
        <v>417</v>
      </c>
      <c r="I754" s="14" t="s">
        <v>342</v>
      </c>
      <c r="J754" s="12" t="s">
        <v>1033</v>
      </c>
      <c r="K754" s="2">
        <v>0</v>
      </c>
      <c r="L754" s="12" t="s">
        <v>352</v>
      </c>
      <c r="M754">
        <f>YEAR(VentesMagasins!$C754)</f>
        <v>2024</v>
      </c>
      <c r="N754" t="e" cm="1" vm="1">
        <f t="array" aca="1" ref="N754" ca="1">MONTH(DateVente)</f>
        <v>#VALUE!</v>
      </c>
      <c r="O754" t="str">
        <f>PROPER(VentesMagasins!$F754)</f>
        <v>Électronique</v>
      </c>
      <c r="P754">
        <f>VALUE(CLEAN(TRIM(SUBSTITUTE(VentesMagasins!$I754,".",","))))</f>
        <v>0.05</v>
      </c>
      <c r="Q754">
        <f>VALUE(TRIM(SUBSTITUTE(VentesMagasins!$J754,".",",")))</f>
        <v>396.15</v>
      </c>
      <c r="R754">
        <f t="shared" si="33"/>
        <v>376.34249999999997</v>
      </c>
      <c r="S754">
        <f>IF(VentesMagasins!$K754=1,(-1)*R754,R754)</f>
        <v>376.34249999999997</v>
      </c>
      <c r="T754">
        <f>IFERROR(VALUE(TRIM(SUBSTITUTE(VentesMagasins!$L754,".",","))),0)</f>
        <v>0</v>
      </c>
      <c r="U754">
        <f t="shared" si="34"/>
        <v>3</v>
      </c>
      <c r="V754" t="str">
        <f t="shared" si="35"/>
        <v>moyenne</v>
      </c>
      <c r="W754" t="str">
        <f>_xlfn.XLOOKUP(VentesMagasins!$B754,Clients!ClientID,Région)</f>
        <v>Sud</v>
      </c>
      <c r="X754" t="str">
        <f>INDEX(TypeClient,MATCH(VentesMagasins!$B754,Clients!ClientID))</f>
        <v>Fidèle</v>
      </c>
      <c r="Y754" t="str">
        <v>nov</v>
      </c>
    </row>
    <row r="755" spans="1:25" x14ac:dyDescent="0.25">
      <c r="A755" s="2">
        <v>754</v>
      </c>
      <c r="B755" s="12" t="s">
        <v>92</v>
      </c>
      <c r="C755" s="13">
        <v>45111</v>
      </c>
      <c r="D755" s="12" t="s">
        <v>322</v>
      </c>
      <c r="E755" s="14" t="s">
        <v>364</v>
      </c>
      <c r="F755" s="12" t="s">
        <v>324</v>
      </c>
      <c r="G755" s="2">
        <v>5</v>
      </c>
      <c r="H755" s="3">
        <v>196</v>
      </c>
      <c r="I755" s="14" t="s">
        <v>355</v>
      </c>
      <c r="J755" s="12" t="s">
        <v>1034</v>
      </c>
      <c r="K755" s="2">
        <v>0</v>
      </c>
      <c r="L755" s="12" t="s">
        <v>332</v>
      </c>
      <c r="M755">
        <f>YEAR(VentesMagasins!$C755)</f>
        <v>2023</v>
      </c>
      <c r="N755" t="e" cm="1" vm="1">
        <f t="array" aca="1" ref="N755" ca="1">MONTH(DateVente)</f>
        <v>#VALUE!</v>
      </c>
      <c r="O755" t="str">
        <f>PROPER(VentesMagasins!$F755)</f>
        <v>Électronique</v>
      </c>
      <c r="P755">
        <f>VALUE(CLEAN(TRIM(SUBSTITUTE(VentesMagasins!$I755,".",","))))</f>
        <v>0.1</v>
      </c>
      <c r="Q755">
        <f>VALUE(TRIM(SUBSTITUTE(VentesMagasins!$J755,".",",")))</f>
        <v>882</v>
      </c>
      <c r="R755">
        <f t="shared" si="33"/>
        <v>793.80000000000007</v>
      </c>
      <c r="S755">
        <f>IF(VentesMagasins!$K755=1,(-1)*R755,R755)</f>
        <v>793.80000000000007</v>
      </c>
      <c r="T755">
        <f>IFERROR(VALUE(TRIM(SUBSTITUTE(VentesMagasins!$L755,".",","))),0)</f>
        <v>4</v>
      </c>
      <c r="U755">
        <f t="shared" si="34"/>
        <v>4</v>
      </c>
      <c r="V755" t="str">
        <f t="shared" si="35"/>
        <v>moyenne</v>
      </c>
      <c r="W755" t="str">
        <f>_xlfn.XLOOKUP(VentesMagasins!$B755,Clients!ClientID,Région)</f>
        <v>Centre</v>
      </c>
      <c r="X755" t="str">
        <f>INDEX(TypeClient,MATCH(VentesMagasins!$B755,Clients!ClientID))</f>
        <v>Fidèle</v>
      </c>
      <c r="Y755" t="str">
        <v>juil</v>
      </c>
    </row>
    <row r="756" spans="1:25" x14ac:dyDescent="0.25">
      <c r="A756" s="2">
        <v>755</v>
      </c>
      <c r="B756" s="12" t="s">
        <v>224</v>
      </c>
      <c r="C756" s="13">
        <v>45582</v>
      </c>
      <c r="D756" s="12" t="s">
        <v>350</v>
      </c>
      <c r="E756" s="14" t="s">
        <v>345</v>
      </c>
      <c r="F756" s="12" t="s">
        <v>330</v>
      </c>
      <c r="G756" s="2">
        <v>5</v>
      </c>
      <c r="H756" s="3">
        <v>349</v>
      </c>
      <c r="I756" s="14" t="s">
        <v>342</v>
      </c>
      <c r="J756" s="12" t="s">
        <v>1035</v>
      </c>
      <c r="K756" s="2">
        <v>1</v>
      </c>
      <c r="L756" s="12" t="s">
        <v>327</v>
      </c>
      <c r="M756">
        <f>YEAR(VentesMagasins!$C756)</f>
        <v>2024</v>
      </c>
      <c r="N756" t="e" cm="1" vm="1">
        <f t="array" aca="1" ref="N756" ca="1">MONTH(DateVente)</f>
        <v>#VALUE!</v>
      </c>
      <c r="O756" t="str">
        <f>PROPER(VentesMagasins!$F756)</f>
        <v>Décoration</v>
      </c>
      <c r="P756">
        <f>VALUE(CLEAN(TRIM(SUBSTITUTE(VentesMagasins!$I756,".",","))))</f>
        <v>0.05</v>
      </c>
      <c r="Q756">
        <f>VALUE(TRIM(SUBSTITUTE(VentesMagasins!$J756,".",",")))</f>
        <v>1657.75</v>
      </c>
      <c r="R756">
        <f t="shared" si="33"/>
        <v>1574.8625</v>
      </c>
      <c r="S756">
        <f>IF(VentesMagasins!$K756=1,(-1)*R756,R756)</f>
        <v>-1574.8625</v>
      </c>
      <c r="T756">
        <f>IFERROR(VALUE(TRIM(SUBSTITUTE(VentesMagasins!$L756,".",","))),0)</f>
        <v>5</v>
      </c>
      <c r="U756">
        <f t="shared" si="34"/>
        <v>5</v>
      </c>
      <c r="V756" t="str">
        <f t="shared" si="35"/>
        <v>élévé</v>
      </c>
      <c r="W756" t="str">
        <f>_xlfn.XLOOKUP(VentesMagasins!$B756,Clients!ClientID,Région)</f>
        <v>Ouest</v>
      </c>
      <c r="X756" t="str">
        <f>INDEX(TypeClient,MATCH(VentesMagasins!$B756,Clients!ClientID))</f>
        <v>Occasionnel</v>
      </c>
      <c r="Y756" t="str">
        <v>oct</v>
      </c>
    </row>
    <row r="757" spans="1:25" x14ac:dyDescent="0.25">
      <c r="A757" s="2">
        <v>756</v>
      </c>
      <c r="B757" s="12" t="s">
        <v>162</v>
      </c>
      <c r="C757" s="13">
        <v>45299</v>
      </c>
      <c r="D757" s="12" t="s">
        <v>328</v>
      </c>
      <c r="E757" s="14" t="s">
        <v>329</v>
      </c>
      <c r="F757" s="12" t="s">
        <v>341</v>
      </c>
      <c r="G757" s="2">
        <v>2</v>
      </c>
      <c r="H757" s="3">
        <v>114</v>
      </c>
      <c r="I757" s="14" t="s">
        <v>325</v>
      </c>
      <c r="J757" s="12" t="s">
        <v>1036</v>
      </c>
      <c r="K757" s="2">
        <v>1</v>
      </c>
      <c r="L757" s="12" t="s">
        <v>352</v>
      </c>
      <c r="M757">
        <f>YEAR(VentesMagasins!$C757)</f>
        <v>2024</v>
      </c>
      <c r="N757" t="e" cm="1" vm="1">
        <f t="array" aca="1" ref="N757" ca="1">MONTH(DateVente)</f>
        <v>#VALUE!</v>
      </c>
      <c r="O757" t="str">
        <f>PROPER(VentesMagasins!$F757)</f>
        <v>Meuble</v>
      </c>
      <c r="P757">
        <f>VALUE(CLEAN(TRIM(SUBSTITUTE(VentesMagasins!$I757,".",","))))</f>
        <v>0.15</v>
      </c>
      <c r="Q757">
        <f>VALUE(TRIM(SUBSTITUTE(VentesMagasins!$J757,".",",")))</f>
        <v>193.79999999999899</v>
      </c>
      <c r="R757">
        <f t="shared" si="33"/>
        <v>164.72999999999914</v>
      </c>
      <c r="S757">
        <f>IF(VentesMagasins!$K757=1,(-1)*R757,R757)</f>
        <v>-164.72999999999914</v>
      </c>
      <c r="T757">
        <f>IFERROR(VALUE(TRIM(SUBSTITUTE(VentesMagasins!$L757,".",","))),0)</f>
        <v>0</v>
      </c>
      <c r="U757">
        <f t="shared" si="34"/>
        <v>3</v>
      </c>
      <c r="V757" t="str">
        <f t="shared" si="35"/>
        <v>moyenne</v>
      </c>
      <c r="W757" t="str">
        <f>_xlfn.XLOOKUP(VentesMagasins!$B757,Clients!ClientID,Région)</f>
        <v>Sud</v>
      </c>
      <c r="X757" t="str">
        <f>INDEX(TypeClient,MATCH(VentesMagasins!$B757,Clients!ClientID))</f>
        <v>Fidèle</v>
      </c>
      <c r="Y757" t="str">
        <v>janv</v>
      </c>
    </row>
    <row r="758" spans="1:25" x14ac:dyDescent="0.25">
      <c r="A758" s="2">
        <v>757</v>
      </c>
      <c r="B758" s="12" t="s">
        <v>171</v>
      </c>
      <c r="C758" s="13">
        <v>45781</v>
      </c>
      <c r="D758" s="12" t="s">
        <v>333</v>
      </c>
      <c r="E758" s="14" t="s">
        <v>362</v>
      </c>
      <c r="F758" s="12" t="s">
        <v>324</v>
      </c>
      <c r="G758" s="2">
        <v>2</v>
      </c>
      <c r="H758" s="3">
        <v>404</v>
      </c>
      <c r="I758" s="14" t="s">
        <v>342</v>
      </c>
      <c r="J758" s="12" t="s">
        <v>1037</v>
      </c>
      <c r="K758" s="2">
        <v>0</v>
      </c>
      <c r="L758" s="12" t="s">
        <v>337</v>
      </c>
      <c r="M758">
        <f>YEAR(VentesMagasins!$C758)</f>
        <v>2025</v>
      </c>
      <c r="N758" t="e" cm="1" vm="1">
        <f t="array" aca="1" ref="N758" ca="1">MONTH(DateVente)</f>
        <v>#VALUE!</v>
      </c>
      <c r="O758" t="str">
        <f>PROPER(VentesMagasins!$F758)</f>
        <v>Électronique</v>
      </c>
      <c r="P758">
        <f>VALUE(CLEAN(TRIM(SUBSTITUTE(VentesMagasins!$I758,".",","))))</f>
        <v>0.05</v>
      </c>
      <c r="Q758">
        <f>VALUE(TRIM(SUBSTITUTE(VentesMagasins!$J758,".",",")))</f>
        <v>767.599999999999</v>
      </c>
      <c r="R758">
        <f t="shared" si="33"/>
        <v>729.219999999999</v>
      </c>
      <c r="S758">
        <f>IF(VentesMagasins!$K758=1,(-1)*R758,R758)</f>
        <v>729.219999999999</v>
      </c>
      <c r="T758">
        <f>IFERROR(VALUE(TRIM(SUBSTITUTE(VentesMagasins!$L758,".",","))),0)</f>
        <v>3</v>
      </c>
      <c r="U758">
        <f t="shared" si="34"/>
        <v>3</v>
      </c>
      <c r="V758" t="str">
        <f t="shared" si="35"/>
        <v>moyenne</v>
      </c>
      <c r="W758" t="str">
        <f>_xlfn.XLOOKUP(VentesMagasins!$B758,Clients!ClientID,Région)</f>
        <v>Nord</v>
      </c>
      <c r="X758" t="str">
        <f>INDEX(TypeClient,MATCH(VentesMagasins!$B758,Clients!ClientID))</f>
        <v>Fidèle</v>
      </c>
      <c r="Y758" t="str">
        <v>mai</v>
      </c>
    </row>
    <row r="759" spans="1:25" x14ac:dyDescent="0.25">
      <c r="A759" s="2">
        <v>758</v>
      </c>
      <c r="B759" s="12" t="s">
        <v>51</v>
      </c>
      <c r="C759" s="13">
        <v>45113</v>
      </c>
      <c r="D759" s="12" t="s">
        <v>322</v>
      </c>
      <c r="E759" s="14" t="s">
        <v>329</v>
      </c>
      <c r="F759" s="12" t="s">
        <v>324</v>
      </c>
      <c r="G759" s="2">
        <v>5</v>
      </c>
      <c r="H759" s="3">
        <v>162</v>
      </c>
      <c r="I759" s="14" t="s">
        <v>335</v>
      </c>
      <c r="J759" s="12" t="s">
        <v>588</v>
      </c>
      <c r="K759" s="2">
        <v>0</v>
      </c>
      <c r="L759" s="12" t="s">
        <v>344</v>
      </c>
      <c r="M759">
        <f>YEAR(VentesMagasins!$C759)</f>
        <v>2023</v>
      </c>
      <c r="N759" t="e" cm="1" vm="1">
        <f t="array" aca="1" ref="N759" ca="1">MONTH(DateVente)</f>
        <v>#VALUE!</v>
      </c>
      <c r="O759" t="str">
        <f>PROPER(VentesMagasins!$F759)</f>
        <v>Électronique</v>
      </c>
      <c r="P759">
        <f>VALUE(CLEAN(TRIM(SUBSTITUTE(VentesMagasins!$I759,".",","))))</f>
        <v>0</v>
      </c>
      <c r="Q759">
        <f>VALUE(TRIM(SUBSTITUTE(VentesMagasins!$J759,".",",")))</f>
        <v>810</v>
      </c>
      <c r="R759">
        <f t="shared" si="33"/>
        <v>810</v>
      </c>
      <c r="S759">
        <f>IF(VentesMagasins!$K759=1,(-1)*R759,R759)</f>
        <v>810</v>
      </c>
      <c r="T759">
        <f>IFERROR(VALUE(TRIM(SUBSTITUTE(VentesMagasins!$L759,".",","))),0)</f>
        <v>2</v>
      </c>
      <c r="U759">
        <f t="shared" si="34"/>
        <v>2</v>
      </c>
      <c r="V759" t="str">
        <f t="shared" si="35"/>
        <v>faible</v>
      </c>
      <c r="W759" t="str">
        <f>_xlfn.XLOOKUP(VentesMagasins!$B759,Clients!ClientID,Région)</f>
        <v>Sud</v>
      </c>
      <c r="X759" t="str">
        <f>INDEX(TypeClient,MATCH(VentesMagasins!$B759,Clients!ClientID))</f>
        <v>Fidèle</v>
      </c>
      <c r="Y759" t="str">
        <v>juil</v>
      </c>
    </row>
    <row r="760" spans="1:25" x14ac:dyDescent="0.25">
      <c r="A760" s="2">
        <v>759</v>
      </c>
      <c r="B760" s="12" t="s">
        <v>167</v>
      </c>
      <c r="C760" s="13">
        <v>45985</v>
      </c>
      <c r="D760" s="12" t="s">
        <v>338</v>
      </c>
      <c r="E760" s="14" t="s">
        <v>323</v>
      </c>
      <c r="F760" s="12" t="s">
        <v>324</v>
      </c>
      <c r="G760" s="2">
        <v>4</v>
      </c>
      <c r="H760" s="3">
        <v>111</v>
      </c>
      <c r="I760" s="14" t="s">
        <v>342</v>
      </c>
      <c r="J760" s="12" t="s">
        <v>1038</v>
      </c>
      <c r="K760" s="2">
        <v>0</v>
      </c>
      <c r="L760" s="12" t="s">
        <v>327</v>
      </c>
      <c r="M760">
        <f>YEAR(VentesMagasins!$C760)</f>
        <v>2025</v>
      </c>
      <c r="N760" t="e" cm="1" vm="1">
        <f t="array" aca="1" ref="N760" ca="1">MONTH(DateVente)</f>
        <v>#VALUE!</v>
      </c>
      <c r="O760" t="str">
        <f>PROPER(VentesMagasins!$F760)</f>
        <v>Électronique</v>
      </c>
      <c r="P760">
        <f>VALUE(CLEAN(TRIM(SUBSTITUTE(VentesMagasins!$I760,".",","))))</f>
        <v>0.05</v>
      </c>
      <c r="Q760">
        <f>VALUE(TRIM(SUBSTITUTE(VentesMagasins!$J760,".",",")))</f>
        <v>421.79999999999899</v>
      </c>
      <c r="R760">
        <f t="shared" si="33"/>
        <v>400.70999999999901</v>
      </c>
      <c r="S760">
        <f>IF(VentesMagasins!$K760=1,(-1)*R760,R760)</f>
        <v>400.70999999999901</v>
      </c>
      <c r="T760">
        <f>IFERROR(VALUE(TRIM(SUBSTITUTE(VentesMagasins!$L760,".",","))),0)</f>
        <v>5</v>
      </c>
      <c r="U760">
        <f t="shared" si="34"/>
        <v>5</v>
      </c>
      <c r="V760" t="str">
        <f t="shared" si="35"/>
        <v>élévé</v>
      </c>
      <c r="W760" t="str">
        <f>_xlfn.XLOOKUP(VentesMagasins!$B760,Clients!ClientID,Région)</f>
        <v>Ouest</v>
      </c>
      <c r="X760" t="str">
        <f>INDEX(TypeClient,MATCH(VentesMagasins!$B760,Clients!ClientID))</f>
        <v>Nouveau</v>
      </c>
      <c r="Y760" t="str">
        <v>nov</v>
      </c>
    </row>
    <row r="761" spans="1:25" x14ac:dyDescent="0.25">
      <c r="A761" s="2">
        <v>760</v>
      </c>
      <c r="B761" s="12" t="s">
        <v>108</v>
      </c>
      <c r="C761" s="13">
        <v>45299</v>
      </c>
      <c r="D761" s="12" t="s">
        <v>333</v>
      </c>
      <c r="E761" s="14" t="s">
        <v>362</v>
      </c>
      <c r="F761" s="12" t="s">
        <v>330</v>
      </c>
      <c r="G761" s="2">
        <v>1</v>
      </c>
      <c r="H761" s="3">
        <v>102</v>
      </c>
      <c r="I761" s="14" t="s">
        <v>342</v>
      </c>
      <c r="J761" s="12" t="s">
        <v>1039</v>
      </c>
      <c r="K761" s="2">
        <v>1</v>
      </c>
      <c r="L761" s="12" t="s">
        <v>332</v>
      </c>
      <c r="M761">
        <f>YEAR(VentesMagasins!$C761)</f>
        <v>2024</v>
      </c>
      <c r="N761" t="e" cm="1" vm="1">
        <f t="array" aca="1" ref="N761" ca="1">MONTH(DateVente)</f>
        <v>#VALUE!</v>
      </c>
      <c r="O761" t="str">
        <f>PROPER(VentesMagasins!$F761)</f>
        <v>Décoration</v>
      </c>
      <c r="P761">
        <f>VALUE(CLEAN(TRIM(SUBSTITUTE(VentesMagasins!$I761,".",","))))</f>
        <v>0.05</v>
      </c>
      <c r="Q761">
        <f>VALUE(TRIM(SUBSTITUTE(VentesMagasins!$J761,".",",")))</f>
        <v>87.21</v>
      </c>
      <c r="R761">
        <f t="shared" si="33"/>
        <v>82.849499999999992</v>
      </c>
      <c r="S761">
        <f>IF(VentesMagasins!$K761=1,(-1)*R761,R761)</f>
        <v>-82.849499999999992</v>
      </c>
      <c r="T761">
        <f>IFERROR(VALUE(TRIM(SUBSTITUTE(VentesMagasins!$L761,".",","))),0)</f>
        <v>4</v>
      </c>
      <c r="U761">
        <f t="shared" si="34"/>
        <v>4</v>
      </c>
      <c r="V761" t="str">
        <f t="shared" si="35"/>
        <v>moyenne</v>
      </c>
      <c r="W761" t="str">
        <f>_xlfn.XLOOKUP(VentesMagasins!$B761,Clients!ClientID,Région)</f>
        <v>Sud</v>
      </c>
      <c r="X761" t="str">
        <f>INDEX(TypeClient,MATCH(VentesMagasins!$B761,Clients!ClientID))</f>
        <v>Fidèle</v>
      </c>
      <c r="Y761" t="str">
        <v>janv</v>
      </c>
    </row>
    <row r="762" spans="1:25" x14ac:dyDescent="0.25">
      <c r="A762" s="2">
        <v>761</v>
      </c>
      <c r="B762" s="12" t="s">
        <v>86</v>
      </c>
      <c r="C762" s="13">
        <v>45974</v>
      </c>
      <c r="D762" s="12" t="s">
        <v>322</v>
      </c>
      <c r="E762" s="14" t="s">
        <v>329</v>
      </c>
      <c r="F762" s="12" t="s">
        <v>330</v>
      </c>
      <c r="G762" s="2">
        <v>4</v>
      </c>
      <c r="H762" s="3">
        <v>54</v>
      </c>
      <c r="I762" s="14" t="s">
        <v>342</v>
      </c>
      <c r="J762" s="12" t="s">
        <v>791</v>
      </c>
      <c r="K762" s="2">
        <v>0</v>
      </c>
      <c r="L762" s="12" t="s">
        <v>327</v>
      </c>
      <c r="M762">
        <f>YEAR(VentesMagasins!$C762)</f>
        <v>2025</v>
      </c>
      <c r="N762" t="e" cm="1" vm="1">
        <f t="array" aca="1" ref="N762" ca="1">MONTH(DateVente)</f>
        <v>#VALUE!</v>
      </c>
      <c r="O762" t="str">
        <f>PROPER(VentesMagasins!$F762)</f>
        <v>Décoration</v>
      </c>
      <c r="P762">
        <f>VALUE(CLEAN(TRIM(SUBSTITUTE(VentesMagasins!$I762,".",","))))</f>
        <v>0.05</v>
      </c>
      <c r="Q762">
        <f>VALUE(TRIM(SUBSTITUTE(VentesMagasins!$J762,".",",")))</f>
        <v>205.2</v>
      </c>
      <c r="R762">
        <f t="shared" si="33"/>
        <v>194.93999999999997</v>
      </c>
      <c r="S762">
        <f>IF(VentesMagasins!$K762=1,(-1)*R762,R762)</f>
        <v>194.93999999999997</v>
      </c>
      <c r="T762">
        <f>IFERROR(VALUE(TRIM(SUBSTITUTE(VentesMagasins!$L762,".",","))),0)</f>
        <v>5</v>
      </c>
      <c r="U762">
        <f t="shared" si="34"/>
        <v>5</v>
      </c>
      <c r="V762" t="str">
        <f t="shared" si="35"/>
        <v>élévé</v>
      </c>
      <c r="W762" t="str">
        <f>_xlfn.XLOOKUP(VentesMagasins!$B762,Clients!ClientID,Région)</f>
        <v>Sud</v>
      </c>
      <c r="X762" t="str">
        <f>INDEX(TypeClient,MATCH(VentesMagasins!$B762,Clients!ClientID))</f>
        <v>Nouveau</v>
      </c>
      <c r="Y762" t="str">
        <v>nov</v>
      </c>
    </row>
    <row r="763" spans="1:25" x14ac:dyDescent="0.25">
      <c r="A763" s="2">
        <v>762</v>
      </c>
      <c r="B763" s="12" t="s">
        <v>280</v>
      </c>
      <c r="C763" s="13">
        <v>45258</v>
      </c>
      <c r="D763" s="12" t="s">
        <v>328</v>
      </c>
      <c r="E763" s="14" t="s">
        <v>334</v>
      </c>
      <c r="F763" s="12" t="s">
        <v>330</v>
      </c>
      <c r="G763" s="2">
        <v>1</v>
      </c>
      <c r="H763" s="3">
        <v>451</v>
      </c>
      <c r="I763" s="14" t="s">
        <v>355</v>
      </c>
      <c r="J763" s="12" t="s">
        <v>1040</v>
      </c>
      <c r="K763" s="2">
        <v>1</v>
      </c>
      <c r="L763" s="12" t="s">
        <v>327</v>
      </c>
      <c r="M763">
        <f>YEAR(VentesMagasins!$C763)</f>
        <v>2023</v>
      </c>
      <c r="N763" t="e" cm="1" vm="1">
        <f t="array" aca="1" ref="N763" ca="1">MONTH(DateVente)</f>
        <v>#VALUE!</v>
      </c>
      <c r="O763" t="str">
        <f>PROPER(VentesMagasins!$F763)</f>
        <v>Décoration</v>
      </c>
      <c r="P763">
        <f>VALUE(CLEAN(TRIM(SUBSTITUTE(VentesMagasins!$I763,".",","))))</f>
        <v>0.1</v>
      </c>
      <c r="Q763">
        <f>VALUE(TRIM(SUBSTITUTE(VentesMagasins!$J763,".",",")))</f>
        <v>405.9</v>
      </c>
      <c r="R763">
        <f t="shared" si="33"/>
        <v>365.31</v>
      </c>
      <c r="S763">
        <f>IF(VentesMagasins!$K763=1,(-1)*R763,R763)</f>
        <v>-365.31</v>
      </c>
      <c r="T763">
        <f>IFERROR(VALUE(TRIM(SUBSTITUTE(VentesMagasins!$L763,".",","))),0)</f>
        <v>5</v>
      </c>
      <c r="U763">
        <f t="shared" si="34"/>
        <v>5</v>
      </c>
      <c r="V763" t="str">
        <f t="shared" si="35"/>
        <v>élévé</v>
      </c>
      <c r="W763" t="str">
        <f>_xlfn.XLOOKUP(VentesMagasins!$B763,Clients!ClientID,Région)</f>
        <v>Ouest</v>
      </c>
      <c r="X763" t="str">
        <f>INDEX(TypeClient,MATCH(VentesMagasins!$B763,Clients!ClientID))</f>
        <v>Nouveau</v>
      </c>
      <c r="Y763" t="str">
        <v>nov</v>
      </c>
    </row>
    <row r="764" spans="1:25" x14ac:dyDescent="0.25">
      <c r="A764" s="2">
        <v>763</v>
      </c>
      <c r="B764" s="12" t="s">
        <v>75</v>
      </c>
      <c r="C764" s="13">
        <v>45145</v>
      </c>
      <c r="D764" s="12" t="s">
        <v>328</v>
      </c>
      <c r="E764" s="14" t="s">
        <v>364</v>
      </c>
      <c r="F764" s="12" t="s">
        <v>330</v>
      </c>
      <c r="G764" s="2">
        <v>3</v>
      </c>
      <c r="H764" s="3">
        <v>403</v>
      </c>
      <c r="I764" s="14" t="s">
        <v>342</v>
      </c>
      <c r="J764" s="12" t="s">
        <v>1041</v>
      </c>
      <c r="K764" s="2">
        <v>0</v>
      </c>
      <c r="L764" s="12" t="s">
        <v>327</v>
      </c>
      <c r="M764">
        <f>YEAR(VentesMagasins!$C764)</f>
        <v>2023</v>
      </c>
      <c r="N764" t="e" cm="1" vm="1">
        <f t="array" aca="1" ref="N764" ca="1">MONTH(DateVente)</f>
        <v>#VALUE!</v>
      </c>
      <c r="O764" t="str">
        <f>PROPER(VentesMagasins!$F764)</f>
        <v>Décoration</v>
      </c>
      <c r="P764">
        <f>VALUE(CLEAN(TRIM(SUBSTITUTE(VentesMagasins!$I764,".",","))))</f>
        <v>0.05</v>
      </c>
      <c r="Q764">
        <f>VALUE(TRIM(SUBSTITUTE(VentesMagasins!$J764,".",",")))</f>
        <v>1148.55</v>
      </c>
      <c r="R764">
        <f t="shared" si="33"/>
        <v>1091.1224999999999</v>
      </c>
      <c r="S764">
        <f>IF(VentesMagasins!$K764=1,(-1)*R764,R764)</f>
        <v>1091.1224999999999</v>
      </c>
      <c r="T764">
        <f>IFERROR(VALUE(TRIM(SUBSTITUTE(VentesMagasins!$L764,".",","))),0)</f>
        <v>5</v>
      </c>
      <c r="U764">
        <f t="shared" si="34"/>
        <v>5</v>
      </c>
      <c r="V764" t="str">
        <f t="shared" si="35"/>
        <v>élévé</v>
      </c>
      <c r="W764" t="str">
        <f>_xlfn.XLOOKUP(VentesMagasins!$B764,Clients!ClientID,Région)</f>
        <v>Est</v>
      </c>
      <c r="X764" t="str">
        <f>INDEX(TypeClient,MATCH(VentesMagasins!$B764,Clients!ClientID))</f>
        <v>Nouveau</v>
      </c>
      <c r="Y764" t="str">
        <v>août</v>
      </c>
    </row>
    <row r="765" spans="1:25" x14ac:dyDescent="0.25">
      <c r="A765" s="2">
        <v>764</v>
      </c>
      <c r="B765" s="12" t="s">
        <v>74</v>
      </c>
      <c r="C765" s="13">
        <v>45407</v>
      </c>
      <c r="D765" s="12" t="s">
        <v>350</v>
      </c>
      <c r="E765" s="14" t="s">
        <v>334</v>
      </c>
      <c r="F765" s="12" t="s">
        <v>330</v>
      </c>
      <c r="G765" s="2">
        <v>2</v>
      </c>
      <c r="H765" s="3">
        <v>309</v>
      </c>
      <c r="I765" s="14" t="s">
        <v>355</v>
      </c>
      <c r="J765" s="12" t="s">
        <v>1042</v>
      </c>
      <c r="K765" s="2">
        <v>0</v>
      </c>
      <c r="L765" s="12" t="s">
        <v>344</v>
      </c>
      <c r="M765">
        <f>YEAR(VentesMagasins!$C765)</f>
        <v>2024</v>
      </c>
      <c r="N765" t="e" cm="1" vm="1">
        <f t="array" aca="1" ref="N765" ca="1">MONTH(DateVente)</f>
        <v>#VALUE!</v>
      </c>
      <c r="O765" t="str">
        <f>PROPER(VentesMagasins!$F765)</f>
        <v>Décoration</v>
      </c>
      <c r="P765">
        <f>VALUE(CLEAN(TRIM(SUBSTITUTE(VentesMagasins!$I765,".",","))))</f>
        <v>0.1</v>
      </c>
      <c r="Q765">
        <f>VALUE(TRIM(SUBSTITUTE(VentesMagasins!$J765,".",",")))</f>
        <v>556.20000000000005</v>
      </c>
      <c r="R765">
        <f t="shared" si="33"/>
        <v>500.58000000000004</v>
      </c>
      <c r="S765">
        <f>IF(VentesMagasins!$K765=1,(-1)*R765,R765)</f>
        <v>500.58000000000004</v>
      </c>
      <c r="T765">
        <f>IFERROR(VALUE(TRIM(SUBSTITUTE(VentesMagasins!$L765,".",","))),0)</f>
        <v>2</v>
      </c>
      <c r="U765">
        <f t="shared" si="34"/>
        <v>2</v>
      </c>
      <c r="V765" t="str">
        <f t="shared" si="35"/>
        <v>faible</v>
      </c>
      <c r="W765" t="str">
        <f>_xlfn.XLOOKUP(VentesMagasins!$B765,Clients!ClientID,Région)</f>
        <v>Centre</v>
      </c>
      <c r="X765" t="str">
        <f>INDEX(TypeClient,MATCH(VentesMagasins!$B765,Clients!ClientID))</f>
        <v>Fidèle</v>
      </c>
      <c r="Y765" t="str">
        <v>avr</v>
      </c>
    </row>
    <row r="766" spans="1:25" x14ac:dyDescent="0.25">
      <c r="A766" s="2">
        <v>765</v>
      </c>
      <c r="B766" s="12" t="s">
        <v>59</v>
      </c>
      <c r="C766" s="13">
        <v>45878</v>
      </c>
      <c r="D766" s="12" t="s">
        <v>328</v>
      </c>
      <c r="E766" s="14" t="s">
        <v>362</v>
      </c>
      <c r="F766" s="12" t="s">
        <v>324</v>
      </c>
      <c r="G766" s="2">
        <v>5</v>
      </c>
      <c r="H766" s="3">
        <v>341</v>
      </c>
      <c r="I766" s="14" t="s">
        <v>342</v>
      </c>
      <c r="J766" s="12" t="s">
        <v>1043</v>
      </c>
      <c r="K766" s="2">
        <v>1</v>
      </c>
      <c r="L766" s="12" t="s">
        <v>327</v>
      </c>
      <c r="M766">
        <f>YEAR(VentesMagasins!$C766)</f>
        <v>2025</v>
      </c>
      <c r="N766" t="e" cm="1" vm="1">
        <f t="array" aca="1" ref="N766" ca="1">MONTH(DateVente)</f>
        <v>#VALUE!</v>
      </c>
      <c r="O766" t="str">
        <f>PROPER(VentesMagasins!$F766)</f>
        <v>Électronique</v>
      </c>
      <c r="P766">
        <f>VALUE(CLEAN(TRIM(SUBSTITUTE(VentesMagasins!$I766,".",","))))</f>
        <v>0.05</v>
      </c>
      <c r="Q766">
        <f>VALUE(TRIM(SUBSTITUTE(VentesMagasins!$J766,".",",")))</f>
        <v>1619.75</v>
      </c>
      <c r="R766">
        <f t="shared" si="33"/>
        <v>1538.7624999999998</v>
      </c>
      <c r="S766">
        <f>IF(VentesMagasins!$K766=1,(-1)*R766,R766)</f>
        <v>-1538.7624999999998</v>
      </c>
      <c r="T766">
        <f>IFERROR(VALUE(TRIM(SUBSTITUTE(VentesMagasins!$L766,".",","))),0)</f>
        <v>5</v>
      </c>
      <c r="U766">
        <f t="shared" si="34"/>
        <v>5</v>
      </c>
      <c r="V766" t="str">
        <f t="shared" si="35"/>
        <v>élévé</v>
      </c>
      <c r="W766" t="str">
        <f>_xlfn.XLOOKUP(VentesMagasins!$B766,Clients!ClientID,Région)</f>
        <v>Sud</v>
      </c>
      <c r="X766" t="str">
        <f>INDEX(TypeClient,MATCH(VentesMagasins!$B766,Clients!ClientID))</f>
        <v>Occasionnel</v>
      </c>
      <c r="Y766" t="str">
        <v>août</v>
      </c>
    </row>
    <row r="767" spans="1:25" x14ac:dyDescent="0.25">
      <c r="A767" s="2">
        <v>766</v>
      </c>
      <c r="B767" s="12" t="s">
        <v>178</v>
      </c>
      <c r="C767" s="13">
        <v>45452</v>
      </c>
      <c r="D767" s="12" t="s">
        <v>350</v>
      </c>
      <c r="E767" s="14" t="s">
        <v>339</v>
      </c>
      <c r="F767" s="12" t="s">
        <v>341</v>
      </c>
      <c r="G767" s="2">
        <v>2</v>
      </c>
      <c r="H767" s="3">
        <v>39</v>
      </c>
      <c r="I767" s="14" t="s">
        <v>355</v>
      </c>
      <c r="J767" s="12" t="s">
        <v>1044</v>
      </c>
      <c r="K767" s="2">
        <v>1</v>
      </c>
      <c r="L767" s="12" t="s">
        <v>337</v>
      </c>
      <c r="M767">
        <f>YEAR(VentesMagasins!$C767)</f>
        <v>2024</v>
      </c>
      <c r="N767" t="e" cm="1" vm="1">
        <f t="array" aca="1" ref="N767" ca="1">MONTH(DateVente)</f>
        <v>#VALUE!</v>
      </c>
      <c r="O767" t="str">
        <f>PROPER(VentesMagasins!$F767)</f>
        <v>Meuble</v>
      </c>
      <c r="P767">
        <f>VALUE(CLEAN(TRIM(SUBSTITUTE(VentesMagasins!$I767,".",","))))</f>
        <v>0.1</v>
      </c>
      <c r="Q767">
        <f>VALUE(TRIM(SUBSTITUTE(VentesMagasins!$J767,".",",")))</f>
        <v>70.2</v>
      </c>
      <c r="R767">
        <f t="shared" si="33"/>
        <v>63.180000000000007</v>
      </c>
      <c r="S767">
        <f>IF(VentesMagasins!$K767=1,(-1)*R767,R767)</f>
        <v>-63.180000000000007</v>
      </c>
      <c r="T767">
        <f>IFERROR(VALUE(TRIM(SUBSTITUTE(VentesMagasins!$L767,".",","))),0)</f>
        <v>3</v>
      </c>
      <c r="U767">
        <f t="shared" si="34"/>
        <v>3</v>
      </c>
      <c r="V767" t="str">
        <f t="shared" si="35"/>
        <v>moyenne</v>
      </c>
      <c r="W767" t="str">
        <f>_xlfn.XLOOKUP(VentesMagasins!$B767,Clients!ClientID,Région)</f>
        <v>Ouest</v>
      </c>
      <c r="X767" t="str">
        <f>INDEX(TypeClient,MATCH(VentesMagasins!$B767,Clients!ClientID))</f>
        <v>Occasionnel</v>
      </c>
      <c r="Y767" t="str">
        <v>juin</v>
      </c>
    </row>
    <row r="768" spans="1:25" x14ac:dyDescent="0.25">
      <c r="A768" s="2">
        <v>767</v>
      </c>
      <c r="B768" s="12" t="s">
        <v>186</v>
      </c>
      <c r="C768" s="13">
        <v>45187</v>
      </c>
      <c r="D768" s="12" t="s">
        <v>360</v>
      </c>
      <c r="E768" s="14" t="s">
        <v>334</v>
      </c>
      <c r="F768" s="12" t="s">
        <v>324</v>
      </c>
      <c r="G768" s="2">
        <v>5</v>
      </c>
      <c r="H768" s="3">
        <v>30</v>
      </c>
      <c r="I768" s="14" t="s">
        <v>335</v>
      </c>
      <c r="J768" s="12" t="s">
        <v>721</v>
      </c>
      <c r="K768" s="2">
        <v>1</v>
      </c>
      <c r="L768" s="12" t="s">
        <v>352</v>
      </c>
      <c r="M768">
        <f>YEAR(VentesMagasins!$C768)</f>
        <v>2023</v>
      </c>
      <c r="N768" t="e" cm="1" vm="1">
        <f t="array" aca="1" ref="N768" ca="1">MONTH(DateVente)</f>
        <v>#VALUE!</v>
      </c>
      <c r="O768" t="str">
        <f>PROPER(VentesMagasins!$F768)</f>
        <v>Électronique</v>
      </c>
      <c r="P768">
        <f>VALUE(CLEAN(TRIM(SUBSTITUTE(VentesMagasins!$I768,".",","))))</f>
        <v>0</v>
      </c>
      <c r="Q768">
        <f>VALUE(TRIM(SUBSTITUTE(VentesMagasins!$J768,".",",")))</f>
        <v>150</v>
      </c>
      <c r="R768">
        <f t="shared" si="33"/>
        <v>150</v>
      </c>
      <c r="S768">
        <f>IF(VentesMagasins!$K768=1,(-1)*R768,R768)</f>
        <v>-150</v>
      </c>
      <c r="T768">
        <f>IFERROR(VALUE(TRIM(SUBSTITUTE(VentesMagasins!$L768,".",","))),0)</f>
        <v>0</v>
      </c>
      <c r="U768">
        <f t="shared" si="34"/>
        <v>3</v>
      </c>
      <c r="V768" t="str">
        <f t="shared" si="35"/>
        <v>moyenne</v>
      </c>
      <c r="W768" t="str">
        <f>_xlfn.XLOOKUP(VentesMagasins!$B768,Clients!ClientID,Région)</f>
        <v>Nord</v>
      </c>
      <c r="X768" t="str">
        <f>INDEX(TypeClient,MATCH(VentesMagasins!$B768,Clients!ClientID))</f>
        <v>Occasionnel</v>
      </c>
      <c r="Y768" t="str">
        <v>sept</v>
      </c>
    </row>
    <row r="769" spans="1:25" x14ac:dyDescent="0.25">
      <c r="A769" s="2">
        <v>768</v>
      </c>
      <c r="B769" s="12" t="s">
        <v>199</v>
      </c>
      <c r="C769" s="13">
        <v>45116</v>
      </c>
      <c r="D769" s="12" t="s">
        <v>328</v>
      </c>
      <c r="E769" s="14" t="s">
        <v>329</v>
      </c>
      <c r="F769" s="12" t="s">
        <v>330</v>
      </c>
      <c r="G769" s="2">
        <v>2</v>
      </c>
      <c r="H769" s="3">
        <v>230</v>
      </c>
      <c r="I769" s="14" t="s">
        <v>342</v>
      </c>
      <c r="J769" s="12" t="s">
        <v>607</v>
      </c>
      <c r="K769" s="2">
        <v>0</v>
      </c>
      <c r="L769" s="12" t="s">
        <v>344</v>
      </c>
      <c r="M769">
        <f>YEAR(VentesMagasins!$C769)</f>
        <v>2023</v>
      </c>
      <c r="N769" t="e" cm="1" vm="1">
        <f t="array" aca="1" ref="N769" ca="1">MONTH(DateVente)</f>
        <v>#VALUE!</v>
      </c>
      <c r="O769" t="str">
        <f>PROPER(VentesMagasins!$F769)</f>
        <v>Décoration</v>
      </c>
      <c r="P769">
        <f>VALUE(CLEAN(TRIM(SUBSTITUTE(VentesMagasins!$I769,".",","))))</f>
        <v>0.05</v>
      </c>
      <c r="Q769">
        <f>VALUE(TRIM(SUBSTITUTE(VentesMagasins!$J769,".",",")))</f>
        <v>437</v>
      </c>
      <c r="R769">
        <f t="shared" si="33"/>
        <v>415.15</v>
      </c>
      <c r="S769">
        <f>IF(VentesMagasins!$K769=1,(-1)*R769,R769)</f>
        <v>415.15</v>
      </c>
      <c r="T769">
        <f>IFERROR(VALUE(TRIM(SUBSTITUTE(VentesMagasins!$L769,".",","))),0)</f>
        <v>2</v>
      </c>
      <c r="U769">
        <f t="shared" si="34"/>
        <v>2</v>
      </c>
      <c r="V769" t="str">
        <f t="shared" si="35"/>
        <v>faible</v>
      </c>
      <c r="W769" t="str">
        <f>_xlfn.XLOOKUP(VentesMagasins!$B769,Clients!ClientID,Région)</f>
        <v>Centre</v>
      </c>
      <c r="X769" t="str">
        <f>INDEX(TypeClient,MATCH(VentesMagasins!$B769,Clients!ClientID))</f>
        <v>Fidèle</v>
      </c>
      <c r="Y769" t="str">
        <v>juil</v>
      </c>
    </row>
    <row r="770" spans="1:25" x14ac:dyDescent="0.25">
      <c r="A770" s="2">
        <v>769</v>
      </c>
      <c r="B770" s="12" t="s">
        <v>84</v>
      </c>
      <c r="C770" s="13">
        <v>45962</v>
      </c>
      <c r="D770" s="12" t="s">
        <v>338</v>
      </c>
      <c r="E770" s="14" t="s">
        <v>348</v>
      </c>
      <c r="F770" s="12" t="s">
        <v>324</v>
      </c>
      <c r="G770" s="2">
        <v>1</v>
      </c>
      <c r="H770" s="3">
        <v>262</v>
      </c>
      <c r="I770" s="14" t="s">
        <v>342</v>
      </c>
      <c r="J770" s="12" t="s">
        <v>1045</v>
      </c>
      <c r="K770" s="2">
        <v>0</v>
      </c>
      <c r="L770" s="12" t="s">
        <v>344</v>
      </c>
      <c r="M770">
        <f>YEAR(VentesMagasins!$C770)</f>
        <v>2025</v>
      </c>
      <c r="N770" t="e" cm="1" vm="1">
        <f t="array" aca="1" ref="N770" ca="1">MONTH(DateVente)</f>
        <v>#VALUE!</v>
      </c>
      <c r="O770" t="str">
        <f>PROPER(VentesMagasins!$F770)</f>
        <v>Électronique</v>
      </c>
      <c r="P770">
        <f>VALUE(CLEAN(TRIM(SUBSTITUTE(VentesMagasins!$I770,".",","))))</f>
        <v>0.05</v>
      </c>
      <c r="Q770">
        <f>VALUE(TRIM(SUBSTITUTE(VentesMagasins!$J770,".",",")))</f>
        <v>248.89999999999901</v>
      </c>
      <c r="R770">
        <f t="shared" si="33"/>
        <v>236.45499999999905</v>
      </c>
      <c r="S770">
        <f>IF(VentesMagasins!$K770=1,(-1)*R770,R770)</f>
        <v>236.45499999999905</v>
      </c>
      <c r="T770">
        <f>IFERROR(VALUE(TRIM(SUBSTITUTE(VentesMagasins!$L770,".",","))),0)</f>
        <v>2</v>
      </c>
      <c r="U770">
        <f t="shared" si="34"/>
        <v>2</v>
      </c>
      <c r="V770" t="str">
        <f t="shared" si="35"/>
        <v>faible</v>
      </c>
      <c r="W770" t="str">
        <f>_xlfn.XLOOKUP(VentesMagasins!$B770,Clients!ClientID,Région)</f>
        <v>Sud</v>
      </c>
      <c r="X770" t="str">
        <f>INDEX(TypeClient,MATCH(VentesMagasins!$B770,Clients!ClientID))</f>
        <v>Occasionnel</v>
      </c>
      <c r="Y770" t="str">
        <v>nov</v>
      </c>
    </row>
    <row r="771" spans="1:25" x14ac:dyDescent="0.25">
      <c r="A771" s="2">
        <v>770</v>
      </c>
      <c r="B771" s="12" t="s">
        <v>117</v>
      </c>
      <c r="C771" s="13">
        <v>45914</v>
      </c>
      <c r="D771" s="12" t="s">
        <v>322</v>
      </c>
      <c r="E771" s="14" t="s">
        <v>329</v>
      </c>
      <c r="F771" s="12" t="s">
        <v>324</v>
      </c>
      <c r="G771" s="2">
        <v>1</v>
      </c>
      <c r="H771" s="3">
        <v>453</v>
      </c>
      <c r="I771" s="14" t="s">
        <v>355</v>
      </c>
      <c r="J771" s="12" t="s">
        <v>1046</v>
      </c>
      <c r="K771" s="2">
        <v>0</v>
      </c>
      <c r="L771" s="12" t="s">
        <v>344</v>
      </c>
      <c r="M771">
        <f>YEAR(VentesMagasins!$C771)</f>
        <v>2025</v>
      </c>
      <c r="N771" t="e" cm="1" vm="1">
        <f t="array" aca="1" ref="N771" ca="1">MONTH(DateVente)</f>
        <v>#VALUE!</v>
      </c>
      <c r="O771" t="str">
        <f>PROPER(VentesMagasins!$F771)</f>
        <v>Électronique</v>
      </c>
      <c r="P771">
        <f>VALUE(CLEAN(TRIM(SUBSTITUTE(VentesMagasins!$I771,".",","))))</f>
        <v>0.1</v>
      </c>
      <c r="Q771">
        <f>VALUE(TRIM(SUBSTITUTE(VentesMagasins!$J771,".",",")))</f>
        <v>407.7</v>
      </c>
      <c r="R771">
        <f t="shared" ref="R771:R834" si="36">Q771*(1-P771)</f>
        <v>366.93</v>
      </c>
      <c r="S771">
        <f>IF(VentesMagasins!$K771=1,(-1)*R771,R771)</f>
        <v>366.93</v>
      </c>
      <c r="T771">
        <f>IFERROR(VALUE(TRIM(SUBSTITUTE(VentesMagasins!$L771,".",","))),0)</f>
        <v>2</v>
      </c>
      <c r="U771">
        <f t="shared" ref="U771:U834" si="37">ROUND(IF(T771=0,AVERAGE(T771:T1770),T771),0)</f>
        <v>2</v>
      </c>
      <c r="V771" t="str">
        <f t="shared" ref="V771:V834" si="38">IF(AND(U771&gt;0,U771&lt;=2),"faible",IF(AND(U771&gt;=3,U771&lt;=4),"moyenne",IF(U771=5,"élévé",0)))</f>
        <v>faible</v>
      </c>
      <c r="W771" t="str">
        <f>_xlfn.XLOOKUP(VentesMagasins!$B771,Clients!ClientID,Région)</f>
        <v>Nord</v>
      </c>
      <c r="X771" t="str">
        <f>INDEX(TypeClient,MATCH(VentesMagasins!$B771,Clients!ClientID))</f>
        <v>Nouveau</v>
      </c>
      <c r="Y771" t="str">
        <v>sept</v>
      </c>
    </row>
    <row r="772" spans="1:25" x14ac:dyDescent="0.25">
      <c r="A772" s="2">
        <v>771</v>
      </c>
      <c r="B772" s="12" t="s">
        <v>185</v>
      </c>
      <c r="C772" s="13">
        <v>45668</v>
      </c>
      <c r="D772" s="12" t="s">
        <v>350</v>
      </c>
      <c r="E772" s="14" t="s">
        <v>339</v>
      </c>
      <c r="F772" s="12" t="s">
        <v>330</v>
      </c>
      <c r="G772" s="2">
        <v>2</v>
      </c>
      <c r="H772" s="3">
        <v>218</v>
      </c>
      <c r="I772" s="14" t="s">
        <v>342</v>
      </c>
      <c r="J772" s="12" t="s">
        <v>1047</v>
      </c>
      <c r="K772" s="2">
        <v>0</v>
      </c>
      <c r="L772" s="12" t="s">
        <v>337</v>
      </c>
      <c r="M772">
        <f>YEAR(VentesMagasins!$C772)</f>
        <v>2025</v>
      </c>
      <c r="N772" t="e" cm="1" vm="1">
        <f t="array" aca="1" ref="N772" ca="1">MONTH(DateVente)</f>
        <v>#VALUE!</v>
      </c>
      <c r="O772" t="str">
        <f>PROPER(VentesMagasins!$F772)</f>
        <v>Décoration</v>
      </c>
      <c r="P772">
        <f>VALUE(CLEAN(TRIM(SUBSTITUTE(VentesMagasins!$I772,".",","))))</f>
        <v>0.05</v>
      </c>
      <c r="Q772">
        <f>VALUE(TRIM(SUBSTITUTE(VentesMagasins!$J772,".",",")))</f>
        <v>414.2</v>
      </c>
      <c r="R772">
        <f t="shared" si="36"/>
        <v>393.48999999999995</v>
      </c>
      <c r="S772">
        <f>IF(VentesMagasins!$K772=1,(-1)*R772,R772)</f>
        <v>393.48999999999995</v>
      </c>
      <c r="T772">
        <f>IFERROR(VALUE(TRIM(SUBSTITUTE(VentesMagasins!$L772,".",","))),0)</f>
        <v>3</v>
      </c>
      <c r="U772">
        <f t="shared" si="37"/>
        <v>3</v>
      </c>
      <c r="V772" t="str">
        <f t="shared" si="38"/>
        <v>moyenne</v>
      </c>
      <c r="W772" t="str">
        <f>_xlfn.XLOOKUP(VentesMagasins!$B772,Clients!ClientID,Région)</f>
        <v>Centre</v>
      </c>
      <c r="X772" t="str">
        <f>INDEX(TypeClient,MATCH(VentesMagasins!$B772,Clients!ClientID))</f>
        <v>Occasionnel</v>
      </c>
      <c r="Y772" t="str">
        <v>janv</v>
      </c>
    </row>
    <row r="773" spans="1:25" x14ac:dyDescent="0.25">
      <c r="A773" s="2">
        <v>772</v>
      </c>
      <c r="B773" s="12" t="s">
        <v>167</v>
      </c>
      <c r="C773" s="13">
        <v>45054</v>
      </c>
      <c r="D773" s="12" t="s">
        <v>322</v>
      </c>
      <c r="E773" s="14" t="s">
        <v>348</v>
      </c>
      <c r="F773" s="12" t="s">
        <v>324</v>
      </c>
      <c r="G773" s="2">
        <v>5</v>
      </c>
      <c r="H773" s="3">
        <v>94</v>
      </c>
      <c r="I773" s="14" t="s">
        <v>355</v>
      </c>
      <c r="J773" s="12" t="s">
        <v>548</v>
      </c>
      <c r="K773" s="2">
        <v>0</v>
      </c>
      <c r="L773" s="12" t="s">
        <v>337</v>
      </c>
      <c r="M773">
        <f>YEAR(VentesMagasins!$C773)</f>
        <v>2023</v>
      </c>
      <c r="N773" t="e" cm="1" vm="1">
        <f t="array" aca="1" ref="N773" ca="1">MONTH(DateVente)</f>
        <v>#VALUE!</v>
      </c>
      <c r="O773" t="str">
        <f>PROPER(VentesMagasins!$F773)</f>
        <v>Électronique</v>
      </c>
      <c r="P773">
        <f>VALUE(CLEAN(TRIM(SUBSTITUTE(VentesMagasins!$I773,".",","))))</f>
        <v>0.1</v>
      </c>
      <c r="Q773">
        <f>VALUE(TRIM(SUBSTITUTE(VentesMagasins!$J773,".",",")))</f>
        <v>423</v>
      </c>
      <c r="R773">
        <f t="shared" si="36"/>
        <v>380.7</v>
      </c>
      <c r="S773">
        <f>IF(VentesMagasins!$K773=1,(-1)*R773,R773)</f>
        <v>380.7</v>
      </c>
      <c r="T773">
        <f>IFERROR(VALUE(TRIM(SUBSTITUTE(VentesMagasins!$L773,".",","))),0)</f>
        <v>3</v>
      </c>
      <c r="U773">
        <f t="shared" si="37"/>
        <v>3</v>
      </c>
      <c r="V773" t="str">
        <f t="shared" si="38"/>
        <v>moyenne</v>
      </c>
      <c r="W773" t="str">
        <f>_xlfn.XLOOKUP(VentesMagasins!$B773,Clients!ClientID,Région)</f>
        <v>Ouest</v>
      </c>
      <c r="X773" t="str">
        <f>INDEX(TypeClient,MATCH(VentesMagasins!$B773,Clients!ClientID))</f>
        <v>Nouveau</v>
      </c>
      <c r="Y773" t="str">
        <v>mai</v>
      </c>
    </row>
    <row r="774" spans="1:25" x14ac:dyDescent="0.25">
      <c r="A774" s="2">
        <v>773</v>
      </c>
      <c r="B774" s="12" t="s">
        <v>285</v>
      </c>
      <c r="C774" s="13">
        <v>45730</v>
      </c>
      <c r="D774" s="12" t="s">
        <v>338</v>
      </c>
      <c r="E774" s="14" t="s">
        <v>334</v>
      </c>
      <c r="F774" s="12" t="s">
        <v>416</v>
      </c>
      <c r="G774" s="2">
        <v>4</v>
      </c>
      <c r="H774" s="3">
        <v>389</v>
      </c>
      <c r="I774" s="14" t="s">
        <v>355</v>
      </c>
      <c r="J774" s="12" t="s">
        <v>1048</v>
      </c>
      <c r="K774" s="2">
        <v>0</v>
      </c>
      <c r="L774" s="12" t="s">
        <v>352</v>
      </c>
      <c r="M774">
        <f>YEAR(VentesMagasins!$C774)</f>
        <v>2025</v>
      </c>
      <c r="N774" t="e" cm="1" vm="1">
        <f t="array" aca="1" ref="N774" ca="1">MONTH(DateVente)</f>
        <v>#VALUE!</v>
      </c>
      <c r="O774" t="str">
        <f>PROPER(VentesMagasins!$F774)</f>
        <v>Meuble</v>
      </c>
      <c r="P774">
        <f>VALUE(CLEAN(TRIM(SUBSTITUTE(VentesMagasins!$I774,".",","))))</f>
        <v>0.1</v>
      </c>
      <c r="Q774">
        <f>VALUE(TRIM(SUBSTITUTE(VentesMagasins!$J774,".",",")))</f>
        <v>1400.4</v>
      </c>
      <c r="R774">
        <f t="shared" si="36"/>
        <v>1260.3600000000001</v>
      </c>
      <c r="S774">
        <f>IF(VentesMagasins!$K774=1,(-1)*R774,R774)</f>
        <v>1260.3600000000001</v>
      </c>
      <c r="T774">
        <f>IFERROR(VALUE(TRIM(SUBSTITUTE(VentesMagasins!$L774,".",","))),0)</f>
        <v>0</v>
      </c>
      <c r="U774">
        <f t="shared" si="37"/>
        <v>3</v>
      </c>
      <c r="V774" t="str">
        <f t="shared" si="38"/>
        <v>moyenne</v>
      </c>
      <c r="W774" t="str">
        <f>_xlfn.XLOOKUP(VentesMagasins!$B774,Clients!ClientID,Région)</f>
        <v>Ouest</v>
      </c>
      <c r="X774" t="str">
        <f>INDEX(TypeClient,MATCH(VentesMagasins!$B774,Clients!ClientID))</f>
        <v>Fidèle</v>
      </c>
      <c r="Y774" t="str">
        <v>mars</v>
      </c>
    </row>
    <row r="775" spans="1:25" x14ac:dyDescent="0.25">
      <c r="A775" s="2">
        <v>774</v>
      </c>
      <c r="B775" s="12" t="s">
        <v>78</v>
      </c>
      <c r="C775" s="13">
        <v>45037</v>
      </c>
      <c r="D775" s="12" t="s">
        <v>328</v>
      </c>
      <c r="E775" s="14" t="s">
        <v>329</v>
      </c>
      <c r="F775" s="12" t="s">
        <v>324</v>
      </c>
      <c r="G775" s="2">
        <v>5</v>
      </c>
      <c r="H775" s="3">
        <v>223</v>
      </c>
      <c r="I775" s="14" t="s">
        <v>325</v>
      </c>
      <c r="J775" s="12" t="s">
        <v>1049</v>
      </c>
      <c r="K775" s="2">
        <v>0</v>
      </c>
      <c r="L775" s="12" t="s">
        <v>337</v>
      </c>
      <c r="M775">
        <f>YEAR(VentesMagasins!$C775)</f>
        <v>2023</v>
      </c>
      <c r="N775" t="e" cm="1" vm="1">
        <f t="array" aca="1" ref="N775" ca="1">MONTH(DateVente)</f>
        <v>#VALUE!</v>
      </c>
      <c r="O775" t="str">
        <f>PROPER(VentesMagasins!$F775)</f>
        <v>Électronique</v>
      </c>
      <c r="P775">
        <f>VALUE(CLEAN(TRIM(SUBSTITUTE(VentesMagasins!$I775,".",","))))</f>
        <v>0.15</v>
      </c>
      <c r="Q775">
        <f>VALUE(TRIM(SUBSTITUTE(VentesMagasins!$J775,".",",")))</f>
        <v>947.75</v>
      </c>
      <c r="R775">
        <f t="shared" si="36"/>
        <v>805.58749999999998</v>
      </c>
      <c r="S775">
        <f>IF(VentesMagasins!$K775=1,(-1)*R775,R775)</f>
        <v>805.58749999999998</v>
      </c>
      <c r="T775">
        <f>IFERROR(VALUE(TRIM(SUBSTITUTE(VentesMagasins!$L775,".",","))),0)</f>
        <v>3</v>
      </c>
      <c r="U775">
        <f t="shared" si="37"/>
        <v>3</v>
      </c>
      <c r="V775" t="str">
        <f t="shared" si="38"/>
        <v>moyenne</v>
      </c>
      <c r="W775" t="str">
        <f>_xlfn.XLOOKUP(VentesMagasins!$B775,Clients!ClientID,Région)</f>
        <v>Centre</v>
      </c>
      <c r="X775" t="str">
        <f>INDEX(TypeClient,MATCH(VentesMagasins!$B775,Clients!ClientID))</f>
        <v>Nouveau</v>
      </c>
      <c r="Y775" t="str">
        <v>avr</v>
      </c>
    </row>
    <row r="776" spans="1:25" x14ac:dyDescent="0.25">
      <c r="A776" s="2">
        <v>775</v>
      </c>
      <c r="B776" s="12" t="s">
        <v>235</v>
      </c>
      <c r="C776" s="13">
        <v>45033</v>
      </c>
      <c r="D776" s="12" t="s">
        <v>338</v>
      </c>
      <c r="E776" s="14" t="s">
        <v>339</v>
      </c>
      <c r="F776" s="12" t="s">
        <v>324</v>
      </c>
      <c r="G776" s="2">
        <v>3</v>
      </c>
      <c r="H776" s="3">
        <v>285</v>
      </c>
      <c r="I776" s="14" t="s">
        <v>355</v>
      </c>
      <c r="J776" s="12" t="s">
        <v>1050</v>
      </c>
      <c r="K776" s="2">
        <v>0</v>
      </c>
      <c r="L776" s="12" t="s">
        <v>332</v>
      </c>
      <c r="M776">
        <f>YEAR(VentesMagasins!$C776)</f>
        <v>2023</v>
      </c>
      <c r="N776" t="e" cm="1" vm="1">
        <f t="array" aca="1" ref="N776" ca="1">MONTH(DateVente)</f>
        <v>#VALUE!</v>
      </c>
      <c r="O776" t="str">
        <f>PROPER(VentesMagasins!$F776)</f>
        <v>Électronique</v>
      </c>
      <c r="P776">
        <f>VALUE(CLEAN(TRIM(SUBSTITUTE(VentesMagasins!$I776,".",","))))</f>
        <v>0.1</v>
      </c>
      <c r="Q776">
        <f>VALUE(TRIM(SUBSTITUTE(VentesMagasins!$J776,".",",")))</f>
        <v>769.5</v>
      </c>
      <c r="R776">
        <f t="shared" si="36"/>
        <v>692.55000000000007</v>
      </c>
      <c r="S776">
        <f>IF(VentesMagasins!$K776=1,(-1)*R776,R776)</f>
        <v>692.55000000000007</v>
      </c>
      <c r="T776">
        <f>IFERROR(VALUE(TRIM(SUBSTITUTE(VentesMagasins!$L776,".",","))),0)</f>
        <v>4</v>
      </c>
      <c r="U776">
        <f t="shared" si="37"/>
        <v>4</v>
      </c>
      <c r="V776" t="str">
        <f t="shared" si="38"/>
        <v>moyenne</v>
      </c>
      <c r="W776" t="str">
        <f>_xlfn.XLOOKUP(VentesMagasins!$B776,Clients!ClientID,Région)</f>
        <v>Sud</v>
      </c>
      <c r="X776" t="str">
        <f>INDEX(TypeClient,MATCH(VentesMagasins!$B776,Clients!ClientID))</f>
        <v>Fidèle</v>
      </c>
      <c r="Y776" t="str">
        <v>avr</v>
      </c>
    </row>
    <row r="777" spans="1:25" x14ac:dyDescent="0.25">
      <c r="A777" s="2">
        <v>776</v>
      </c>
      <c r="B777" s="12" t="s">
        <v>160</v>
      </c>
      <c r="C777" s="13">
        <v>45067</v>
      </c>
      <c r="D777" s="12" t="s">
        <v>322</v>
      </c>
      <c r="E777" s="14" t="s">
        <v>345</v>
      </c>
      <c r="F777" s="12" t="s">
        <v>688</v>
      </c>
      <c r="G777" s="2">
        <v>2</v>
      </c>
      <c r="H777" s="3">
        <v>269</v>
      </c>
      <c r="I777" s="14" t="s">
        <v>342</v>
      </c>
      <c r="J777" s="12" t="s">
        <v>1051</v>
      </c>
      <c r="K777" s="2">
        <v>0</v>
      </c>
      <c r="L777" s="12" t="s">
        <v>337</v>
      </c>
      <c r="M777">
        <f>YEAR(VentesMagasins!$C777)</f>
        <v>2023</v>
      </c>
      <c r="N777" t="e" cm="1" vm="1">
        <f t="array" aca="1" ref="N777" ca="1">MONTH(DateVente)</f>
        <v>#VALUE!</v>
      </c>
      <c r="O777" t="str">
        <f>PROPER(VentesMagasins!$F777)</f>
        <v>Décoration</v>
      </c>
      <c r="P777">
        <f>VALUE(CLEAN(TRIM(SUBSTITUTE(VentesMagasins!$I777,".",","))))</f>
        <v>0.05</v>
      </c>
      <c r="Q777">
        <f>VALUE(TRIM(SUBSTITUTE(VentesMagasins!$J777,".",",")))</f>
        <v>511.099999999999</v>
      </c>
      <c r="R777">
        <f t="shared" si="36"/>
        <v>485.54499999999905</v>
      </c>
      <c r="S777">
        <f>IF(VentesMagasins!$K777=1,(-1)*R777,R777)</f>
        <v>485.54499999999905</v>
      </c>
      <c r="T777">
        <f>IFERROR(VALUE(TRIM(SUBSTITUTE(VentesMagasins!$L777,".",","))),0)</f>
        <v>3</v>
      </c>
      <c r="U777">
        <f t="shared" si="37"/>
        <v>3</v>
      </c>
      <c r="V777" t="str">
        <f t="shared" si="38"/>
        <v>moyenne</v>
      </c>
      <c r="W777" t="str">
        <f>_xlfn.XLOOKUP(VentesMagasins!$B777,Clients!ClientID,Région)</f>
        <v>Centre</v>
      </c>
      <c r="X777" t="str">
        <f>INDEX(TypeClient,MATCH(VentesMagasins!$B777,Clients!ClientID))</f>
        <v>Nouveau</v>
      </c>
      <c r="Y777" t="str">
        <v>mai</v>
      </c>
    </row>
    <row r="778" spans="1:25" x14ac:dyDescent="0.25">
      <c r="A778" s="2">
        <v>777</v>
      </c>
      <c r="B778" s="12" t="s">
        <v>194</v>
      </c>
      <c r="C778" s="13">
        <v>45986</v>
      </c>
      <c r="D778" s="12" t="s">
        <v>322</v>
      </c>
      <c r="E778" s="14" t="s">
        <v>345</v>
      </c>
      <c r="F778" s="12" t="s">
        <v>324</v>
      </c>
      <c r="G778" s="2">
        <v>1</v>
      </c>
      <c r="H778" s="3">
        <v>294</v>
      </c>
      <c r="I778" s="14" t="s">
        <v>355</v>
      </c>
      <c r="J778" s="12" t="s">
        <v>1052</v>
      </c>
      <c r="K778" s="2">
        <v>0</v>
      </c>
      <c r="L778" s="12" t="s">
        <v>369</v>
      </c>
      <c r="M778">
        <f>YEAR(VentesMagasins!$C778)</f>
        <v>2025</v>
      </c>
      <c r="N778" t="e" cm="1" vm="1">
        <f t="array" aca="1" ref="N778" ca="1">MONTH(DateVente)</f>
        <v>#VALUE!</v>
      </c>
      <c r="O778" t="str">
        <f>PROPER(VentesMagasins!$F778)</f>
        <v>Électronique</v>
      </c>
      <c r="P778">
        <f>VALUE(CLEAN(TRIM(SUBSTITUTE(VentesMagasins!$I778,".",","))))</f>
        <v>0.1</v>
      </c>
      <c r="Q778">
        <f>VALUE(TRIM(SUBSTITUTE(VentesMagasins!$J778,".",",")))</f>
        <v>264.60000000000002</v>
      </c>
      <c r="R778">
        <f t="shared" si="36"/>
        <v>238.14000000000001</v>
      </c>
      <c r="S778">
        <f>IF(VentesMagasins!$K778=1,(-1)*R778,R778)</f>
        <v>238.14000000000001</v>
      </c>
      <c r="T778">
        <f>IFERROR(VALUE(TRIM(SUBSTITUTE(VentesMagasins!$L778,".",","))),0)</f>
        <v>1</v>
      </c>
      <c r="U778">
        <f t="shared" si="37"/>
        <v>1</v>
      </c>
      <c r="V778" t="str">
        <f t="shared" si="38"/>
        <v>faible</v>
      </c>
      <c r="W778" t="str">
        <f>_xlfn.XLOOKUP(VentesMagasins!$B778,Clients!ClientID,Région)</f>
        <v>Centre</v>
      </c>
      <c r="X778" t="str">
        <f>INDEX(TypeClient,MATCH(VentesMagasins!$B778,Clients!ClientID))</f>
        <v>Fidèle</v>
      </c>
      <c r="Y778" t="str">
        <v>nov</v>
      </c>
    </row>
    <row r="779" spans="1:25" x14ac:dyDescent="0.25">
      <c r="A779" s="2">
        <v>778</v>
      </c>
      <c r="B779" s="12" t="s">
        <v>158</v>
      </c>
      <c r="C779" s="13">
        <v>45462</v>
      </c>
      <c r="D779" s="12" t="s">
        <v>333</v>
      </c>
      <c r="E779" s="14" t="s">
        <v>334</v>
      </c>
      <c r="F779" s="12" t="s">
        <v>324</v>
      </c>
      <c r="G779" s="2">
        <v>1</v>
      </c>
      <c r="H779" s="3">
        <v>91</v>
      </c>
      <c r="I779" s="14" t="s">
        <v>355</v>
      </c>
      <c r="J779" s="12" t="s">
        <v>1053</v>
      </c>
      <c r="K779" s="2">
        <v>0</v>
      </c>
      <c r="L779" s="12" t="s">
        <v>344</v>
      </c>
      <c r="M779">
        <f>YEAR(VentesMagasins!$C779)</f>
        <v>2024</v>
      </c>
      <c r="N779" t="e" cm="1" vm="1">
        <f t="array" aca="1" ref="N779" ca="1">MONTH(DateVente)</f>
        <v>#VALUE!</v>
      </c>
      <c r="O779" t="str">
        <f>PROPER(VentesMagasins!$F779)</f>
        <v>Électronique</v>
      </c>
      <c r="P779">
        <f>VALUE(CLEAN(TRIM(SUBSTITUTE(VentesMagasins!$I779,".",","))))</f>
        <v>0.1</v>
      </c>
      <c r="Q779">
        <f>VALUE(TRIM(SUBSTITUTE(VentesMagasins!$J779,".",",")))</f>
        <v>81.900000000000006</v>
      </c>
      <c r="R779">
        <f t="shared" si="36"/>
        <v>73.710000000000008</v>
      </c>
      <c r="S779">
        <f>IF(VentesMagasins!$K779=1,(-1)*R779,R779)</f>
        <v>73.710000000000008</v>
      </c>
      <c r="T779">
        <f>IFERROR(VALUE(TRIM(SUBSTITUTE(VentesMagasins!$L779,".",","))),0)</f>
        <v>2</v>
      </c>
      <c r="U779">
        <f t="shared" si="37"/>
        <v>2</v>
      </c>
      <c r="V779" t="str">
        <f t="shared" si="38"/>
        <v>faible</v>
      </c>
      <c r="W779" t="str">
        <f>_xlfn.XLOOKUP(VentesMagasins!$B779,Clients!ClientID,Région)</f>
        <v>Nord</v>
      </c>
      <c r="X779" t="str">
        <f>INDEX(TypeClient,MATCH(VentesMagasins!$B779,Clients!ClientID))</f>
        <v>Occasionnel</v>
      </c>
      <c r="Y779" t="str">
        <v>juin</v>
      </c>
    </row>
    <row r="780" spans="1:25" x14ac:dyDescent="0.25">
      <c r="A780" s="2">
        <v>779</v>
      </c>
      <c r="B780" s="12" t="s">
        <v>309</v>
      </c>
      <c r="C780" s="13">
        <v>45770</v>
      </c>
      <c r="D780" s="12" t="s">
        <v>322</v>
      </c>
      <c r="E780" s="14" t="s">
        <v>323</v>
      </c>
      <c r="F780" s="12" t="s">
        <v>330</v>
      </c>
      <c r="G780" s="2">
        <v>4</v>
      </c>
      <c r="H780" s="3">
        <v>374</v>
      </c>
      <c r="I780" s="14" t="s">
        <v>342</v>
      </c>
      <c r="J780" s="12" t="s">
        <v>1054</v>
      </c>
      <c r="K780" s="2">
        <v>0</v>
      </c>
      <c r="L780" s="12" t="s">
        <v>337</v>
      </c>
      <c r="M780">
        <f>YEAR(VentesMagasins!$C780)</f>
        <v>2025</v>
      </c>
      <c r="N780" t="e" cm="1" vm="1">
        <f t="array" aca="1" ref="N780" ca="1">MONTH(DateVente)</f>
        <v>#VALUE!</v>
      </c>
      <c r="O780" t="str">
        <f>PROPER(VentesMagasins!$F780)</f>
        <v>Décoration</v>
      </c>
      <c r="P780">
        <f>VALUE(CLEAN(TRIM(SUBSTITUTE(VentesMagasins!$I780,".",","))))</f>
        <v>0.05</v>
      </c>
      <c r="Q780">
        <f>VALUE(TRIM(SUBSTITUTE(VentesMagasins!$J780,".",",")))</f>
        <v>1421.2</v>
      </c>
      <c r="R780">
        <f t="shared" si="36"/>
        <v>1350.1399999999999</v>
      </c>
      <c r="S780">
        <f>IF(VentesMagasins!$K780=1,(-1)*R780,R780)</f>
        <v>1350.1399999999999</v>
      </c>
      <c r="T780">
        <f>IFERROR(VALUE(TRIM(SUBSTITUTE(VentesMagasins!$L780,".",","))),0)</f>
        <v>3</v>
      </c>
      <c r="U780">
        <f t="shared" si="37"/>
        <v>3</v>
      </c>
      <c r="V780" t="str">
        <f t="shared" si="38"/>
        <v>moyenne</v>
      </c>
      <c r="W780" t="str">
        <f>_xlfn.XLOOKUP(VentesMagasins!$B780,Clients!ClientID,Région)</f>
        <v>Est</v>
      </c>
      <c r="X780" t="str">
        <f>INDEX(TypeClient,MATCH(VentesMagasins!$B780,Clients!ClientID))</f>
        <v>Fidèle</v>
      </c>
      <c r="Y780" t="str">
        <v>avr</v>
      </c>
    </row>
    <row r="781" spans="1:25" x14ac:dyDescent="0.25">
      <c r="A781" s="2">
        <v>780</v>
      </c>
      <c r="B781" s="12" t="s">
        <v>15</v>
      </c>
      <c r="C781" s="13">
        <v>45695</v>
      </c>
      <c r="D781" s="12" t="s">
        <v>322</v>
      </c>
      <c r="E781" s="14" t="s">
        <v>364</v>
      </c>
      <c r="F781" s="12" t="s">
        <v>324</v>
      </c>
      <c r="G781" s="2">
        <v>4</v>
      </c>
      <c r="H781" s="3">
        <v>286</v>
      </c>
      <c r="I781" s="14" t="s">
        <v>335</v>
      </c>
      <c r="J781" s="12" t="s">
        <v>1055</v>
      </c>
      <c r="K781" s="2">
        <v>0</v>
      </c>
      <c r="L781" s="12" t="s">
        <v>332</v>
      </c>
      <c r="M781">
        <f>YEAR(VentesMagasins!$C781)</f>
        <v>2025</v>
      </c>
      <c r="N781" t="e" cm="1" vm="1">
        <f t="array" aca="1" ref="N781" ca="1">MONTH(DateVente)</f>
        <v>#VALUE!</v>
      </c>
      <c r="O781" t="str">
        <f>PROPER(VentesMagasins!$F781)</f>
        <v>Électronique</v>
      </c>
      <c r="P781">
        <f>VALUE(CLEAN(TRIM(SUBSTITUTE(VentesMagasins!$I781,".",","))))</f>
        <v>0</v>
      </c>
      <c r="Q781">
        <f>VALUE(TRIM(SUBSTITUTE(VentesMagasins!$J781,".",",")))</f>
        <v>1144</v>
      </c>
      <c r="R781">
        <f t="shared" si="36"/>
        <v>1144</v>
      </c>
      <c r="S781">
        <f>IF(VentesMagasins!$K781=1,(-1)*R781,R781)</f>
        <v>1144</v>
      </c>
      <c r="T781">
        <f>IFERROR(VALUE(TRIM(SUBSTITUTE(VentesMagasins!$L781,".",","))),0)</f>
        <v>4</v>
      </c>
      <c r="U781">
        <f t="shared" si="37"/>
        <v>4</v>
      </c>
      <c r="V781" t="str">
        <f t="shared" si="38"/>
        <v>moyenne</v>
      </c>
      <c r="W781" t="str">
        <f>_xlfn.XLOOKUP(VentesMagasins!$B781,Clients!ClientID,Région)</f>
        <v>Ouest</v>
      </c>
      <c r="X781" t="str">
        <f>INDEX(TypeClient,MATCH(VentesMagasins!$B781,Clients!ClientID))</f>
        <v>Occasionnel</v>
      </c>
      <c r="Y781" t="str">
        <v>févr</v>
      </c>
    </row>
    <row r="782" spans="1:25" x14ac:dyDescent="0.25">
      <c r="A782" s="2">
        <v>781</v>
      </c>
      <c r="B782" s="12" t="s">
        <v>106</v>
      </c>
      <c r="C782" s="13">
        <v>44931</v>
      </c>
      <c r="D782" s="12" t="s">
        <v>328</v>
      </c>
      <c r="E782" s="14" t="s">
        <v>362</v>
      </c>
      <c r="F782" s="12" t="s">
        <v>324</v>
      </c>
      <c r="G782" s="2">
        <v>3</v>
      </c>
      <c r="H782" s="3">
        <v>89</v>
      </c>
      <c r="I782" s="14" t="s">
        <v>355</v>
      </c>
      <c r="J782" s="12" t="s">
        <v>1056</v>
      </c>
      <c r="K782" s="2">
        <v>0</v>
      </c>
      <c r="L782" s="12" t="s">
        <v>369</v>
      </c>
      <c r="M782">
        <f>YEAR(VentesMagasins!$C782)</f>
        <v>2023</v>
      </c>
      <c r="N782" t="e" cm="1" vm="1">
        <f t="array" aca="1" ref="N782" ca="1">MONTH(DateVente)</f>
        <v>#VALUE!</v>
      </c>
      <c r="O782" t="str">
        <f>PROPER(VentesMagasins!$F782)</f>
        <v>Électronique</v>
      </c>
      <c r="P782">
        <f>VALUE(CLEAN(TRIM(SUBSTITUTE(VentesMagasins!$I782,".",","))))</f>
        <v>0.1</v>
      </c>
      <c r="Q782">
        <f>VALUE(TRIM(SUBSTITUTE(VentesMagasins!$J782,".",",")))</f>
        <v>240.3</v>
      </c>
      <c r="R782">
        <f t="shared" si="36"/>
        <v>216.27</v>
      </c>
      <c r="S782">
        <f>IF(VentesMagasins!$K782=1,(-1)*R782,R782)</f>
        <v>216.27</v>
      </c>
      <c r="T782">
        <f>IFERROR(VALUE(TRIM(SUBSTITUTE(VentesMagasins!$L782,".",","))),0)</f>
        <v>1</v>
      </c>
      <c r="U782">
        <f t="shared" si="37"/>
        <v>1</v>
      </c>
      <c r="V782" t="str">
        <f t="shared" si="38"/>
        <v>faible</v>
      </c>
      <c r="W782" t="str">
        <f>_xlfn.XLOOKUP(VentesMagasins!$B782,Clients!ClientID,Région)</f>
        <v>Est</v>
      </c>
      <c r="X782" t="str">
        <f>INDEX(TypeClient,MATCH(VentesMagasins!$B782,Clients!ClientID))</f>
        <v>Fidèle</v>
      </c>
      <c r="Y782" t="str">
        <v>janv</v>
      </c>
    </row>
    <row r="783" spans="1:25" x14ac:dyDescent="0.25">
      <c r="A783" s="2">
        <v>782</v>
      </c>
      <c r="B783" s="12" t="s">
        <v>220</v>
      </c>
      <c r="C783" s="13">
        <v>45820</v>
      </c>
      <c r="D783" s="12" t="s">
        <v>333</v>
      </c>
      <c r="E783" s="14" t="s">
        <v>362</v>
      </c>
      <c r="F783" s="12" t="s">
        <v>341</v>
      </c>
      <c r="G783" s="2">
        <v>2</v>
      </c>
      <c r="H783" s="3">
        <v>246</v>
      </c>
      <c r="I783" s="14" t="s">
        <v>355</v>
      </c>
      <c r="J783" s="12" t="s">
        <v>1057</v>
      </c>
      <c r="K783" s="2">
        <v>0</v>
      </c>
      <c r="L783" s="12" t="s">
        <v>332</v>
      </c>
      <c r="M783">
        <f>YEAR(VentesMagasins!$C783)</f>
        <v>2025</v>
      </c>
      <c r="N783" t="e" cm="1" vm="1">
        <f t="array" aca="1" ref="N783" ca="1">MONTH(DateVente)</f>
        <v>#VALUE!</v>
      </c>
      <c r="O783" t="str">
        <f>PROPER(VentesMagasins!$F783)</f>
        <v>Meuble</v>
      </c>
      <c r="P783">
        <f>VALUE(CLEAN(TRIM(SUBSTITUTE(VentesMagasins!$I783,".",","))))</f>
        <v>0.1</v>
      </c>
      <c r="Q783">
        <f>VALUE(TRIM(SUBSTITUTE(VentesMagasins!$J783,".",",")))</f>
        <v>442.8</v>
      </c>
      <c r="R783">
        <f t="shared" si="36"/>
        <v>398.52000000000004</v>
      </c>
      <c r="S783">
        <f>IF(VentesMagasins!$K783=1,(-1)*R783,R783)</f>
        <v>398.52000000000004</v>
      </c>
      <c r="T783">
        <f>IFERROR(VALUE(TRIM(SUBSTITUTE(VentesMagasins!$L783,".",","))),0)</f>
        <v>4</v>
      </c>
      <c r="U783">
        <f t="shared" si="37"/>
        <v>4</v>
      </c>
      <c r="V783" t="str">
        <f t="shared" si="38"/>
        <v>moyenne</v>
      </c>
      <c r="W783" t="str">
        <f>_xlfn.XLOOKUP(VentesMagasins!$B783,Clients!ClientID,Région)</f>
        <v>Centre</v>
      </c>
      <c r="X783" t="str">
        <f>INDEX(TypeClient,MATCH(VentesMagasins!$B783,Clients!ClientID))</f>
        <v>Occasionnel</v>
      </c>
      <c r="Y783" t="str">
        <v>juin</v>
      </c>
    </row>
    <row r="784" spans="1:25" x14ac:dyDescent="0.25">
      <c r="A784" s="2">
        <v>783</v>
      </c>
      <c r="B784" s="12" t="s">
        <v>125</v>
      </c>
      <c r="C784" s="13">
        <v>45792</v>
      </c>
      <c r="D784" s="12" t="s">
        <v>328</v>
      </c>
      <c r="E784" s="14" t="s">
        <v>329</v>
      </c>
      <c r="F784" s="12" t="s">
        <v>324</v>
      </c>
      <c r="G784" s="2">
        <v>5</v>
      </c>
      <c r="H784" s="3">
        <v>265</v>
      </c>
      <c r="I784" s="14" t="s">
        <v>325</v>
      </c>
      <c r="J784" s="12" t="s">
        <v>1058</v>
      </c>
      <c r="K784" s="2">
        <v>0</v>
      </c>
      <c r="L784" s="12" t="s">
        <v>332</v>
      </c>
      <c r="M784">
        <f>YEAR(VentesMagasins!$C784)</f>
        <v>2025</v>
      </c>
      <c r="N784" t="e" cm="1" vm="1">
        <f t="array" aca="1" ref="N784" ca="1">MONTH(DateVente)</f>
        <v>#VALUE!</v>
      </c>
      <c r="O784" t="str">
        <f>PROPER(VentesMagasins!$F784)</f>
        <v>Électronique</v>
      </c>
      <c r="P784">
        <f>VALUE(CLEAN(TRIM(SUBSTITUTE(VentesMagasins!$I784,".",","))))</f>
        <v>0.15</v>
      </c>
      <c r="Q784">
        <f>VALUE(TRIM(SUBSTITUTE(VentesMagasins!$J784,".",",")))</f>
        <v>1126.25</v>
      </c>
      <c r="R784">
        <f t="shared" si="36"/>
        <v>957.3125</v>
      </c>
      <c r="S784">
        <f>IF(VentesMagasins!$K784=1,(-1)*R784,R784)</f>
        <v>957.3125</v>
      </c>
      <c r="T784">
        <f>IFERROR(VALUE(TRIM(SUBSTITUTE(VentesMagasins!$L784,".",","))),0)</f>
        <v>4</v>
      </c>
      <c r="U784">
        <f t="shared" si="37"/>
        <v>4</v>
      </c>
      <c r="V784" t="str">
        <f t="shared" si="38"/>
        <v>moyenne</v>
      </c>
      <c r="W784" t="str">
        <f>_xlfn.XLOOKUP(VentesMagasins!$B784,Clients!ClientID,Région)</f>
        <v>Ouest</v>
      </c>
      <c r="X784" t="str">
        <f>INDEX(TypeClient,MATCH(VentesMagasins!$B784,Clients!ClientID))</f>
        <v>Occasionnel</v>
      </c>
      <c r="Y784" t="str">
        <v>mai</v>
      </c>
    </row>
    <row r="785" spans="1:25" x14ac:dyDescent="0.25">
      <c r="A785" s="2">
        <v>784</v>
      </c>
      <c r="B785" s="12" t="s">
        <v>72</v>
      </c>
      <c r="C785" s="13">
        <v>45827</v>
      </c>
      <c r="D785" s="12" t="s">
        <v>333</v>
      </c>
      <c r="E785" s="14" t="s">
        <v>334</v>
      </c>
      <c r="F785" s="12" t="s">
        <v>330</v>
      </c>
      <c r="G785" s="2">
        <v>5</v>
      </c>
      <c r="H785" s="3">
        <v>96</v>
      </c>
      <c r="I785" s="14" t="s">
        <v>342</v>
      </c>
      <c r="J785" s="12" t="s">
        <v>767</v>
      </c>
      <c r="K785" s="2">
        <v>0</v>
      </c>
      <c r="L785" s="12" t="s">
        <v>369</v>
      </c>
      <c r="M785">
        <f>YEAR(VentesMagasins!$C785)</f>
        <v>2025</v>
      </c>
      <c r="N785" t="e" cm="1" vm="1">
        <f t="array" aca="1" ref="N785" ca="1">MONTH(DateVente)</f>
        <v>#VALUE!</v>
      </c>
      <c r="O785" t="str">
        <f>PROPER(VentesMagasins!$F785)</f>
        <v>Décoration</v>
      </c>
      <c r="P785">
        <f>VALUE(CLEAN(TRIM(SUBSTITUTE(VentesMagasins!$I785,".",","))))</f>
        <v>0.05</v>
      </c>
      <c r="Q785">
        <f>VALUE(TRIM(SUBSTITUTE(VentesMagasins!$J785,".",",")))</f>
        <v>456</v>
      </c>
      <c r="R785">
        <f t="shared" si="36"/>
        <v>433.2</v>
      </c>
      <c r="S785">
        <f>IF(VentesMagasins!$K785=1,(-1)*R785,R785)</f>
        <v>433.2</v>
      </c>
      <c r="T785">
        <f>IFERROR(VALUE(TRIM(SUBSTITUTE(VentesMagasins!$L785,".",","))),0)</f>
        <v>1</v>
      </c>
      <c r="U785">
        <f t="shared" si="37"/>
        <v>1</v>
      </c>
      <c r="V785" t="str">
        <f t="shared" si="38"/>
        <v>faible</v>
      </c>
      <c r="W785" t="str">
        <f>_xlfn.XLOOKUP(VentesMagasins!$B785,Clients!ClientID,Région)</f>
        <v>Est</v>
      </c>
      <c r="X785" t="str">
        <f>INDEX(TypeClient,MATCH(VentesMagasins!$B785,Clients!ClientID))</f>
        <v>Fidèle</v>
      </c>
      <c r="Y785" t="str">
        <v>juin</v>
      </c>
    </row>
    <row r="786" spans="1:25" x14ac:dyDescent="0.25">
      <c r="A786" s="2">
        <v>785</v>
      </c>
      <c r="B786" s="12" t="s">
        <v>111</v>
      </c>
      <c r="C786" s="13">
        <v>45631</v>
      </c>
      <c r="D786" s="12" t="s">
        <v>328</v>
      </c>
      <c r="E786" s="14" t="s">
        <v>334</v>
      </c>
      <c r="F786" s="12" t="s">
        <v>330</v>
      </c>
      <c r="G786" s="2">
        <v>5</v>
      </c>
      <c r="H786" s="3">
        <v>492</v>
      </c>
      <c r="I786" s="14" t="s">
        <v>342</v>
      </c>
      <c r="J786" s="12" t="s">
        <v>1059</v>
      </c>
      <c r="K786" s="2">
        <v>1</v>
      </c>
      <c r="L786" s="12" t="s">
        <v>332</v>
      </c>
      <c r="M786">
        <f>YEAR(VentesMagasins!$C786)</f>
        <v>2024</v>
      </c>
      <c r="N786" t="e" cm="1" vm="1">
        <f t="array" aca="1" ref="N786" ca="1">MONTH(DateVente)</f>
        <v>#VALUE!</v>
      </c>
      <c r="O786" t="str">
        <f>PROPER(VentesMagasins!$F786)</f>
        <v>Décoration</v>
      </c>
      <c r="P786">
        <f>VALUE(CLEAN(TRIM(SUBSTITUTE(VentesMagasins!$I786,".",","))))</f>
        <v>0.05</v>
      </c>
      <c r="Q786">
        <f>VALUE(TRIM(SUBSTITUTE(VentesMagasins!$J786,".",",")))</f>
        <v>2337</v>
      </c>
      <c r="R786">
        <f t="shared" si="36"/>
        <v>2220.15</v>
      </c>
      <c r="S786">
        <f>IF(VentesMagasins!$K786=1,(-1)*R786,R786)</f>
        <v>-2220.15</v>
      </c>
      <c r="T786">
        <f>IFERROR(VALUE(TRIM(SUBSTITUTE(VentesMagasins!$L786,".",","))),0)</f>
        <v>4</v>
      </c>
      <c r="U786">
        <f t="shared" si="37"/>
        <v>4</v>
      </c>
      <c r="V786" t="str">
        <f t="shared" si="38"/>
        <v>moyenne</v>
      </c>
      <c r="W786" t="str">
        <f>_xlfn.XLOOKUP(VentesMagasins!$B786,Clients!ClientID,Région)</f>
        <v>Nord</v>
      </c>
      <c r="X786" t="str">
        <f>INDEX(TypeClient,MATCH(VentesMagasins!$B786,Clients!ClientID))</f>
        <v>Nouveau</v>
      </c>
      <c r="Y786" t="str">
        <v>déc</v>
      </c>
    </row>
    <row r="787" spans="1:25" x14ac:dyDescent="0.25">
      <c r="A787" s="2">
        <v>786</v>
      </c>
      <c r="B787" s="12" t="s">
        <v>56</v>
      </c>
      <c r="C787" s="13">
        <v>45479</v>
      </c>
      <c r="D787" s="12" t="s">
        <v>322</v>
      </c>
      <c r="E787" s="14" t="s">
        <v>339</v>
      </c>
      <c r="F787" s="12" t="s">
        <v>341</v>
      </c>
      <c r="G787" s="2">
        <v>5</v>
      </c>
      <c r="H787" s="3">
        <v>416</v>
      </c>
      <c r="I787" s="14" t="s">
        <v>342</v>
      </c>
      <c r="J787" s="12" t="s">
        <v>1060</v>
      </c>
      <c r="K787" s="2">
        <v>0</v>
      </c>
      <c r="L787" s="12" t="s">
        <v>327</v>
      </c>
      <c r="M787">
        <f>YEAR(VentesMagasins!$C787)</f>
        <v>2024</v>
      </c>
      <c r="N787" t="e" cm="1" vm="1">
        <f t="array" aca="1" ref="N787" ca="1">MONTH(DateVente)</f>
        <v>#VALUE!</v>
      </c>
      <c r="O787" t="str">
        <f>PROPER(VentesMagasins!$F787)</f>
        <v>Meuble</v>
      </c>
      <c r="P787">
        <f>VALUE(CLEAN(TRIM(SUBSTITUTE(VentesMagasins!$I787,".",","))))</f>
        <v>0.05</v>
      </c>
      <c r="Q787">
        <f>VALUE(TRIM(SUBSTITUTE(VentesMagasins!$J787,".",",")))</f>
        <v>1976</v>
      </c>
      <c r="R787">
        <f t="shared" si="36"/>
        <v>1877.1999999999998</v>
      </c>
      <c r="S787">
        <f>IF(VentesMagasins!$K787=1,(-1)*R787,R787)</f>
        <v>1877.1999999999998</v>
      </c>
      <c r="T787">
        <f>IFERROR(VALUE(TRIM(SUBSTITUTE(VentesMagasins!$L787,".",","))),0)</f>
        <v>5</v>
      </c>
      <c r="U787">
        <f t="shared" si="37"/>
        <v>5</v>
      </c>
      <c r="V787" t="str">
        <f t="shared" si="38"/>
        <v>élévé</v>
      </c>
      <c r="W787" t="str">
        <f>_xlfn.XLOOKUP(VentesMagasins!$B787,Clients!ClientID,Région)</f>
        <v>Ouest</v>
      </c>
      <c r="X787" t="str">
        <f>INDEX(TypeClient,MATCH(VentesMagasins!$B787,Clients!ClientID))</f>
        <v>Fidèle</v>
      </c>
      <c r="Y787" t="str">
        <v>juil</v>
      </c>
    </row>
    <row r="788" spans="1:25" x14ac:dyDescent="0.25">
      <c r="A788" s="2">
        <v>787</v>
      </c>
      <c r="B788" s="12" t="s">
        <v>287</v>
      </c>
      <c r="C788" s="13">
        <v>45404</v>
      </c>
      <c r="D788" s="12" t="s">
        <v>328</v>
      </c>
      <c r="E788" s="14" t="s">
        <v>329</v>
      </c>
      <c r="F788" s="12" t="s">
        <v>341</v>
      </c>
      <c r="G788" s="2">
        <v>4</v>
      </c>
      <c r="H788" s="3">
        <v>307</v>
      </c>
      <c r="I788" s="14" t="s">
        <v>342</v>
      </c>
      <c r="J788" s="12" t="s">
        <v>1061</v>
      </c>
      <c r="K788" s="2">
        <v>0</v>
      </c>
      <c r="L788" s="12" t="s">
        <v>332</v>
      </c>
      <c r="M788">
        <f>YEAR(VentesMagasins!$C788)</f>
        <v>2024</v>
      </c>
      <c r="N788" t="e" cm="1" vm="1">
        <f t="array" aca="1" ref="N788" ca="1">MONTH(DateVente)</f>
        <v>#VALUE!</v>
      </c>
      <c r="O788" t="str">
        <f>PROPER(VentesMagasins!$F788)</f>
        <v>Meuble</v>
      </c>
      <c r="P788">
        <f>VALUE(CLEAN(TRIM(SUBSTITUTE(VentesMagasins!$I788,".",","))))</f>
        <v>0.05</v>
      </c>
      <c r="Q788">
        <f>VALUE(TRIM(SUBSTITUTE(VentesMagasins!$J788,".",",")))</f>
        <v>1166.5999999999999</v>
      </c>
      <c r="R788">
        <f t="shared" si="36"/>
        <v>1108.2699999999998</v>
      </c>
      <c r="S788">
        <f>IF(VentesMagasins!$K788=1,(-1)*R788,R788)</f>
        <v>1108.2699999999998</v>
      </c>
      <c r="T788">
        <f>IFERROR(VALUE(TRIM(SUBSTITUTE(VentesMagasins!$L788,".",","))),0)</f>
        <v>4</v>
      </c>
      <c r="U788">
        <f t="shared" si="37"/>
        <v>4</v>
      </c>
      <c r="V788" t="str">
        <f t="shared" si="38"/>
        <v>moyenne</v>
      </c>
      <c r="W788" t="str">
        <f>_xlfn.XLOOKUP(VentesMagasins!$B788,Clients!ClientID,Région)</f>
        <v>Nord</v>
      </c>
      <c r="X788" t="str">
        <f>INDEX(TypeClient,MATCH(VentesMagasins!$B788,Clients!ClientID))</f>
        <v>Nouveau</v>
      </c>
      <c r="Y788" t="str">
        <v>avr</v>
      </c>
    </row>
    <row r="789" spans="1:25" x14ac:dyDescent="0.25">
      <c r="A789" s="2">
        <v>788</v>
      </c>
      <c r="B789" s="12" t="s">
        <v>89</v>
      </c>
      <c r="C789" s="13">
        <v>44958</v>
      </c>
      <c r="D789" s="12" t="s">
        <v>333</v>
      </c>
      <c r="E789" s="14" t="s">
        <v>339</v>
      </c>
      <c r="F789" s="12" t="s">
        <v>324</v>
      </c>
      <c r="G789" s="2">
        <v>2</v>
      </c>
      <c r="H789" s="3">
        <v>263</v>
      </c>
      <c r="I789" s="14" t="s">
        <v>355</v>
      </c>
      <c r="J789" s="12" t="s">
        <v>1062</v>
      </c>
      <c r="K789" s="2">
        <v>0</v>
      </c>
      <c r="L789" s="12" t="s">
        <v>344</v>
      </c>
      <c r="M789">
        <f>YEAR(VentesMagasins!$C789)</f>
        <v>2023</v>
      </c>
      <c r="N789" t="e" cm="1" vm="1">
        <f t="array" aca="1" ref="N789" ca="1">MONTH(DateVente)</f>
        <v>#VALUE!</v>
      </c>
      <c r="O789" t="str">
        <f>PROPER(VentesMagasins!$F789)</f>
        <v>Électronique</v>
      </c>
      <c r="P789">
        <f>VALUE(CLEAN(TRIM(SUBSTITUTE(VentesMagasins!$I789,".",","))))</f>
        <v>0.1</v>
      </c>
      <c r="Q789">
        <f>VALUE(TRIM(SUBSTITUTE(VentesMagasins!$J789,".",",")))</f>
        <v>473.4</v>
      </c>
      <c r="R789">
        <f t="shared" si="36"/>
        <v>426.06</v>
      </c>
      <c r="S789">
        <f>IF(VentesMagasins!$K789=1,(-1)*R789,R789)</f>
        <v>426.06</v>
      </c>
      <c r="T789">
        <f>IFERROR(VALUE(TRIM(SUBSTITUTE(VentesMagasins!$L789,".",","))),0)</f>
        <v>2</v>
      </c>
      <c r="U789">
        <f t="shared" si="37"/>
        <v>2</v>
      </c>
      <c r="V789" t="str">
        <f t="shared" si="38"/>
        <v>faible</v>
      </c>
      <c r="W789" t="str">
        <f>_xlfn.XLOOKUP(VentesMagasins!$B789,Clients!ClientID,Région)</f>
        <v>Nord</v>
      </c>
      <c r="X789" t="str">
        <f>INDEX(TypeClient,MATCH(VentesMagasins!$B789,Clients!ClientID))</f>
        <v>Fidèle</v>
      </c>
      <c r="Y789" t="str">
        <v>févr</v>
      </c>
    </row>
    <row r="790" spans="1:25" x14ac:dyDescent="0.25">
      <c r="A790" s="2">
        <v>789</v>
      </c>
      <c r="B790" s="12" t="s">
        <v>288</v>
      </c>
      <c r="C790" s="13">
        <v>45404</v>
      </c>
      <c r="D790" s="12" t="s">
        <v>338</v>
      </c>
      <c r="E790" s="14" t="s">
        <v>323</v>
      </c>
      <c r="F790" s="12" t="s">
        <v>330</v>
      </c>
      <c r="G790" s="2">
        <v>4</v>
      </c>
      <c r="H790" s="3">
        <v>426</v>
      </c>
      <c r="I790" s="14" t="s">
        <v>325</v>
      </c>
      <c r="J790" s="12" t="s">
        <v>1063</v>
      </c>
      <c r="K790" s="2">
        <v>0</v>
      </c>
      <c r="L790" s="12" t="s">
        <v>369</v>
      </c>
      <c r="M790">
        <f>YEAR(VentesMagasins!$C790)</f>
        <v>2024</v>
      </c>
      <c r="N790" t="e" cm="1" vm="1">
        <f t="array" aca="1" ref="N790" ca="1">MONTH(DateVente)</f>
        <v>#VALUE!</v>
      </c>
      <c r="O790" t="str">
        <f>PROPER(VentesMagasins!$F790)</f>
        <v>Décoration</v>
      </c>
      <c r="P790">
        <f>VALUE(CLEAN(TRIM(SUBSTITUTE(VentesMagasins!$I790,".",","))))</f>
        <v>0.15</v>
      </c>
      <c r="Q790">
        <f>VALUE(TRIM(SUBSTITUTE(VentesMagasins!$J790,".",",")))</f>
        <v>1448.3999999999901</v>
      </c>
      <c r="R790">
        <f t="shared" si="36"/>
        <v>1231.1399999999915</v>
      </c>
      <c r="S790">
        <f>IF(VentesMagasins!$K790=1,(-1)*R790,R790)</f>
        <v>1231.1399999999915</v>
      </c>
      <c r="T790">
        <f>IFERROR(VALUE(TRIM(SUBSTITUTE(VentesMagasins!$L790,".",","))),0)</f>
        <v>1</v>
      </c>
      <c r="U790">
        <f t="shared" si="37"/>
        <v>1</v>
      </c>
      <c r="V790" t="str">
        <f t="shared" si="38"/>
        <v>faible</v>
      </c>
      <c r="W790" t="str">
        <f>_xlfn.XLOOKUP(VentesMagasins!$B790,Clients!ClientID,Région)</f>
        <v>Nord</v>
      </c>
      <c r="X790" t="str">
        <f>INDEX(TypeClient,MATCH(VentesMagasins!$B790,Clients!ClientID))</f>
        <v>Fidèle</v>
      </c>
      <c r="Y790" t="str">
        <v>avr</v>
      </c>
    </row>
    <row r="791" spans="1:25" x14ac:dyDescent="0.25">
      <c r="A791" s="2">
        <v>790</v>
      </c>
      <c r="B791" s="12" t="s">
        <v>96</v>
      </c>
      <c r="C791" s="13">
        <v>45394</v>
      </c>
      <c r="D791" s="12" t="s">
        <v>350</v>
      </c>
      <c r="E791" s="14" t="s">
        <v>362</v>
      </c>
      <c r="F791" s="12" t="s">
        <v>324</v>
      </c>
      <c r="G791" s="2">
        <v>2</v>
      </c>
      <c r="H791" s="3">
        <v>142</v>
      </c>
      <c r="I791" s="14" t="s">
        <v>342</v>
      </c>
      <c r="J791" s="12" t="s">
        <v>1064</v>
      </c>
      <c r="K791" s="2">
        <v>0</v>
      </c>
      <c r="L791" s="12" t="s">
        <v>327</v>
      </c>
      <c r="M791">
        <f>YEAR(VentesMagasins!$C791)</f>
        <v>2024</v>
      </c>
      <c r="N791" t="e" cm="1" vm="1">
        <f t="array" aca="1" ref="N791" ca="1">MONTH(DateVente)</f>
        <v>#VALUE!</v>
      </c>
      <c r="O791" t="str">
        <f>PROPER(VentesMagasins!$F791)</f>
        <v>Électronique</v>
      </c>
      <c r="P791">
        <f>VALUE(CLEAN(TRIM(SUBSTITUTE(VentesMagasins!$I791,".",","))))</f>
        <v>0.05</v>
      </c>
      <c r="Q791">
        <f>VALUE(TRIM(SUBSTITUTE(VentesMagasins!$J791,".",",")))</f>
        <v>269.8</v>
      </c>
      <c r="R791">
        <f t="shared" si="36"/>
        <v>256.31</v>
      </c>
      <c r="S791">
        <f>IF(VentesMagasins!$K791=1,(-1)*R791,R791)</f>
        <v>256.31</v>
      </c>
      <c r="T791">
        <f>IFERROR(VALUE(TRIM(SUBSTITUTE(VentesMagasins!$L791,".",","))),0)</f>
        <v>5</v>
      </c>
      <c r="U791">
        <f t="shared" si="37"/>
        <v>5</v>
      </c>
      <c r="V791" t="str">
        <f t="shared" si="38"/>
        <v>élévé</v>
      </c>
      <c r="W791" t="str">
        <f>_xlfn.XLOOKUP(VentesMagasins!$B791,Clients!ClientID,Région)</f>
        <v>Nord</v>
      </c>
      <c r="X791" t="str">
        <f>INDEX(TypeClient,MATCH(VentesMagasins!$B791,Clients!ClientID))</f>
        <v>Nouveau</v>
      </c>
      <c r="Y791" t="str">
        <v>avr</v>
      </c>
    </row>
    <row r="792" spans="1:25" x14ac:dyDescent="0.25">
      <c r="A792" s="2">
        <v>791</v>
      </c>
      <c r="B792" s="12" t="s">
        <v>214</v>
      </c>
      <c r="C792" s="13">
        <v>45866</v>
      </c>
      <c r="D792" s="12" t="s">
        <v>328</v>
      </c>
      <c r="E792" s="14" t="s">
        <v>334</v>
      </c>
      <c r="F792" s="12" t="s">
        <v>330</v>
      </c>
      <c r="G792" s="2">
        <v>3</v>
      </c>
      <c r="H792" s="3">
        <v>286</v>
      </c>
      <c r="I792" s="14" t="s">
        <v>342</v>
      </c>
      <c r="J792" s="12" t="s">
        <v>1065</v>
      </c>
      <c r="K792" s="2">
        <v>0</v>
      </c>
      <c r="L792" s="12" t="s">
        <v>344</v>
      </c>
      <c r="M792">
        <f>YEAR(VentesMagasins!$C792)</f>
        <v>2025</v>
      </c>
      <c r="N792" t="e" cm="1" vm="1">
        <f t="array" aca="1" ref="N792" ca="1">MONTH(DateVente)</f>
        <v>#VALUE!</v>
      </c>
      <c r="O792" t="str">
        <f>PROPER(VentesMagasins!$F792)</f>
        <v>Décoration</v>
      </c>
      <c r="P792">
        <f>VALUE(CLEAN(TRIM(SUBSTITUTE(VentesMagasins!$I792,".",","))))</f>
        <v>0.05</v>
      </c>
      <c r="Q792">
        <f>VALUE(TRIM(SUBSTITUTE(VentesMagasins!$J792,".",",")))</f>
        <v>815.099999999999</v>
      </c>
      <c r="R792">
        <f t="shared" si="36"/>
        <v>774.344999999999</v>
      </c>
      <c r="S792">
        <f>IF(VentesMagasins!$K792=1,(-1)*R792,R792)</f>
        <v>774.344999999999</v>
      </c>
      <c r="T792">
        <f>IFERROR(VALUE(TRIM(SUBSTITUTE(VentesMagasins!$L792,".",","))),0)</f>
        <v>2</v>
      </c>
      <c r="U792">
        <f t="shared" si="37"/>
        <v>2</v>
      </c>
      <c r="V792" t="str">
        <f t="shared" si="38"/>
        <v>faible</v>
      </c>
      <c r="W792" t="str">
        <f>_xlfn.XLOOKUP(VentesMagasins!$B792,Clients!ClientID,Région)</f>
        <v>Ouest</v>
      </c>
      <c r="X792" t="str">
        <f>INDEX(TypeClient,MATCH(VentesMagasins!$B792,Clients!ClientID))</f>
        <v>Occasionnel</v>
      </c>
      <c r="Y792" t="str">
        <v>juil</v>
      </c>
    </row>
    <row r="793" spans="1:25" x14ac:dyDescent="0.25">
      <c r="A793" s="2">
        <v>792</v>
      </c>
      <c r="B793" s="12" t="s">
        <v>245</v>
      </c>
      <c r="C793" s="13">
        <v>45183</v>
      </c>
      <c r="D793" s="12" t="s">
        <v>338</v>
      </c>
      <c r="E793" s="14" t="s">
        <v>362</v>
      </c>
      <c r="F793" s="12" t="s">
        <v>330</v>
      </c>
      <c r="G793" s="2">
        <v>5</v>
      </c>
      <c r="H793" s="3">
        <v>319</v>
      </c>
      <c r="I793" s="14" t="s">
        <v>355</v>
      </c>
      <c r="J793" s="12" t="s">
        <v>1066</v>
      </c>
      <c r="K793" s="2">
        <v>1</v>
      </c>
      <c r="L793" s="12" t="s">
        <v>352</v>
      </c>
      <c r="M793">
        <f>YEAR(VentesMagasins!$C793)</f>
        <v>2023</v>
      </c>
      <c r="N793" t="e" cm="1" vm="1">
        <f t="array" aca="1" ref="N793" ca="1">MONTH(DateVente)</f>
        <v>#VALUE!</v>
      </c>
      <c r="O793" t="str">
        <f>PROPER(VentesMagasins!$F793)</f>
        <v>Décoration</v>
      </c>
      <c r="P793">
        <f>VALUE(CLEAN(TRIM(SUBSTITUTE(VentesMagasins!$I793,".",","))))</f>
        <v>0.1</v>
      </c>
      <c r="Q793">
        <f>VALUE(TRIM(SUBSTITUTE(VentesMagasins!$J793,".",",")))</f>
        <v>1435.5</v>
      </c>
      <c r="R793">
        <f t="shared" si="36"/>
        <v>1291.95</v>
      </c>
      <c r="S793">
        <f>IF(VentesMagasins!$K793=1,(-1)*R793,R793)</f>
        <v>-1291.95</v>
      </c>
      <c r="T793">
        <f>IFERROR(VALUE(TRIM(SUBSTITUTE(VentesMagasins!$L793,".",","))),0)</f>
        <v>0</v>
      </c>
      <c r="U793">
        <f t="shared" si="37"/>
        <v>3</v>
      </c>
      <c r="V793" t="str">
        <f t="shared" si="38"/>
        <v>moyenne</v>
      </c>
      <c r="W793" t="str">
        <f>_xlfn.XLOOKUP(VentesMagasins!$B793,Clients!ClientID,Région)</f>
        <v>Nord</v>
      </c>
      <c r="X793" t="str">
        <f>INDEX(TypeClient,MATCH(VentesMagasins!$B793,Clients!ClientID))</f>
        <v>Occasionnel</v>
      </c>
      <c r="Y793" t="str">
        <v>sept</v>
      </c>
    </row>
    <row r="794" spans="1:25" x14ac:dyDescent="0.25">
      <c r="A794" s="2">
        <v>793</v>
      </c>
      <c r="B794" s="12" t="s">
        <v>238</v>
      </c>
      <c r="C794" s="13">
        <v>45642</v>
      </c>
      <c r="D794" s="12" t="s">
        <v>350</v>
      </c>
      <c r="E794" s="14" t="s">
        <v>323</v>
      </c>
      <c r="F794" s="12" t="s">
        <v>324</v>
      </c>
      <c r="G794" s="2">
        <v>3</v>
      </c>
      <c r="H794" s="3">
        <v>308</v>
      </c>
      <c r="I794" s="14" t="s">
        <v>342</v>
      </c>
      <c r="J794" s="12" t="s">
        <v>887</v>
      </c>
      <c r="K794" s="2">
        <v>0</v>
      </c>
      <c r="L794" s="12" t="s">
        <v>344</v>
      </c>
      <c r="M794">
        <f>YEAR(VentesMagasins!$C794)</f>
        <v>2024</v>
      </c>
      <c r="N794" t="e" cm="1" vm="1">
        <f t="array" aca="1" ref="N794" ca="1">MONTH(DateVente)</f>
        <v>#VALUE!</v>
      </c>
      <c r="O794" t="str">
        <f>PROPER(VentesMagasins!$F794)</f>
        <v>Électronique</v>
      </c>
      <c r="P794">
        <f>VALUE(CLEAN(TRIM(SUBSTITUTE(VentesMagasins!$I794,".",","))))</f>
        <v>0.05</v>
      </c>
      <c r="Q794">
        <f>VALUE(TRIM(SUBSTITUTE(VentesMagasins!$J794,".",",")))</f>
        <v>877.8</v>
      </c>
      <c r="R794">
        <f t="shared" si="36"/>
        <v>833.91</v>
      </c>
      <c r="S794">
        <f>IF(VentesMagasins!$K794=1,(-1)*R794,R794)</f>
        <v>833.91</v>
      </c>
      <c r="T794">
        <f>IFERROR(VALUE(TRIM(SUBSTITUTE(VentesMagasins!$L794,".",","))),0)</f>
        <v>2</v>
      </c>
      <c r="U794">
        <f t="shared" si="37"/>
        <v>2</v>
      </c>
      <c r="V794" t="str">
        <f t="shared" si="38"/>
        <v>faible</v>
      </c>
      <c r="W794" t="str">
        <f>_xlfn.XLOOKUP(VentesMagasins!$B794,Clients!ClientID,Région)</f>
        <v>Centre</v>
      </c>
      <c r="X794" t="str">
        <f>INDEX(TypeClient,MATCH(VentesMagasins!$B794,Clients!ClientID))</f>
        <v>Occasionnel</v>
      </c>
      <c r="Y794" t="str">
        <v>déc</v>
      </c>
    </row>
    <row r="795" spans="1:25" x14ac:dyDescent="0.25">
      <c r="A795" s="2">
        <v>794</v>
      </c>
      <c r="B795" s="12" t="s">
        <v>122</v>
      </c>
      <c r="C795" s="13">
        <v>45185</v>
      </c>
      <c r="D795" s="12" t="s">
        <v>322</v>
      </c>
      <c r="E795" s="14" t="s">
        <v>345</v>
      </c>
      <c r="F795" s="12" t="s">
        <v>324</v>
      </c>
      <c r="G795" s="2">
        <v>4</v>
      </c>
      <c r="H795" s="3">
        <v>92</v>
      </c>
      <c r="I795" s="14" t="s">
        <v>355</v>
      </c>
      <c r="J795" s="12" t="s">
        <v>1067</v>
      </c>
      <c r="K795" s="2">
        <v>0</v>
      </c>
      <c r="L795" s="12" t="s">
        <v>327</v>
      </c>
      <c r="M795">
        <f>YEAR(VentesMagasins!$C795)</f>
        <v>2023</v>
      </c>
      <c r="N795" t="e" cm="1" vm="1">
        <f t="array" aca="1" ref="N795" ca="1">MONTH(DateVente)</f>
        <v>#VALUE!</v>
      </c>
      <c r="O795" t="str">
        <f>PROPER(VentesMagasins!$F795)</f>
        <v>Électronique</v>
      </c>
      <c r="P795">
        <f>VALUE(CLEAN(TRIM(SUBSTITUTE(VentesMagasins!$I795,".",","))))</f>
        <v>0.1</v>
      </c>
      <c r="Q795">
        <f>VALUE(TRIM(SUBSTITUTE(VentesMagasins!$J795,".",",")))</f>
        <v>331.2</v>
      </c>
      <c r="R795">
        <f t="shared" si="36"/>
        <v>298.08</v>
      </c>
      <c r="S795">
        <f>IF(VentesMagasins!$K795=1,(-1)*R795,R795)</f>
        <v>298.08</v>
      </c>
      <c r="T795">
        <f>IFERROR(VALUE(TRIM(SUBSTITUTE(VentesMagasins!$L795,".",","))),0)</f>
        <v>5</v>
      </c>
      <c r="U795">
        <f t="shared" si="37"/>
        <v>5</v>
      </c>
      <c r="V795" t="str">
        <f t="shared" si="38"/>
        <v>élévé</v>
      </c>
      <c r="W795" t="str">
        <f>_xlfn.XLOOKUP(VentesMagasins!$B795,Clients!ClientID,Région)</f>
        <v>Sud</v>
      </c>
      <c r="X795" t="str">
        <f>INDEX(TypeClient,MATCH(VentesMagasins!$B795,Clients!ClientID))</f>
        <v>Nouveau</v>
      </c>
      <c r="Y795" t="str">
        <v>sept</v>
      </c>
    </row>
    <row r="796" spans="1:25" x14ac:dyDescent="0.25">
      <c r="A796" s="2">
        <v>795</v>
      </c>
      <c r="B796" s="12" t="s">
        <v>175</v>
      </c>
      <c r="C796" s="13">
        <v>44978</v>
      </c>
      <c r="D796" s="12" t="s">
        <v>333</v>
      </c>
      <c r="E796" s="14" t="s">
        <v>348</v>
      </c>
      <c r="F796" s="12" t="s">
        <v>330</v>
      </c>
      <c r="G796" s="2">
        <v>5</v>
      </c>
      <c r="H796" s="3">
        <v>270</v>
      </c>
      <c r="I796" s="14" t="s">
        <v>325</v>
      </c>
      <c r="J796" s="12" t="s">
        <v>1068</v>
      </c>
      <c r="K796" s="2">
        <v>0</v>
      </c>
      <c r="L796" s="12" t="s">
        <v>327</v>
      </c>
      <c r="M796">
        <f>YEAR(VentesMagasins!$C796)</f>
        <v>2023</v>
      </c>
      <c r="N796" t="e" cm="1" vm="1">
        <f t="array" aca="1" ref="N796" ca="1">MONTH(DateVente)</f>
        <v>#VALUE!</v>
      </c>
      <c r="O796" t="str">
        <f>PROPER(VentesMagasins!$F796)</f>
        <v>Décoration</v>
      </c>
      <c r="P796">
        <f>VALUE(CLEAN(TRIM(SUBSTITUTE(VentesMagasins!$I796,".",","))))</f>
        <v>0.15</v>
      </c>
      <c r="Q796">
        <f>VALUE(TRIM(SUBSTITUTE(VentesMagasins!$J796,".",",")))</f>
        <v>1147.5</v>
      </c>
      <c r="R796">
        <f t="shared" si="36"/>
        <v>975.375</v>
      </c>
      <c r="S796">
        <f>IF(VentesMagasins!$K796=1,(-1)*R796,R796)</f>
        <v>975.375</v>
      </c>
      <c r="T796">
        <f>IFERROR(VALUE(TRIM(SUBSTITUTE(VentesMagasins!$L796,".",","))),0)</f>
        <v>5</v>
      </c>
      <c r="U796">
        <f t="shared" si="37"/>
        <v>5</v>
      </c>
      <c r="V796" t="str">
        <f t="shared" si="38"/>
        <v>élévé</v>
      </c>
      <c r="W796" t="str">
        <f>_xlfn.XLOOKUP(VentesMagasins!$B796,Clients!ClientID,Région)</f>
        <v>Est</v>
      </c>
      <c r="X796" t="str">
        <f>INDEX(TypeClient,MATCH(VentesMagasins!$B796,Clients!ClientID))</f>
        <v>Nouveau</v>
      </c>
      <c r="Y796" t="str">
        <v>févr</v>
      </c>
    </row>
    <row r="797" spans="1:25" x14ac:dyDescent="0.25">
      <c r="A797" s="2">
        <v>796</v>
      </c>
      <c r="B797" s="12" t="s">
        <v>22</v>
      </c>
      <c r="C797" s="13">
        <v>45597</v>
      </c>
      <c r="D797" s="12" t="s">
        <v>338</v>
      </c>
      <c r="E797" s="14" t="s">
        <v>339</v>
      </c>
      <c r="F797" s="12" t="s">
        <v>330</v>
      </c>
      <c r="G797" s="2">
        <v>1</v>
      </c>
      <c r="H797" s="3">
        <v>72</v>
      </c>
      <c r="I797" s="14" t="s">
        <v>325</v>
      </c>
      <c r="J797" s="12" t="s">
        <v>1069</v>
      </c>
      <c r="K797" s="2">
        <v>0</v>
      </c>
      <c r="L797" s="12" t="s">
        <v>337</v>
      </c>
      <c r="M797">
        <f>YEAR(VentesMagasins!$C797)</f>
        <v>2024</v>
      </c>
      <c r="N797" t="e" cm="1" vm="1">
        <f t="array" aca="1" ref="N797" ca="1">MONTH(DateVente)</f>
        <v>#VALUE!</v>
      </c>
      <c r="O797" t="str">
        <f>PROPER(VentesMagasins!$F797)</f>
        <v>Décoration</v>
      </c>
      <c r="P797">
        <f>VALUE(CLEAN(TRIM(SUBSTITUTE(VentesMagasins!$I797,".",","))))</f>
        <v>0.15</v>
      </c>
      <c r="Q797">
        <f>VALUE(TRIM(SUBSTITUTE(VentesMagasins!$J797,".",",")))</f>
        <v>61.199999999999903</v>
      </c>
      <c r="R797">
        <f t="shared" si="36"/>
        <v>52.019999999999918</v>
      </c>
      <c r="S797">
        <f>IF(VentesMagasins!$K797=1,(-1)*R797,R797)</f>
        <v>52.019999999999918</v>
      </c>
      <c r="T797">
        <f>IFERROR(VALUE(TRIM(SUBSTITUTE(VentesMagasins!$L797,".",","))),0)</f>
        <v>3</v>
      </c>
      <c r="U797">
        <f t="shared" si="37"/>
        <v>3</v>
      </c>
      <c r="V797" t="str">
        <f t="shared" si="38"/>
        <v>moyenne</v>
      </c>
      <c r="W797" t="str">
        <f>_xlfn.XLOOKUP(VentesMagasins!$B797,Clients!ClientID,Région)</f>
        <v>Ouest</v>
      </c>
      <c r="X797" t="str">
        <f>INDEX(TypeClient,MATCH(VentesMagasins!$B797,Clients!ClientID))</f>
        <v>Nouveau</v>
      </c>
      <c r="Y797" t="str">
        <v>nov</v>
      </c>
    </row>
    <row r="798" spans="1:25" x14ac:dyDescent="0.25">
      <c r="A798" s="2">
        <v>797</v>
      </c>
      <c r="B798" s="12" t="s">
        <v>181</v>
      </c>
      <c r="C798" s="13">
        <v>45280</v>
      </c>
      <c r="D798" s="12" t="s">
        <v>322</v>
      </c>
      <c r="E798" s="14" t="s">
        <v>345</v>
      </c>
      <c r="F798" s="12" t="s">
        <v>324</v>
      </c>
      <c r="G798" s="2">
        <v>4</v>
      </c>
      <c r="H798" s="3">
        <v>292</v>
      </c>
      <c r="I798" s="14" t="s">
        <v>335</v>
      </c>
      <c r="J798" s="12" t="s">
        <v>1070</v>
      </c>
      <c r="K798" s="2">
        <v>0</v>
      </c>
      <c r="L798" s="12" t="s">
        <v>337</v>
      </c>
      <c r="M798">
        <f>YEAR(VentesMagasins!$C798)</f>
        <v>2023</v>
      </c>
      <c r="N798" t="e" cm="1" vm="1">
        <f t="array" aca="1" ref="N798" ca="1">MONTH(DateVente)</f>
        <v>#VALUE!</v>
      </c>
      <c r="O798" t="str">
        <f>PROPER(VentesMagasins!$F798)</f>
        <v>Électronique</v>
      </c>
      <c r="P798">
        <f>VALUE(CLEAN(TRIM(SUBSTITUTE(VentesMagasins!$I798,".",","))))</f>
        <v>0</v>
      </c>
      <c r="Q798">
        <f>VALUE(TRIM(SUBSTITUTE(VentesMagasins!$J798,".",",")))</f>
        <v>1168</v>
      </c>
      <c r="R798">
        <f t="shared" si="36"/>
        <v>1168</v>
      </c>
      <c r="S798">
        <f>IF(VentesMagasins!$K798=1,(-1)*R798,R798)</f>
        <v>1168</v>
      </c>
      <c r="T798">
        <f>IFERROR(VALUE(TRIM(SUBSTITUTE(VentesMagasins!$L798,".",","))),0)</f>
        <v>3</v>
      </c>
      <c r="U798">
        <f t="shared" si="37"/>
        <v>3</v>
      </c>
      <c r="V798" t="str">
        <f t="shared" si="38"/>
        <v>moyenne</v>
      </c>
      <c r="W798" t="str">
        <f>_xlfn.XLOOKUP(VentesMagasins!$B798,Clients!ClientID,Région)</f>
        <v>Est</v>
      </c>
      <c r="X798" t="str">
        <f>INDEX(TypeClient,MATCH(VentesMagasins!$B798,Clients!ClientID))</f>
        <v>Fidèle</v>
      </c>
      <c r="Y798" t="str">
        <v>déc</v>
      </c>
    </row>
    <row r="799" spans="1:25" x14ac:dyDescent="0.25">
      <c r="A799" s="2">
        <v>798</v>
      </c>
      <c r="B799" s="12" t="s">
        <v>250</v>
      </c>
      <c r="C799" s="13">
        <v>45845</v>
      </c>
      <c r="D799" s="12" t="s">
        <v>338</v>
      </c>
      <c r="E799" s="14" t="s">
        <v>362</v>
      </c>
      <c r="F799" s="12" t="s">
        <v>330</v>
      </c>
      <c r="G799" s="2">
        <v>4</v>
      </c>
      <c r="H799" s="3">
        <v>111</v>
      </c>
      <c r="I799" s="14" t="s">
        <v>335</v>
      </c>
      <c r="J799" s="12" t="s">
        <v>551</v>
      </c>
      <c r="K799" s="2">
        <v>0</v>
      </c>
      <c r="L799" s="12" t="s">
        <v>352</v>
      </c>
      <c r="M799">
        <f>YEAR(VentesMagasins!$C799)</f>
        <v>2025</v>
      </c>
      <c r="N799" t="e" cm="1" vm="1">
        <f t="array" aca="1" ref="N799" ca="1">MONTH(DateVente)</f>
        <v>#VALUE!</v>
      </c>
      <c r="O799" t="str">
        <f>PROPER(VentesMagasins!$F799)</f>
        <v>Décoration</v>
      </c>
      <c r="P799">
        <f>VALUE(CLEAN(TRIM(SUBSTITUTE(VentesMagasins!$I799,".",","))))</f>
        <v>0</v>
      </c>
      <c r="Q799">
        <f>VALUE(TRIM(SUBSTITUTE(VentesMagasins!$J799,".",",")))</f>
        <v>444</v>
      </c>
      <c r="R799">
        <f t="shared" si="36"/>
        <v>444</v>
      </c>
      <c r="S799">
        <f>IF(VentesMagasins!$K799=1,(-1)*R799,R799)</f>
        <v>444</v>
      </c>
      <c r="T799">
        <f>IFERROR(VALUE(TRIM(SUBSTITUTE(VentesMagasins!$L799,".",","))),0)</f>
        <v>0</v>
      </c>
      <c r="U799">
        <f t="shared" si="37"/>
        <v>3</v>
      </c>
      <c r="V799" t="str">
        <f t="shared" si="38"/>
        <v>moyenne</v>
      </c>
      <c r="W799" t="str">
        <f>_xlfn.XLOOKUP(VentesMagasins!$B799,Clients!ClientID,Région)</f>
        <v>Centre</v>
      </c>
      <c r="X799" t="str">
        <f>INDEX(TypeClient,MATCH(VentesMagasins!$B799,Clients!ClientID))</f>
        <v>Fidèle</v>
      </c>
      <c r="Y799" t="str">
        <v>juil</v>
      </c>
    </row>
    <row r="800" spans="1:25" x14ac:dyDescent="0.25">
      <c r="A800" s="2">
        <v>799</v>
      </c>
      <c r="B800" s="12" t="s">
        <v>283</v>
      </c>
      <c r="C800" s="13">
        <v>45556</v>
      </c>
      <c r="D800" s="12" t="s">
        <v>350</v>
      </c>
      <c r="E800" s="14" t="s">
        <v>329</v>
      </c>
      <c r="F800" s="12" t="s">
        <v>341</v>
      </c>
      <c r="G800" s="2">
        <v>1</v>
      </c>
      <c r="H800" s="3">
        <v>458</v>
      </c>
      <c r="I800" s="14" t="s">
        <v>342</v>
      </c>
      <c r="J800" s="12" t="s">
        <v>1071</v>
      </c>
      <c r="K800" s="2">
        <v>1</v>
      </c>
      <c r="L800" s="12" t="s">
        <v>327</v>
      </c>
      <c r="M800">
        <f>YEAR(VentesMagasins!$C800)</f>
        <v>2024</v>
      </c>
      <c r="N800" t="e" cm="1" vm="1">
        <f t="array" aca="1" ref="N800" ca="1">MONTH(DateVente)</f>
        <v>#VALUE!</v>
      </c>
      <c r="O800" t="str">
        <f>PROPER(VentesMagasins!$F800)</f>
        <v>Meuble</v>
      </c>
      <c r="P800">
        <f>VALUE(CLEAN(TRIM(SUBSTITUTE(VentesMagasins!$I800,".",","))))</f>
        <v>0.05</v>
      </c>
      <c r="Q800">
        <f>VALUE(TRIM(SUBSTITUTE(VentesMagasins!$J800,".",",")))</f>
        <v>435.099999999999</v>
      </c>
      <c r="R800">
        <f t="shared" si="36"/>
        <v>413.344999999999</v>
      </c>
      <c r="S800">
        <f>IF(VentesMagasins!$K800=1,(-1)*R800,R800)</f>
        <v>-413.344999999999</v>
      </c>
      <c r="T800">
        <f>IFERROR(VALUE(TRIM(SUBSTITUTE(VentesMagasins!$L800,".",","))),0)</f>
        <v>5</v>
      </c>
      <c r="U800">
        <f t="shared" si="37"/>
        <v>5</v>
      </c>
      <c r="V800" t="str">
        <f t="shared" si="38"/>
        <v>élévé</v>
      </c>
      <c r="W800" t="str">
        <f>_xlfn.XLOOKUP(VentesMagasins!$B800,Clients!ClientID,Région)</f>
        <v>Nord</v>
      </c>
      <c r="X800" t="str">
        <f>INDEX(TypeClient,MATCH(VentesMagasins!$B800,Clients!ClientID))</f>
        <v>Fidèle</v>
      </c>
      <c r="Y800" t="str">
        <v>sept</v>
      </c>
    </row>
    <row r="801" spans="1:25" x14ac:dyDescent="0.25">
      <c r="A801" s="2">
        <v>800</v>
      </c>
      <c r="B801" s="12" t="s">
        <v>220</v>
      </c>
      <c r="C801" s="13">
        <v>45513</v>
      </c>
      <c r="D801" s="12" t="s">
        <v>333</v>
      </c>
      <c r="E801" s="14" t="s">
        <v>339</v>
      </c>
      <c r="F801" s="12" t="s">
        <v>330</v>
      </c>
      <c r="G801" s="2">
        <v>3</v>
      </c>
      <c r="H801" s="3">
        <v>279</v>
      </c>
      <c r="I801" s="14" t="s">
        <v>335</v>
      </c>
      <c r="J801" s="12" t="s">
        <v>1072</v>
      </c>
      <c r="K801" s="2">
        <v>1</v>
      </c>
      <c r="L801" s="12" t="s">
        <v>344</v>
      </c>
      <c r="M801">
        <f>YEAR(VentesMagasins!$C801)</f>
        <v>2024</v>
      </c>
      <c r="N801" t="e" cm="1" vm="1">
        <f t="array" aca="1" ref="N801" ca="1">MONTH(DateVente)</f>
        <v>#VALUE!</v>
      </c>
      <c r="O801" t="str">
        <f>PROPER(VentesMagasins!$F801)</f>
        <v>Décoration</v>
      </c>
      <c r="P801">
        <f>VALUE(CLEAN(TRIM(SUBSTITUTE(VentesMagasins!$I801,".",","))))</f>
        <v>0</v>
      </c>
      <c r="Q801">
        <f>VALUE(TRIM(SUBSTITUTE(VentesMagasins!$J801,".",",")))</f>
        <v>837</v>
      </c>
      <c r="R801">
        <f t="shared" si="36"/>
        <v>837</v>
      </c>
      <c r="S801">
        <f>IF(VentesMagasins!$K801=1,(-1)*R801,R801)</f>
        <v>-837</v>
      </c>
      <c r="T801">
        <f>IFERROR(VALUE(TRIM(SUBSTITUTE(VentesMagasins!$L801,".",","))),0)</f>
        <v>2</v>
      </c>
      <c r="U801">
        <f t="shared" si="37"/>
        <v>2</v>
      </c>
      <c r="V801" t="str">
        <f t="shared" si="38"/>
        <v>faible</v>
      </c>
      <c r="W801" t="str">
        <f>_xlfn.XLOOKUP(VentesMagasins!$B801,Clients!ClientID,Région)</f>
        <v>Centre</v>
      </c>
      <c r="X801" t="str">
        <f>INDEX(TypeClient,MATCH(VentesMagasins!$B801,Clients!ClientID))</f>
        <v>Occasionnel</v>
      </c>
      <c r="Y801" t="str">
        <v>août</v>
      </c>
    </row>
    <row r="802" spans="1:25" x14ac:dyDescent="0.25">
      <c r="A802" s="2">
        <v>801</v>
      </c>
      <c r="B802" s="12" t="s">
        <v>72</v>
      </c>
      <c r="C802" s="13">
        <v>45697</v>
      </c>
      <c r="D802" s="12" t="s">
        <v>338</v>
      </c>
      <c r="E802" s="14" t="s">
        <v>339</v>
      </c>
      <c r="F802" s="12" t="s">
        <v>324</v>
      </c>
      <c r="G802" s="2">
        <v>4</v>
      </c>
      <c r="H802" s="3">
        <v>475</v>
      </c>
      <c r="I802" s="14" t="s">
        <v>355</v>
      </c>
      <c r="J802" s="12" t="s">
        <v>1073</v>
      </c>
      <c r="K802" s="2">
        <v>1</v>
      </c>
      <c r="L802" s="12" t="s">
        <v>327</v>
      </c>
      <c r="M802">
        <f>YEAR(VentesMagasins!$C802)</f>
        <v>2025</v>
      </c>
      <c r="N802" t="e" cm="1" vm="1">
        <f t="array" aca="1" ref="N802" ca="1">MONTH(DateVente)</f>
        <v>#VALUE!</v>
      </c>
      <c r="O802" t="str">
        <f>PROPER(VentesMagasins!$F802)</f>
        <v>Électronique</v>
      </c>
      <c r="P802">
        <f>VALUE(CLEAN(TRIM(SUBSTITUTE(VentesMagasins!$I802,".",","))))</f>
        <v>0.1</v>
      </c>
      <c r="Q802">
        <f>VALUE(TRIM(SUBSTITUTE(VentesMagasins!$J802,".",",")))</f>
        <v>1710</v>
      </c>
      <c r="R802">
        <f t="shared" si="36"/>
        <v>1539</v>
      </c>
      <c r="S802">
        <f>IF(VentesMagasins!$K802=1,(-1)*R802,R802)</f>
        <v>-1539</v>
      </c>
      <c r="T802">
        <f>IFERROR(VALUE(TRIM(SUBSTITUTE(VentesMagasins!$L802,".",","))),0)</f>
        <v>5</v>
      </c>
      <c r="U802">
        <f t="shared" si="37"/>
        <v>5</v>
      </c>
      <c r="V802" t="str">
        <f t="shared" si="38"/>
        <v>élévé</v>
      </c>
      <c r="W802" t="str">
        <f>_xlfn.XLOOKUP(VentesMagasins!$B802,Clients!ClientID,Région)</f>
        <v>Est</v>
      </c>
      <c r="X802" t="str">
        <f>INDEX(TypeClient,MATCH(VentesMagasins!$B802,Clients!ClientID))</f>
        <v>Fidèle</v>
      </c>
      <c r="Y802" t="str">
        <v>févr</v>
      </c>
    </row>
    <row r="803" spans="1:25" x14ac:dyDescent="0.25">
      <c r="A803" s="2">
        <v>802</v>
      </c>
      <c r="B803" s="12" t="s">
        <v>206</v>
      </c>
      <c r="C803" s="13">
        <v>45179</v>
      </c>
      <c r="D803" s="12" t="s">
        <v>425</v>
      </c>
      <c r="E803" s="14" t="s">
        <v>348</v>
      </c>
      <c r="F803" s="12" t="s">
        <v>330</v>
      </c>
      <c r="G803" s="2">
        <v>4</v>
      </c>
      <c r="H803" s="3">
        <v>295</v>
      </c>
      <c r="I803" s="14" t="s">
        <v>342</v>
      </c>
      <c r="J803" s="12" t="s">
        <v>1074</v>
      </c>
      <c r="K803" s="2">
        <v>1</v>
      </c>
      <c r="L803" s="12" t="s">
        <v>332</v>
      </c>
      <c r="M803">
        <f>YEAR(VentesMagasins!$C803)</f>
        <v>2023</v>
      </c>
      <c r="N803" t="e" cm="1" vm="1">
        <f t="array" aca="1" ref="N803" ca="1">MONTH(DateVente)</f>
        <v>#VALUE!</v>
      </c>
      <c r="O803" t="str">
        <f>PROPER(VentesMagasins!$F803)</f>
        <v>Décoration</v>
      </c>
      <c r="P803">
        <f>VALUE(CLEAN(TRIM(SUBSTITUTE(VentesMagasins!$I803,".",","))))</f>
        <v>0.05</v>
      </c>
      <c r="Q803">
        <f>VALUE(TRIM(SUBSTITUTE(VentesMagasins!$J803,".",",")))</f>
        <v>1121</v>
      </c>
      <c r="R803">
        <f t="shared" si="36"/>
        <v>1064.95</v>
      </c>
      <c r="S803">
        <f>IF(VentesMagasins!$K803=1,(-1)*R803,R803)</f>
        <v>-1064.95</v>
      </c>
      <c r="T803">
        <f>IFERROR(VALUE(TRIM(SUBSTITUTE(VentesMagasins!$L803,".",","))),0)</f>
        <v>4</v>
      </c>
      <c r="U803">
        <f t="shared" si="37"/>
        <v>4</v>
      </c>
      <c r="V803" t="str">
        <f t="shared" si="38"/>
        <v>moyenne</v>
      </c>
      <c r="W803" t="str">
        <f>_xlfn.XLOOKUP(VentesMagasins!$B803,Clients!ClientID,Région)</f>
        <v>Centre</v>
      </c>
      <c r="X803" t="str">
        <f>INDEX(TypeClient,MATCH(VentesMagasins!$B803,Clients!ClientID))</f>
        <v>Occasionnel</v>
      </c>
      <c r="Y803" t="str">
        <v>sept</v>
      </c>
    </row>
    <row r="804" spans="1:25" x14ac:dyDescent="0.25">
      <c r="A804" s="2">
        <v>803</v>
      </c>
      <c r="B804" s="12" t="s">
        <v>185</v>
      </c>
      <c r="C804" s="13">
        <v>45414</v>
      </c>
      <c r="D804" s="12" t="s">
        <v>333</v>
      </c>
      <c r="E804" s="14" t="s">
        <v>345</v>
      </c>
      <c r="F804" s="12" t="s">
        <v>330</v>
      </c>
      <c r="G804" s="2">
        <v>1</v>
      </c>
      <c r="H804" s="3">
        <v>202</v>
      </c>
      <c r="I804" s="14" t="s">
        <v>342</v>
      </c>
      <c r="J804" s="12" t="s">
        <v>778</v>
      </c>
      <c r="K804" s="2">
        <v>1</v>
      </c>
      <c r="L804" s="12" t="s">
        <v>337</v>
      </c>
      <c r="M804">
        <f>YEAR(VentesMagasins!$C804)</f>
        <v>2024</v>
      </c>
      <c r="N804" t="e" cm="1" vm="1">
        <f t="array" aca="1" ref="N804" ca="1">MONTH(DateVente)</f>
        <v>#VALUE!</v>
      </c>
      <c r="O804" t="str">
        <f>PROPER(VentesMagasins!$F804)</f>
        <v>Décoration</v>
      </c>
      <c r="P804">
        <f>VALUE(CLEAN(TRIM(SUBSTITUTE(VentesMagasins!$I804,".",","))))</f>
        <v>0.05</v>
      </c>
      <c r="Q804">
        <f>VALUE(TRIM(SUBSTITUTE(VentesMagasins!$J804,".",",")))</f>
        <v>191.89999999999901</v>
      </c>
      <c r="R804">
        <f t="shared" si="36"/>
        <v>182.30499999999904</v>
      </c>
      <c r="S804">
        <f>IF(VentesMagasins!$K804=1,(-1)*R804,R804)</f>
        <v>-182.30499999999904</v>
      </c>
      <c r="T804">
        <f>IFERROR(VALUE(TRIM(SUBSTITUTE(VentesMagasins!$L804,".",","))),0)</f>
        <v>3</v>
      </c>
      <c r="U804">
        <f t="shared" si="37"/>
        <v>3</v>
      </c>
      <c r="V804" t="str">
        <f t="shared" si="38"/>
        <v>moyenne</v>
      </c>
      <c r="W804" t="str">
        <f>_xlfn.XLOOKUP(VentesMagasins!$B804,Clients!ClientID,Région)</f>
        <v>Centre</v>
      </c>
      <c r="X804" t="str">
        <f>INDEX(TypeClient,MATCH(VentesMagasins!$B804,Clients!ClientID))</f>
        <v>Occasionnel</v>
      </c>
      <c r="Y804" t="str">
        <v>mai</v>
      </c>
    </row>
    <row r="805" spans="1:25" x14ac:dyDescent="0.25">
      <c r="A805" s="2">
        <v>804</v>
      </c>
      <c r="B805" s="12" t="s">
        <v>235</v>
      </c>
      <c r="C805" s="13">
        <v>45249</v>
      </c>
      <c r="D805" s="12" t="s">
        <v>322</v>
      </c>
      <c r="E805" s="14" t="s">
        <v>345</v>
      </c>
      <c r="F805" s="12" t="s">
        <v>341</v>
      </c>
      <c r="G805" s="2">
        <v>2</v>
      </c>
      <c r="H805" s="3">
        <v>208</v>
      </c>
      <c r="I805" s="14" t="s">
        <v>355</v>
      </c>
      <c r="J805" s="12" t="s">
        <v>1075</v>
      </c>
      <c r="K805" s="2">
        <v>0</v>
      </c>
      <c r="L805" s="12" t="s">
        <v>332</v>
      </c>
      <c r="M805">
        <f>YEAR(VentesMagasins!$C805)</f>
        <v>2023</v>
      </c>
      <c r="N805" t="e" cm="1" vm="1">
        <f t="array" aca="1" ref="N805" ca="1">MONTH(DateVente)</f>
        <v>#VALUE!</v>
      </c>
      <c r="O805" t="str">
        <f>PROPER(VentesMagasins!$F805)</f>
        <v>Meuble</v>
      </c>
      <c r="P805">
        <f>VALUE(CLEAN(TRIM(SUBSTITUTE(VentesMagasins!$I805,".",","))))</f>
        <v>0.1</v>
      </c>
      <c r="Q805">
        <f>VALUE(TRIM(SUBSTITUTE(VentesMagasins!$J805,".",",")))</f>
        <v>374.4</v>
      </c>
      <c r="R805">
        <f t="shared" si="36"/>
        <v>336.96</v>
      </c>
      <c r="S805">
        <f>IF(VentesMagasins!$K805=1,(-1)*R805,R805)</f>
        <v>336.96</v>
      </c>
      <c r="T805">
        <f>IFERROR(VALUE(TRIM(SUBSTITUTE(VentesMagasins!$L805,".",","))),0)</f>
        <v>4</v>
      </c>
      <c r="U805">
        <f t="shared" si="37"/>
        <v>4</v>
      </c>
      <c r="V805" t="str">
        <f t="shared" si="38"/>
        <v>moyenne</v>
      </c>
      <c r="W805" t="str">
        <f>_xlfn.XLOOKUP(VentesMagasins!$B805,Clients!ClientID,Région)</f>
        <v>Sud</v>
      </c>
      <c r="X805" t="str">
        <f>INDEX(TypeClient,MATCH(VentesMagasins!$B805,Clients!ClientID))</f>
        <v>Fidèle</v>
      </c>
      <c r="Y805" t="str">
        <v>nov</v>
      </c>
    </row>
    <row r="806" spans="1:25" x14ac:dyDescent="0.25">
      <c r="A806" s="2">
        <v>805</v>
      </c>
      <c r="B806" s="12" t="s">
        <v>165</v>
      </c>
      <c r="C806" s="13">
        <v>45617</v>
      </c>
      <c r="D806" s="12" t="s">
        <v>350</v>
      </c>
      <c r="E806" s="14" t="s">
        <v>345</v>
      </c>
      <c r="F806" s="12" t="s">
        <v>341</v>
      </c>
      <c r="G806" s="2">
        <v>2</v>
      </c>
      <c r="H806" s="3">
        <v>464</v>
      </c>
      <c r="I806" s="14" t="s">
        <v>355</v>
      </c>
      <c r="J806" s="12" t="s">
        <v>1076</v>
      </c>
      <c r="K806" s="2">
        <v>1</v>
      </c>
      <c r="L806" s="12" t="s">
        <v>352</v>
      </c>
      <c r="M806">
        <f>YEAR(VentesMagasins!$C806)</f>
        <v>2024</v>
      </c>
      <c r="N806" t="e" cm="1" vm="1">
        <f t="array" aca="1" ref="N806" ca="1">MONTH(DateVente)</f>
        <v>#VALUE!</v>
      </c>
      <c r="O806" t="str">
        <f>PROPER(VentesMagasins!$F806)</f>
        <v>Meuble</v>
      </c>
      <c r="P806">
        <f>VALUE(CLEAN(TRIM(SUBSTITUTE(VentesMagasins!$I806,".",","))))</f>
        <v>0.1</v>
      </c>
      <c r="Q806">
        <f>VALUE(TRIM(SUBSTITUTE(VentesMagasins!$J806,".",",")))</f>
        <v>835.2</v>
      </c>
      <c r="R806">
        <f t="shared" si="36"/>
        <v>751.68000000000006</v>
      </c>
      <c r="S806">
        <f>IF(VentesMagasins!$K806=1,(-1)*R806,R806)</f>
        <v>-751.68000000000006</v>
      </c>
      <c r="T806">
        <f>IFERROR(VALUE(TRIM(SUBSTITUTE(VentesMagasins!$L806,".",","))),0)</f>
        <v>0</v>
      </c>
      <c r="U806">
        <f t="shared" si="37"/>
        <v>3</v>
      </c>
      <c r="V806" t="str">
        <f t="shared" si="38"/>
        <v>moyenne</v>
      </c>
      <c r="W806" t="str">
        <f>_xlfn.XLOOKUP(VentesMagasins!$B806,Clients!ClientID,Région)</f>
        <v>Centre</v>
      </c>
      <c r="X806" t="str">
        <f>INDEX(TypeClient,MATCH(VentesMagasins!$B806,Clients!ClientID))</f>
        <v>Nouveau</v>
      </c>
      <c r="Y806" t="str">
        <v>nov</v>
      </c>
    </row>
    <row r="807" spans="1:25" x14ac:dyDescent="0.25">
      <c r="A807" s="2">
        <v>806</v>
      </c>
      <c r="B807" s="12" t="s">
        <v>149</v>
      </c>
      <c r="C807" s="13">
        <v>45273</v>
      </c>
      <c r="D807" s="12" t="s">
        <v>333</v>
      </c>
      <c r="E807" s="14" t="s">
        <v>329</v>
      </c>
      <c r="F807" s="12" t="s">
        <v>341</v>
      </c>
      <c r="G807" s="2">
        <v>3</v>
      </c>
      <c r="H807" s="3">
        <v>67</v>
      </c>
      <c r="I807" s="14" t="s">
        <v>335</v>
      </c>
      <c r="J807" s="12" t="s">
        <v>1077</v>
      </c>
      <c r="K807" s="2">
        <v>1</v>
      </c>
      <c r="L807" s="12" t="s">
        <v>344</v>
      </c>
      <c r="M807">
        <f>YEAR(VentesMagasins!$C807)</f>
        <v>2023</v>
      </c>
      <c r="N807" t="e" cm="1" vm="1">
        <f t="array" aca="1" ref="N807" ca="1">MONTH(DateVente)</f>
        <v>#VALUE!</v>
      </c>
      <c r="O807" t="str">
        <f>PROPER(VentesMagasins!$F807)</f>
        <v>Meuble</v>
      </c>
      <c r="P807">
        <f>VALUE(CLEAN(TRIM(SUBSTITUTE(VentesMagasins!$I807,".",","))))</f>
        <v>0</v>
      </c>
      <c r="Q807">
        <f>VALUE(TRIM(SUBSTITUTE(VentesMagasins!$J807,".",",")))</f>
        <v>201</v>
      </c>
      <c r="R807">
        <f t="shared" si="36"/>
        <v>201</v>
      </c>
      <c r="S807">
        <f>IF(VentesMagasins!$K807=1,(-1)*R807,R807)</f>
        <v>-201</v>
      </c>
      <c r="T807">
        <f>IFERROR(VALUE(TRIM(SUBSTITUTE(VentesMagasins!$L807,".",","))),0)</f>
        <v>2</v>
      </c>
      <c r="U807">
        <f t="shared" si="37"/>
        <v>2</v>
      </c>
      <c r="V807" t="str">
        <f t="shared" si="38"/>
        <v>faible</v>
      </c>
      <c r="W807" t="str">
        <f>_xlfn.XLOOKUP(VentesMagasins!$B807,Clients!ClientID,Région)</f>
        <v>Centre</v>
      </c>
      <c r="X807" t="str">
        <f>INDEX(TypeClient,MATCH(VentesMagasins!$B807,Clients!ClientID))</f>
        <v>Nouveau</v>
      </c>
      <c r="Y807" t="str">
        <v>déc</v>
      </c>
    </row>
    <row r="808" spans="1:25" x14ac:dyDescent="0.25">
      <c r="A808" s="2">
        <v>807</v>
      </c>
      <c r="B808" s="12" t="s">
        <v>195</v>
      </c>
      <c r="C808" s="13">
        <v>44938</v>
      </c>
      <c r="D808" s="12" t="s">
        <v>338</v>
      </c>
      <c r="E808" s="14" t="s">
        <v>364</v>
      </c>
      <c r="F808" s="12" t="s">
        <v>330</v>
      </c>
      <c r="G808" s="2">
        <v>5</v>
      </c>
      <c r="H808" s="3">
        <v>312</v>
      </c>
      <c r="I808" s="14" t="s">
        <v>342</v>
      </c>
      <c r="J808" s="12" t="s">
        <v>1078</v>
      </c>
      <c r="K808" s="2">
        <v>0</v>
      </c>
      <c r="L808" s="12" t="s">
        <v>344</v>
      </c>
      <c r="M808">
        <f>YEAR(VentesMagasins!$C808)</f>
        <v>2023</v>
      </c>
      <c r="N808" t="e" cm="1" vm="1">
        <f t="array" aca="1" ref="N808" ca="1">MONTH(DateVente)</f>
        <v>#VALUE!</v>
      </c>
      <c r="O808" t="str">
        <f>PROPER(VentesMagasins!$F808)</f>
        <v>Décoration</v>
      </c>
      <c r="P808">
        <f>VALUE(CLEAN(TRIM(SUBSTITUTE(VentesMagasins!$I808,".",","))))</f>
        <v>0.05</v>
      </c>
      <c r="Q808">
        <f>VALUE(TRIM(SUBSTITUTE(VentesMagasins!$J808,".",",")))</f>
        <v>1482</v>
      </c>
      <c r="R808">
        <f t="shared" si="36"/>
        <v>1407.8999999999999</v>
      </c>
      <c r="S808">
        <f>IF(VentesMagasins!$K808=1,(-1)*R808,R808)</f>
        <v>1407.8999999999999</v>
      </c>
      <c r="T808">
        <f>IFERROR(VALUE(TRIM(SUBSTITUTE(VentesMagasins!$L808,".",","))),0)</f>
        <v>2</v>
      </c>
      <c r="U808">
        <f t="shared" si="37"/>
        <v>2</v>
      </c>
      <c r="V808" t="str">
        <f t="shared" si="38"/>
        <v>faible</v>
      </c>
      <c r="W808" t="str">
        <f>_xlfn.XLOOKUP(VentesMagasins!$B808,Clients!ClientID,Région)</f>
        <v>Ouest</v>
      </c>
      <c r="X808" t="str">
        <f>INDEX(TypeClient,MATCH(VentesMagasins!$B808,Clients!ClientID))</f>
        <v>Occasionnel</v>
      </c>
      <c r="Y808" t="str">
        <v>janv</v>
      </c>
    </row>
    <row r="809" spans="1:25" x14ac:dyDescent="0.25">
      <c r="A809" s="2">
        <v>808</v>
      </c>
      <c r="B809" s="12" t="s">
        <v>285</v>
      </c>
      <c r="C809" s="13">
        <v>45571</v>
      </c>
      <c r="D809" s="12" t="s">
        <v>333</v>
      </c>
      <c r="E809" s="14" t="s">
        <v>329</v>
      </c>
      <c r="F809" s="12" t="s">
        <v>324</v>
      </c>
      <c r="G809" s="2">
        <v>4</v>
      </c>
      <c r="H809" s="3">
        <v>153</v>
      </c>
      <c r="I809" s="14" t="s">
        <v>342</v>
      </c>
      <c r="J809" s="12" t="s">
        <v>1079</v>
      </c>
      <c r="K809" s="2">
        <v>0</v>
      </c>
      <c r="L809" s="12" t="s">
        <v>369</v>
      </c>
      <c r="M809">
        <f>YEAR(VentesMagasins!$C809)</f>
        <v>2024</v>
      </c>
      <c r="N809" t="e" cm="1" vm="1">
        <f t="array" aca="1" ref="N809" ca="1">MONTH(DateVente)</f>
        <v>#VALUE!</v>
      </c>
      <c r="O809" t="str">
        <f>PROPER(VentesMagasins!$F809)</f>
        <v>Électronique</v>
      </c>
      <c r="P809">
        <f>VALUE(CLEAN(TRIM(SUBSTITUTE(VentesMagasins!$I809,".",","))))</f>
        <v>0.05</v>
      </c>
      <c r="Q809">
        <f>VALUE(TRIM(SUBSTITUTE(VentesMagasins!$J809,".",",")))</f>
        <v>581.4</v>
      </c>
      <c r="R809">
        <f t="shared" si="36"/>
        <v>552.32999999999993</v>
      </c>
      <c r="S809">
        <f>IF(VentesMagasins!$K809=1,(-1)*R809,R809)</f>
        <v>552.32999999999993</v>
      </c>
      <c r="T809">
        <f>IFERROR(VALUE(TRIM(SUBSTITUTE(VentesMagasins!$L809,".",","))),0)</f>
        <v>1</v>
      </c>
      <c r="U809">
        <f t="shared" si="37"/>
        <v>1</v>
      </c>
      <c r="V809" t="str">
        <f t="shared" si="38"/>
        <v>faible</v>
      </c>
      <c r="W809" t="str">
        <f>_xlfn.XLOOKUP(VentesMagasins!$B809,Clients!ClientID,Région)</f>
        <v>Ouest</v>
      </c>
      <c r="X809" t="str">
        <f>INDEX(TypeClient,MATCH(VentesMagasins!$B809,Clients!ClientID))</f>
        <v>Fidèle</v>
      </c>
      <c r="Y809" t="str">
        <v>oct</v>
      </c>
    </row>
    <row r="810" spans="1:25" x14ac:dyDescent="0.25">
      <c r="A810" s="2">
        <v>809</v>
      </c>
      <c r="B810" s="12" t="s">
        <v>152</v>
      </c>
      <c r="C810" s="13">
        <v>45255</v>
      </c>
      <c r="D810" s="12" t="s">
        <v>333</v>
      </c>
      <c r="E810" s="14" t="s">
        <v>362</v>
      </c>
      <c r="F810" s="12" t="s">
        <v>324</v>
      </c>
      <c r="G810" s="2">
        <v>3</v>
      </c>
      <c r="H810" s="3">
        <v>83</v>
      </c>
      <c r="I810" s="14" t="s">
        <v>335</v>
      </c>
      <c r="J810" s="12" t="s">
        <v>1080</v>
      </c>
      <c r="K810" s="2">
        <v>0</v>
      </c>
      <c r="L810" s="12" t="s">
        <v>344</v>
      </c>
      <c r="M810">
        <f>YEAR(VentesMagasins!$C810)</f>
        <v>2023</v>
      </c>
      <c r="N810" t="e" cm="1" vm="1">
        <f t="array" aca="1" ref="N810" ca="1">MONTH(DateVente)</f>
        <v>#VALUE!</v>
      </c>
      <c r="O810" t="str">
        <f>PROPER(VentesMagasins!$F810)</f>
        <v>Électronique</v>
      </c>
      <c r="P810">
        <f>VALUE(CLEAN(TRIM(SUBSTITUTE(VentesMagasins!$I810,".",","))))</f>
        <v>0</v>
      </c>
      <c r="Q810">
        <f>VALUE(TRIM(SUBSTITUTE(VentesMagasins!$J810,".",",")))</f>
        <v>249</v>
      </c>
      <c r="R810">
        <f t="shared" si="36"/>
        <v>249</v>
      </c>
      <c r="S810">
        <f>IF(VentesMagasins!$K810=1,(-1)*R810,R810)</f>
        <v>249</v>
      </c>
      <c r="T810">
        <f>IFERROR(VALUE(TRIM(SUBSTITUTE(VentesMagasins!$L810,".",","))),0)</f>
        <v>2</v>
      </c>
      <c r="U810">
        <f t="shared" si="37"/>
        <v>2</v>
      </c>
      <c r="V810" t="str">
        <f t="shared" si="38"/>
        <v>faible</v>
      </c>
      <c r="W810" t="str">
        <f>_xlfn.XLOOKUP(VentesMagasins!$B810,Clients!ClientID,Région)</f>
        <v>Est</v>
      </c>
      <c r="X810" t="str">
        <f>INDEX(TypeClient,MATCH(VentesMagasins!$B810,Clients!ClientID))</f>
        <v>Fidèle</v>
      </c>
      <c r="Y810" t="str">
        <v>nov</v>
      </c>
    </row>
    <row r="811" spans="1:25" x14ac:dyDescent="0.25">
      <c r="A811" s="2">
        <v>810</v>
      </c>
      <c r="B811" s="12" t="s">
        <v>98</v>
      </c>
      <c r="C811" s="13">
        <v>45329</v>
      </c>
      <c r="D811" s="12" t="s">
        <v>322</v>
      </c>
      <c r="E811" s="14" t="s">
        <v>339</v>
      </c>
      <c r="F811" s="12" t="s">
        <v>324</v>
      </c>
      <c r="G811" s="2">
        <v>5</v>
      </c>
      <c r="H811" s="3">
        <v>111</v>
      </c>
      <c r="I811" s="14" t="s">
        <v>342</v>
      </c>
      <c r="J811" s="12" t="s">
        <v>1081</v>
      </c>
      <c r="K811" s="2">
        <v>0</v>
      </c>
      <c r="L811" s="12" t="s">
        <v>337</v>
      </c>
      <c r="M811">
        <f>YEAR(VentesMagasins!$C811)</f>
        <v>2024</v>
      </c>
      <c r="N811" t="e" cm="1" vm="1">
        <f t="array" aca="1" ref="N811" ca="1">MONTH(DateVente)</f>
        <v>#VALUE!</v>
      </c>
      <c r="O811" t="str">
        <f>PROPER(VentesMagasins!$F811)</f>
        <v>Électronique</v>
      </c>
      <c r="P811">
        <f>VALUE(CLEAN(TRIM(SUBSTITUTE(VentesMagasins!$I811,".",","))))</f>
        <v>0.05</v>
      </c>
      <c r="Q811">
        <f>VALUE(TRIM(SUBSTITUTE(VentesMagasins!$J811,".",",")))</f>
        <v>527.25</v>
      </c>
      <c r="R811">
        <f t="shared" si="36"/>
        <v>500.88749999999999</v>
      </c>
      <c r="S811">
        <f>IF(VentesMagasins!$K811=1,(-1)*R811,R811)</f>
        <v>500.88749999999999</v>
      </c>
      <c r="T811">
        <f>IFERROR(VALUE(TRIM(SUBSTITUTE(VentesMagasins!$L811,".",","))),0)</f>
        <v>3</v>
      </c>
      <c r="U811">
        <f t="shared" si="37"/>
        <v>3</v>
      </c>
      <c r="V811" t="str">
        <f t="shared" si="38"/>
        <v>moyenne</v>
      </c>
      <c r="W811" t="str">
        <f>_xlfn.XLOOKUP(VentesMagasins!$B811,Clients!ClientID,Région)</f>
        <v>Nord</v>
      </c>
      <c r="X811" t="str">
        <f>INDEX(TypeClient,MATCH(VentesMagasins!$B811,Clients!ClientID))</f>
        <v>Nouveau</v>
      </c>
      <c r="Y811" t="str">
        <v>févr</v>
      </c>
    </row>
    <row r="812" spans="1:25" x14ac:dyDescent="0.25">
      <c r="A812" s="2">
        <v>811</v>
      </c>
      <c r="B812" s="12" t="s">
        <v>191</v>
      </c>
      <c r="C812" s="13">
        <v>45105</v>
      </c>
      <c r="D812" s="12" t="s">
        <v>401</v>
      </c>
      <c r="E812" s="14" t="s">
        <v>348</v>
      </c>
      <c r="F812" s="12" t="s">
        <v>341</v>
      </c>
      <c r="G812" s="2">
        <v>4</v>
      </c>
      <c r="H812" s="3">
        <v>242</v>
      </c>
      <c r="I812" s="14" t="s">
        <v>335</v>
      </c>
      <c r="J812" s="12" t="s">
        <v>1082</v>
      </c>
      <c r="K812" s="2">
        <v>1</v>
      </c>
      <c r="L812" s="12" t="s">
        <v>332</v>
      </c>
      <c r="M812">
        <f>YEAR(VentesMagasins!$C812)</f>
        <v>2023</v>
      </c>
      <c r="N812" t="e" cm="1" vm="1">
        <f t="array" aca="1" ref="N812" ca="1">MONTH(DateVente)</f>
        <v>#VALUE!</v>
      </c>
      <c r="O812" t="str">
        <f>PROPER(VentesMagasins!$F812)</f>
        <v>Meuble</v>
      </c>
      <c r="P812">
        <f>VALUE(CLEAN(TRIM(SUBSTITUTE(VentesMagasins!$I812,".",","))))</f>
        <v>0</v>
      </c>
      <c r="Q812">
        <f>VALUE(TRIM(SUBSTITUTE(VentesMagasins!$J812,".",",")))</f>
        <v>968</v>
      </c>
      <c r="R812">
        <f t="shared" si="36"/>
        <v>968</v>
      </c>
      <c r="S812">
        <f>IF(VentesMagasins!$K812=1,(-1)*R812,R812)</f>
        <v>-968</v>
      </c>
      <c r="T812">
        <f>IFERROR(VALUE(TRIM(SUBSTITUTE(VentesMagasins!$L812,".",","))),0)</f>
        <v>4</v>
      </c>
      <c r="U812">
        <f t="shared" si="37"/>
        <v>4</v>
      </c>
      <c r="V812" t="str">
        <f t="shared" si="38"/>
        <v>moyenne</v>
      </c>
      <c r="W812" t="str">
        <f>_xlfn.XLOOKUP(VentesMagasins!$B812,Clients!ClientID,Région)</f>
        <v>Sud</v>
      </c>
      <c r="X812" t="str">
        <f>INDEX(TypeClient,MATCH(VentesMagasins!$B812,Clients!ClientID))</f>
        <v>Nouveau</v>
      </c>
      <c r="Y812" t="str">
        <v>juin</v>
      </c>
    </row>
    <row r="813" spans="1:25" x14ac:dyDescent="0.25">
      <c r="A813" s="2">
        <v>812</v>
      </c>
      <c r="B813" s="12" t="s">
        <v>194</v>
      </c>
      <c r="C813" s="13">
        <v>45739</v>
      </c>
      <c r="D813" s="12" t="s">
        <v>333</v>
      </c>
      <c r="E813" s="14" t="s">
        <v>364</v>
      </c>
      <c r="F813" s="12" t="s">
        <v>358</v>
      </c>
      <c r="G813" s="2">
        <v>5</v>
      </c>
      <c r="H813" s="3">
        <v>325</v>
      </c>
      <c r="I813" s="14" t="s">
        <v>355</v>
      </c>
      <c r="J813" s="12" t="s">
        <v>1083</v>
      </c>
      <c r="K813" s="2">
        <v>0</v>
      </c>
      <c r="L813" s="12" t="s">
        <v>369</v>
      </c>
      <c r="M813">
        <f>YEAR(VentesMagasins!$C813)</f>
        <v>2025</v>
      </c>
      <c r="N813" t="e" cm="1" vm="1">
        <f t="array" aca="1" ref="N813" ca="1">MONTH(DateVente)</f>
        <v>#VALUE!</v>
      </c>
      <c r="O813" t="str">
        <f>PROPER(VentesMagasins!$F813)</f>
        <v>Électronique</v>
      </c>
      <c r="P813">
        <f>VALUE(CLEAN(TRIM(SUBSTITUTE(VentesMagasins!$I813,".",","))))</f>
        <v>0.1</v>
      </c>
      <c r="Q813">
        <f>VALUE(TRIM(SUBSTITUTE(VentesMagasins!$J813,".",",")))</f>
        <v>1462.5</v>
      </c>
      <c r="R813">
        <f t="shared" si="36"/>
        <v>1316.25</v>
      </c>
      <c r="S813">
        <f>IF(VentesMagasins!$K813=1,(-1)*R813,R813)</f>
        <v>1316.25</v>
      </c>
      <c r="T813">
        <f>IFERROR(VALUE(TRIM(SUBSTITUTE(VentesMagasins!$L813,".",","))),0)</f>
        <v>1</v>
      </c>
      <c r="U813">
        <f t="shared" si="37"/>
        <v>1</v>
      </c>
      <c r="V813" t="str">
        <f t="shared" si="38"/>
        <v>faible</v>
      </c>
      <c r="W813" t="str">
        <f>_xlfn.XLOOKUP(VentesMagasins!$B813,Clients!ClientID,Région)</f>
        <v>Centre</v>
      </c>
      <c r="X813" t="str">
        <f>INDEX(TypeClient,MATCH(VentesMagasins!$B813,Clients!ClientID))</f>
        <v>Fidèle</v>
      </c>
      <c r="Y813" t="str">
        <v>mars</v>
      </c>
    </row>
    <row r="814" spans="1:25" x14ac:dyDescent="0.25">
      <c r="A814" s="2">
        <v>813</v>
      </c>
      <c r="B814" s="12" t="s">
        <v>290</v>
      </c>
      <c r="C814" s="13">
        <v>45325</v>
      </c>
      <c r="D814" s="12" t="s">
        <v>322</v>
      </c>
      <c r="E814" s="14" t="s">
        <v>329</v>
      </c>
      <c r="F814" s="12" t="s">
        <v>341</v>
      </c>
      <c r="G814" s="2">
        <v>4</v>
      </c>
      <c r="H814" s="3">
        <v>358</v>
      </c>
      <c r="I814" s="14" t="s">
        <v>325</v>
      </c>
      <c r="J814" s="12" t="s">
        <v>1084</v>
      </c>
      <c r="K814" s="2">
        <v>1</v>
      </c>
      <c r="L814" s="12" t="s">
        <v>337</v>
      </c>
      <c r="M814">
        <f>YEAR(VentesMagasins!$C814)</f>
        <v>2024</v>
      </c>
      <c r="N814" t="e" cm="1" vm="1">
        <f t="array" aca="1" ref="N814" ca="1">MONTH(DateVente)</f>
        <v>#VALUE!</v>
      </c>
      <c r="O814" t="str">
        <f>PROPER(VentesMagasins!$F814)</f>
        <v>Meuble</v>
      </c>
      <c r="P814">
        <f>VALUE(CLEAN(TRIM(SUBSTITUTE(VentesMagasins!$I814,".",","))))</f>
        <v>0.15</v>
      </c>
      <c r="Q814">
        <f>VALUE(TRIM(SUBSTITUTE(VentesMagasins!$J814,".",",")))</f>
        <v>1095.48</v>
      </c>
      <c r="R814">
        <f t="shared" si="36"/>
        <v>931.15800000000002</v>
      </c>
      <c r="S814">
        <f>IF(VentesMagasins!$K814=1,(-1)*R814,R814)</f>
        <v>-931.15800000000002</v>
      </c>
      <c r="T814">
        <f>IFERROR(VALUE(TRIM(SUBSTITUTE(VentesMagasins!$L814,".",","))),0)</f>
        <v>3</v>
      </c>
      <c r="U814">
        <f t="shared" si="37"/>
        <v>3</v>
      </c>
      <c r="V814" t="str">
        <f t="shared" si="38"/>
        <v>moyenne</v>
      </c>
      <c r="W814" t="str">
        <f>_xlfn.XLOOKUP(VentesMagasins!$B814,Clients!ClientID,Région)</f>
        <v>Est</v>
      </c>
      <c r="X814" t="str">
        <f>INDEX(TypeClient,MATCH(VentesMagasins!$B814,Clients!ClientID))</f>
        <v>Nouveau</v>
      </c>
      <c r="Y814" t="str">
        <v>févr</v>
      </c>
    </row>
    <row r="815" spans="1:25" x14ac:dyDescent="0.25">
      <c r="A815" s="2">
        <v>814</v>
      </c>
      <c r="B815" s="12" t="s">
        <v>114</v>
      </c>
      <c r="C815" s="13">
        <v>45176</v>
      </c>
      <c r="D815" s="12" t="s">
        <v>322</v>
      </c>
      <c r="E815" s="14" t="s">
        <v>364</v>
      </c>
      <c r="F815" s="12" t="s">
        <v>341</v>
      </c>
      <c r="G815" s="2">
        <v>4</v>
      </c>
      <c r="H815" s="3">
        <v>300</v>
      </c>
      <c r="I815" s="14" t="s">
        <v>325</v>
      </c>
      <c r="J815" s="12" t="s">
        <v>1085</v>
      </c>
      <c r="K815" s="2">
        <v>1</v>
      </c>
      <c r="L815" s="12" t="s">
        <v>327</v>
      </c>
      <c r="M815">
        <f>YEAR(VentesMagasins!$C815)</f>
        <v>2023</v>
      </c>
      <c r="N815" t="e" cm="1" vm="1">
        <f t="array" aca="1" ref="N815" ca="1">MONTH(DateVente)</f>
        <v>#VALUE!</v>
      </c>
      <c r="O815" t="str">
        <f>PROPER(VentesMagasins!$F815)</f>
        <v>Meuble</v>
      </c>
      <c r="P815">
        <f>VALUE(CLEAN(TRIM(SUBSTITUTE(VentesMagasins!$I815,".",","))))</f>
        <v>0.15</v>
      </c>
      <c r="Q815">
        <f>VALUE(TRIM(SUBSTITUTE(VentesMagasins!$J815,".",",")))</f>
        <v>1020</v>
      </c>
      <c r="R815">
        <f t="shared" si="36"/>
        <v>867</v>
      </c>
      <c r="S815">
        <f>IF(VentesMagasins!$K815=1,(-1)*R815,R815)</f>
        <v>-867</v>
      </c>
      <c r="T815">
        <f>IFERROR(VALUE(TRIM(SUBSTITUTE(VentesMagasins!$L815,".",","))),0)</f>
        <v>5</v>
      </c>
      <c r="U815">
        <f t="shared" si="37"/>
        <v>5</v>
      </c>
      <c r="V815" t="str">
        <f t="shared" si="38"/>
        <v>élévé</v>
      </c>
      <c r="W815" t="str">
        <f>_xlfn.XLOOKUP(VentesMagasins!$B815,Clients!ClientID,Région)</f>
        <v>Nord</v>
      </c>
      <c r="X815" t="str">
        <f>INDEX(TypeClient,MATCH(VentesMagasins!$B815,Clients!ClientID))</f>
        <v>Fidèle</v>
      </c>
      <c r="Y815" t="str">
        <v>sept</v>
      </c>
    </row>
    <row r="816" spans="1:25" x14ac:dyDescent="0.25">
      <c r="A816" s="2">
        <v>815</v>
      </c>
      <c r="B816" s="12" t="s">
        <v>277</v>
      </c>
      <c r="C816" s="13">
        <v>45036</v>
      </c>
      <c r="D816" s="12" t="s">
        <v>350</v>
      </c>
      <c r="E816" s="14" t="s">
        <v>334</v>
      </c>
      <c r="F816" s="12" t="s">
        <v>324</v>
      </c>
      <c r="G816" s="2">
        <v>1</v>
      </c>
      <c r="H816" s="3">
        <v>121</v>
      </c>
      <c r="I816" s="14" t="s">
        <v>335</v>
      </c>
      <c r="J816" s="12" t="s">
        <v>1086</v>
      </c>
      <c r="K816" s="2">
        <v>0</v>
      </c>
      <c r="L816" s="12" t="s">
        <v>327</v>
      </c>
      <c r="M816">
        <f>YEAR(VentesMagasins!$C816)</f>
        <v>2023</v>
      </c>
      <c r="N816" t="e" cm="1" vm="1">
        <f t="array" aca="1" ref="N816" ca="1">MONTH(DateVente)</f>
        <v>#VALUE!</v>
      </c>
      <c r="O816" t="str">
        <f>PROPER(VentesMagasins!$F816)</f>
        <v>Électronique</v>
      </c>
      <c r="P816">
        <f>VALUE(CLEAN(TRIM(SUBSTITUTE(VentesMagasins!$I816,".",","))))</f>
        <v>0</v>
      </c>
      <c r="Q816">
        <f>VALUE(TRIM(SUBSTITUTE(VentesMagasins!$J816,".",",")))</f>
        <v>121</v>
      </c>
      <c r="R816">
        <f t="shared" si="36"/>
        <v>121</v>
      </c>
      <c r="S816">
        <f>IF(VentesMagasins!$K816=1,(-1)*R816,R816)</f>
        <v>121</v>
      </c>
      <c r="T816">
        <f>IFERROR(VALUE(TRIM(SUBSTITUTE(VentesMagasins!$L816,".",","))),0)</f>
        <v>5</v>
      </c>
      <c r="U816">
        <f t="shared" si="37"/>
        <v>5</v>
      </c>
      <c r="V816" t="str">
        <f t="shared" si="38"/>
        <v>élévé</v>
      </c>
      <c r="W816" t="str">
        <f>_xlfn.XLOOKUP(VentesMagasins!$B816,Clients!ClientID,Région)</f>
        <v>Ouest</v>
      </c>
      <c r="X816" t="str">
        <f>INDEX(TypeClient,MATCH(VentesMagasins!$B816,Clients!ClientID))</f>
        <v>Fidèle</v>
      </c>
      <c r="Y816" t="str">
        <v>avr</v>
      </c>
    </row>
    <row r="817" spans="1:25" x14ac:dyDescent="0.25">
      <c r="A817" s="2">
        <v>816</v>
      </c>
      <c r="B817" s="12" t="s">
        <v>23</v>
      </c>
      <c r="C817" s="13">
        <v>45920</v>
      </c>
      <c r="D817" s="12" t="s">
        <v>328</v>
      </c>
      <c r="E817" s="14" t="s">
        <v>339</v>
      </c>
      <c r="F817" s="12" t="s">
        <v>341</v>
      </c>
      <c r="G817" s="2">
        <v>5</v>
      </c>
      <c r="H817" s="3">
        <v>27</v>
      </c>
      <c r="I817" s="14" t="s">
        <v>325</v>
      </c>
      <c r="J817" s="12" t="s">
        <v>806</v>
      </c>
      <c r="K817" s="2">
        <v>0</v>
      </c>
      <c r="L817" s="12" t="s">
        <v>352</v>
      </c>
      <c r="M817">
        <f>YEAR(VentesMagasins!$C817)</f>
        <v>2025</v>
      </c>
      <c r="N817" t="e" cm="1" vm="1">
        <f t="array" aca="1" ref="N817" ca="1">MONTH(DateVente)</f>
        <v>#VALUE!</v>
      </c>
      <c r="O817" t="str">
        <f>PROPER(VentesMagasins!$F817)</f>
        <v>Meuble</v>
      </c>
      <c r="P817">
        <f>VALUE(CLEAN(TRIM(SUBSTITUTE(VentesMagasins!$I817,".",","))))</f>
        <v>0.15</v>
      </c>
      <c r="Q817">
        <f>VALUE(TRIM(SUBSTITUTE(VentesMagasins!$J817,".",",")))</f>
        <v>114.75</v>
      </c>
      <c r="R817">
        <f t="shared" si="36"/>
        <v>97.537499999999994</v>
      </c>
      <c r="S817">
        <f>IF(VentesMagasins!$K817=1,(-1)*R817,R817)</f>
        <v>97.537499999999994</v>
      </c>
      <c r="T817">
        <f>IFERROR(VALUE(TRIM(SUBSTITUTE(VentesMagasins!$L817,".",","))),0)</f>
        <v>0</v>
      </c>
      <c r="U817">
        <f t="shared" si="37"/>
        <v>3</v>
      </c>
      <c r="V817" t="str">
        <f t="shared" si="38"/>
        <v>moyenne</v>
      </c>
      <c r="W817" t="str">
        <f>_xlfn.XLOOKUP(VentesMagasins!$B817,Clients!ClientID,Région)</f>
        <v>Nord</v>
      </c>
      <c r="X817" t="str">
        <f>INDEX(TypeClient,MATCH(VentesMagasins!$B817,Clients!ClientID))</f>
        <v>Nouveau</v>
      </c>
      <c r="Y817" t="str">
        <v>sept</v>
      </c>
    </row>
    <row r="818" spans="1:25" x14ac:dyDescent="0.25">
      <c r="A818" s="2">
        <v>817</v>
      </c>
      <c r="B818" s="12" t="s">
        <v>189</v>
      </c>
      <c r="C818" s="13">
        <v>45753</v>
      </c>
      <c r="D818" s="12" t="s">
        <v>328</v>
      </c>
      <c r="E818" s="14" t="s">
        <v>364</v>
      </c>
      <c r="F818" s="12" t="s">
        <v>341</v>
      </c>
      <c r="G818" s="2">
        <v>2</v>
      </c>
      <c r="H818" s="3">
        <v>265</v>
      </c>
      <c r="I818" s="14" t="s">
        <v>335</v>
      </c>
      <c r="J818" s="12" t="s">
        <v>422</v>
      </c>
      <c r="K818" s="2">
        <v>0</v>
      </c>
      <c r="L818" s="12" t="s">
        <v>344</v>
      </c>
      <c r="M818">
        <f>YEAR(VentesMagasins!$C818)</f>
        <v>2025</v>
      </c>
      <c r="N818" t="e" cm="1" vm="1">
        <f t="array" aca="1" ref="N818" ca="1">MONTH(DateVente)</f>
        <v>#VALUE!</v>
      </c>
      <c r="O818" t="str">
        <f>PROPER(VentesMagasins!$F818)</f>
        <v>Meuble</v>
      </c>
      <c r="P818">
        <f>VALUE(CLEAN(TRIM(SUBSTITUTE(VentesMagasins!$I818,".",","))))</f>
        <v>0</v>
      </c>
      <c r="Q818">
        <f>VALUE(TRIM(SUBSTITUTE(VentesMagasins!$J818,".",",")))</f>
        <v>530</v>
      </c>
      <c r="R818">
        <f t="shared" si="36"/>
        <v>530</v>
      </c>
      <c r="S818">
        <f>IF(VentesMagasins!$K818=1,(-1)*R818,R818)</f>
        <v>530</v>
      </c>
      <c r="T818">
        <f>IFERROR(VALUE(TRIM(SUBSTITUTE(VentesMagasins!$L818,".",","))),0)</f>
        <v>2</v>
      </c>
      <c r="U818">
        <f t="shared" si="37"/>
        <v>2</v>
      </c>
      <c r="V818" t="str">
        <f t="shared" si="38"/>
        <v>faible</v>
      </c>
      <c r="W818" t="str">
        <f>_xlfn.XLOOKUP(VentesMagasins!$B818,Clients!ClientID,Région)</f>
        <v>Centre</v>
      </c>
      <c r="X818" t="str">
        <f>INDEX(TypeClient,MATCH(VentesMagasins!$B818,Clients!ClientID))</f>
        <v>Fidèle</v>
      </c>
      <c r="Y818" t="str">
        <v>avr</v>
      </c>
    </row>
    <row r="819" spans="1:25" x14ac:dyDescent="0.25">
      <c r="A819" s="2">
        <v>818</v>
      </c>
      <c r="B819" s="12" t="s">
        <v>75</v>
      </c>
      <c r="C819" s="13">
        <v>45900</v>
      </c>
      <c r="D819" s="12" t="s">
        <v>322</v>
      </c>
      <c r="E819" s="14" t="s">
        <v>348</v>
      </c>
      <c r="F819" s="12" t="s">
        <v>341</v>
      </c>
      <c r="G819" s="2">
        <v>1</v>
      </c>
      <c r="H819" s="3">
        <v>498</v>
      </c>
      <c r="I819" s="14" t="s">
        <v>355</v>
      </c>
      <c r="J819" s="12" t="s">
        <v>1087</v>
      </c>
      <c r="K819" s="2">
        <v>0</v>
      </c>
      <c r="L819" s="12" t="s">
        <v>337</v>
      </c>
      <c r="M819">
        <f>YEAR(VentesMagasins!$C819)</f>
        <v>2025</v>
      </c>
      <c r="N819" t="e" cm="1" vm="1">
        <f t="array" aca="1" ref="N819" ca="1">MONTH(DateVente)</f>
        <v>#VALUE!</v>
      </c>
      <c r="O819" t="str">
        <f>PROPER(VentesMagasins!$F819)</f>
        <v>Meuble</v>
      </c>
      <c r="P819">
        <f>VALUE(CLEAN(TRIM(SUBSTITUTE(VentesMagasins!$I819,".",","))))</f>
        <v>0.1</v>
      </c>
      <c r="Q819">
        <f>VALUE(TRIM(SUBSTITUTE(VentesMagasins!$J819,".",",")))</f>
        <v>448.2</v>
      </c>
      <c r="R819">
        <f t="shared" si="36"/>
        <v>403.38</v>
      </c>
      <c r="S819">
        <f>IF(VentesMagasins!$K819=1,(-1)*R819,R819)</f>
        <v>403.38</v>
      </c>
      <c r="T819">
        <f>IFERROR(VALUE(TRIM(SUBSTITUTE(VentesMagasins!$L819,".",","))),0)</f>
        <v>3</v>
      </c>
      <c r="U819">
        <f t="shared" si="37"/>
        <v>3</v>
      </c>
      <c r="V819" t="str">
        <f t="shared" si="38"/>
        <v>moyenne</v>
      </c>
      <c r="W819" t="str">
        <f>_xlfn.XLOOKUP(VentesMagasins!$B819,Clients!ClientID,Région)</f>
        <v>Est</v>
      </c>
      <c r="X819" t="str">
        <f>INDEX(TypeClient,MATCH(VentesMagasins!$B819,Clients!ClientID))</f>
        <v>Nouveau</v>
      </c>
      <c r="Y819" t="str">
        <v>août</v>
      </c>
    </row>
    <row r="820" spans="1:25" x14ac:dyDescent="0.25">
      <c r="A820" s="2">
        <v>819</v>
      </c>
      <c r="B820" s="12" t="s">
        <v>81</v>
      </c>
      <c r="C820" s="13">
        <v>45940</v>
      </c>
      <c r="D820" s="12" t="s">
        <v>338</v>
      </c>
      <c r="E820" s="14" t="s">
        <v>364</v>
      </c>
      <c r="F820" s="12" t="s">
        <v>324</v>
      </c>
      <c r="G820" s="2">
        <v>3</v>
      </c>
      <c r="H820" s="3">
        <v>454</v>
      </c>
      <c r="I820" s="14" t="s">
        <v>335</v>
      </c>
      <c r="J820" s="12" t="s">
        <v>1088</v>
      </c>
      <c r="K820" s="2">
        <v>1</v>
      </c>
      <c r="L820" s="12" t="s">
        <v>352</v>
      </c>
      <c r="M820">
        <f>YEAR(VentesMagasins!$C820)</f>
        <v>2025</v>
      </c>
      <c r="N820" t="e" cm="1" vm="1">
        <f t="array" aca="1" ref="N820" ca="1">MONTH(DateVente)</f>
        <v>#VALUE!</v>
      </c>
      <c r="O820" t="str">
        <f>PROPER(VentesMagasins!$F820)</f>
        <v>Électronique</v>
      </c>
      <c r="P820">
        <f>VALUE(CLEAN(TRIM(SUBSTITUTE(VentesMagasins!$I820,".",","))))</f>
        <v>0</v>
      </c>
      <c r="Q820">
        <f>VALUE(TRIM(SUBSTITUTE(VentesMagasins!$J820,".",",")))</f>
        <v>1362</v>
      </c>
      <c r="R820">
        <f t="shared" si="36"/>
        <v>1362</v>
      </c>
      <c r="S820">
        <f>IF(VentesMagasins!$K820=1,(-1)*R820,R820)</f>
        <v>-1362</v>
      </c>
      <c r="T820">
        <f>IFERROR(VALUE(TRIM(SUBSTITUTE(VentesMagasins!$L820,".",","))),0)</f>
        <v>0</v>
      </c>
      <c r="U820">
        <f t="shared" si="37"/>
        <v>3</v>
      </c>
      <c r="V820" t="str">
        <f t="shared" si="38"/>
        <v>moyenne</v>
      </c>
      <c r="W820" t="str">
        <f>_xlfn.XLOOKUP(VentesMagasins!$B820,Clients!ClientID,Région)</f>
        <v>Sud</v>
      </c>
      <c r="X820" t="str">
        <f>INDEX(TypeClient,MATCH(VentesMagasins!$B820,Clients!ClientID))</f>
        <v>Nouveau</v>
      </c>
      <c r="Y820" t="str">
        <v>oct</v>
      </c>
    </row>
    <row r="821" spans="1:25" x14ac:dyDescent="0.25">
      <c r="A821" s="2">
        <v>820</v>
      </c>
      <c r="B821" s="12" t="s">
        <v>22</v>
      </c>
      <c r="C821" s="13">
        <v>45380</v>
      </c>
      <c r="D821" s="12" t="s">
        <v>333</v>
      </c>
      <c r="E821" s="14" t="s">
        <v>345</v>
      </c>
      <c r="F821" s="12" t="s">
        <v>341</v>
      </c>
      <c r="G821" s="2">
        <v>4</v>
      </c>
      <c r="H821" s="3">
        <v>57</v>
      </c>
      <c r="I821" s="14" t="s">
        <v>342</v>
      </c>
      <c r="J821" s="12" t="s">
        <v>411</v>
      </c>
      <c r="K821" s="2">
        <v>0</v>
      </c>
      <c r="L821" s="12" t="s">
        <v>337</v>
      </c>
      <c r="M821">
        <f>YEAR(VentesMagasins!$C821)</f>
        <v>2024</v>
      </c>
      <c r="N821" t="e" cm="1" vm="1">
        <f t="array" aca="1" ref="N821" ca="1">MONTH(DateVente)</f>
        <v>#VALUE!</v>
      </c>
      <c r="O821" t="str">
        <f>PROPER(VentesMagasins!$F821)</f>
        <v>Meuble</v>
      </c>
      <c r="P821">
        <f>VALUE(CLEAN(TRIM(SUBSTITUTE(VentesMagasins!$I821,".",","))))</f>
        <v>0.05</v>
      </c>
      <c r="Q821">
        <f>VALUE(TRIM(SUBSTITUTE(VentesMagasins!$J821,".",",")))</f>
        <v>216.6</v>
      </c>
      <c r="R821">
        <f t="shared" si="36"/>
        <v>205.76999999999998</v>
      </c>
      <c r="S821">
        <f>IF(VentesMagasins!$K821=1,(-1)*R821,R821)</f>
        <v>205.76999999999998</v>
      </c>
      <c r="T821">
        <f>IFERROR(VALUE(TRIM(SUBSTITUTE(VentesMagasins!$L821,".",","))),0)</f>
        <v>3</v>
      </c>
      <c r="U821">
        <f t="shared" si="37"/>
        <v>3</v>
      </c>
      <c r="V821" t="str">
        <f t="shared" si="38"/>
        <v>moyenne</v>
      </c>
      <c r="W821" t="str">
        <f>_xlfn.XLOOKUP(VentesMagasins!$B821,Clients!ClientID,Région)</f>
        <v>Ouest</v>
      </c>
      <c r="X821" t="str">
        <f>INDEX(TypeClient,MATCH(VentesMagasins!$B821,Clients!ClientID))</f>
        <v>Nouveau</v>
      </c>
      <c r="Y821" t="str">
        <v>mars</v>
      </c>
    </row>
    <row r="822" spans="1:25" x14ac:dyDescent="0.25">
      <c r="A822" s="2">
        <v>821</v>
      </c>
      <c r="B822" s="12" t="s">
        <v>79</v>
      </c>
      <c r="C822" s="13">
        <v>45615</v>
      </c>
      <c r="D822" s="12" t="s">
        <v>328</v>
      </c>
      <c r="E822" s="14" t="s">
        <v>362</v>
      </c>
      <c r="F822" s="12" t="s">
        <v>341</v>
      </c>
      <c r="G822" s="2">
        <v>1</v>
      </c>
      <c r="H822" s="3">
        <v>377</v>
      </c>
      <c r="I822" s="14" t="s">
        <v>342</v>
      </c>
      <c r="J822" s="12" t="s">
        <v>1089</v>
      </c>
      <c r="K822" s="2">
        <v>1</v>
      </c>
      <c r="L822" s="12" t="s">
        <v>344</v>
      </c>
      <c r="M822">
        <f>YEAR(VentesMagasins!$C822)</f>
        <v>2024</v>
      </c>
      <c r="N822" t="e" cm="1" vm="1">
        <f t="array" aca="1" ref="N822" ca="1">MONTH(DateVente)</f>
        <v>#VALUE!</v>
      </c>
      <c r="O822" t="str">
        <f>PROPER(VentesMagasins!$F822)</f>
        <v>Meuble</v>
      </c>
      <c r="P822">
        <f>VALUE(CLEAN(TRIM(SUBSTITUTE(VentesMagasins!$I822,".",","))))</f>
        <v>0.05</v>
      </c>
      <c r="Q822">
        <f>VALUE(TRIM(SUBSTITUTE(VentesMagasins!$J822,".",",")))</f>
        <v>358.15</v>
      </c>
      <c r="R822">
        <f t="shared" si="36"/>
        <v>340.24249999999995</v>
      </c>
      <c r="S822">
        <f>IF(VentesMagasins!$K822=1,(-1)*R822,R822)</f>
        <v>-340.24249999999995</v>
      </c>
      <c r="T822">
        <f>IFERROR(VALUE(TRIM(SUBSTITUTE(VentesMagasins!$L822,".",","))),0)</f>
        <v>2</v>
      </c>
      <c r="U822">
        <f t="shared" si="37"/>
        <v>2</v>
      </c>
      <c r="V822" t="str">
        <f t="shared" si="38"/>
        <v>faible</v>
      </c>
      <c r="W822" t="str">
        <f>_xlfn.XLOOKUP(VentesMagasins!$B822,Clients!ClientID,Région)</f>
        <v>Ouest</v>
      </c>
      <c r="X822" t="str">
        <f>INDEX(TypeClient,MATCH(VentesMagasins!$B822,Clients!ClientID))</f>
        <v>Occasionnel</v>
      </c>
      <c r="Y822" t="str">
        <v>nov</v>
      </c>
    </row>
    <row r="823" spans="1:25" x14ac:dyDescent="0.25">
      <c r="A823" s="2">
        <v>822</v>
      </c>
      <c r="B823" s="12" t="s">
        <v>147</v>
      </c>
      <c r="C823" s="13">
        <v>45862</v>
      </c>
      <c r="D823" s="12" t="s">
        <v>338</v>
      </c>
      <c r="E823" s="14" t="s">
        <v>364</v>
      </c>
      <c r="F823" s="12" t="s">
        <v>341</v>
      </c>
      <c r="G823" s="2">
        <v>1</v>
      </c>
      <c r="H823" s="3">
        <v>108</v>
      </c>
      <c r="I823" s="14" t="s">
        <v>355</v>
      </c>
      <c r="J823" s="12" t="s">
        <v>574</v>
      </c>
      <c r="K823" s="2">
        <v>1</v>
      </c>
      <c r="L823" s="12" t="s">
        <v>369</v>
      </c>
      <c r="M823">
        <f>YEAR(VentesMagasins!$C823)</f>
        <v>2025</v>
      </c>
      <c r="N823" t="e" cm="1" vm="1">
        <f t="array" aca="1" ref="N823" ca="1">MONTH(DateVente)</f>
        <v>#VALUE!</v>
      </c>
      <c r="O823" t="str">
        <f>PROPER(VentesMagasins!$F823)</f>
        <v>Meuble</v>
      </c>
      <c r="P823">
        <f>VALUE(CLEAN(TRIM(SUBSTITUTE(VentesMagasins!$I823,".",","))))</f>
        <v>0.1</v>
      </c>
      <c r="Q823">
        <f>VALUE(TRIM(SUBSTITUTE(VentesMagasins!$J823,".",",")))</f>
        <v>97.2</v>
      </c>
      <c r="R823">
        <f t="shared" si="36"/>
        <v>87.48</v>
      </c>
      <c r="S823">
        <f>IF(VentesMagasins!$K823=1,(-1)*R823,R823)</f>
        <v>-87.48</v>
      </c>
      <c r="T823">
        <f>IFERROR(VALUE(TRIM(SUBSTITUTE(VentesMagasins!$L823,".",","))),0)</f>
        <v>1</v>
      </c>
      <c r="U823">
        <f t="shared" si="37"/>
        <v>1</v>
      </c>
      <c r="V823" t="str">
        <f t="shared" si="38"/>
        <v>faible</v>
      </c>
      <c r="W823" t="str">
        <f>_xlfn.XLOOKUP(VentesMagasins!$B823,Clients!ClientID,Région)</f>
        <v>Ouest</v>
      </c>
      <c r="X823" t="str">
        <f>INDEX(TypeClient,MATCH(VentesMagasins!$B823,Clients!ClientID))</f>
        <v>Fidèle</v>
      </c>
      <c r="Y823" t="str">
        <v>juil</v>
      </c>
    </row>
    <row r="824" spans="1:25" x14ac:dyDescent="0.25">
      <c r="A824" s="2">
        <v>823</v>
      </c>
      <c r="B824" s="12" t="s">
        <v>289</v>
      </c>
      <c r="C824" s="13">
        <v>45017</v>
      </c>
      <c r="D824" s="12" t="s">
        <v>333</v>
      </c>
      <c r="E824" s="14" t="s">
        <v>329</v>
      </c>
      <c r="F824" s="12" t="s">
        <v>324</v>
      </c>
      <c r="G824" s="2">
        <v>1</v>
      </c>
      <c r="H824" s="3">
        <v>473</v>
      </c>
      <c r="I824" s="14" t="s">
        <v>335</v>
      </c>
      <c r="J824" s="12" t="s">
        <v>1090</v>
      </c>
      <c r="K824" s="2">
        <v>1</v>
      </c>
      <c r="L824" s="12" t="s">
        <v>332</v>
      </c>
      <c r="M824">
        <f>YEAR(VentesMagasins!$C824)</f>
        <v>2023</v>
      </c>
      <c r="N824" t="e" cm="1" vm="1">
        <f t="array" aca="1" ref="N824" ca="1">MONTH(DateVente)</f>
        <v>#VALUE!</v>
      </c>
      <c r="O824" t="str">
        <f>PROPER(VentesMagasins!$F824)</f>
        <v>Électronique</v>
      </c>
      <c r="P824">
        <f>VALUE(CLEAN(TRIM(SUBSTITUTE(VentesMagasins!$I824,".",","))))</f>
        <v>0</v>
      </c>
      <c r="Q824">
        <f>VALUE(TRIM(SUBSTITUTE(VentesMagasins!$J824,".",",")))</f>
        <v>473</v>
      </c>
      <c r="R824">
        <f t="shared" si="36"/>
        <v>473</v>
      </c>
      <c r="S824">
        <f>IF(VentesMagasins!$K824=1,(-1)*R824,R824)</f>
        <v>-473</v>
      </c>
      <c r="T824">
        <f>IFERROR(VALUE(TRIM(SUBSTITUTE(VentesMagasins!$L824,".",","))),0)</f>
        <v>4</v>
      </c>
      <c r="U824">
        <f t="shared" si="37"/>
        <v>4</v>
      </c>
      <c r="V824" t="str">
        <f t="shared" si="38"/>
        <v>moyenne</v>
      </c>
      <c r="W824" t="str">
        <f>_xlfn.XLOOKUP(VentesMagasins!$B824,Clients!ClientID,Région)</f>
        <v>Est</v>
      </c>
      <c r="X824" t="str">
        <f>INDEX(TypeClient,MATCH(VentesMagasins!$B824,Clients!ClientID))</f>
        <v>Nouveau</v>
      </c>
      <c r="Y824" t="str">
        <v>avr</v>
      </c>
    </row>
    <row r="825" spans="1:25" x14ac:dyDescent="0.25">
      <c r="A825" s="2">
        <v>824</v>
      </c>
      <c r="B825" s="12" t="s">
        <v>190</v>
      </c>
      <c r="C825" s="13">
        <v>45150</v>
      </c>
      <c r="D825" s="12" t="s">
        <v>328</v>
      </c>
      <c r="E825" s="14" t="s">
        <v>323</v>
      </c>
      <c r="F825" s="12" t="s">
        <v>324</v>
      </c>
      <c r="G825" s="2">
        <v>2</v>
      </c>
      <c r="H825" s="3">
        <v>479</v>
      </c>
      <c r="I825" s="14" t="s">
        <v>335</v>
      </c>
      <c r="J825" s="12" t="s">
        <v>733</v>
      </c>
      <c r="K825" s="2">
        <v>0</v>
      </c>
      <c r="L825" s="12" t="s">
        <v>352</v>
      </c>
      <c r="M825">
        <f>YEAR(VentesMagasins!$C825)</f>
        <v>2023</v>
      </c>
      <c r="N825" t="e" cm="1" vm="1">
        <f t="array" aca="1" ref="N825" ca="1">MONTH(DateVente)</f>
        <v>#VALUE!</v>
      </c>
      <c r="O825" t="str">
        <f>PROPER(VentesMagasins!$F825)</f>
        <v>Électronique</v>
      </c>
      <c r="P825">
        <f>VALUE(CLEAN(TRIM(SUBSTITUTE(VentesMagasins!$I825,".",","))))</f>
        <v>0</v>
      </c>
      <c r="Q825">
        <f>VALUE(TRIM(SUBSTITUTE(VentesMagasins!$J825,".",",")))</f>
        <v>958</v>
      </c>
      <c r="R825">
        <f t="shared" si="36"/>
        <v>958</v>
      </c>
      <c r="S825">
        <f>IF(VentesMagasins!$K825=1,(-1)*R825,R825)</f>
        <v>958</v>
      </c>
      <c r="T825">
        <f>IFERROR(VALUE(TRIM(SUBSTITUTE(VentesMagasins!$L825,".",","))),0)</f>
        <v>0</v>
      </c>
      <c r="U825">
        <f t="shared" si="37"/>
        <v>3</v>
      </c>
      <c r="V825" t="str">
        <f t="shared" si="38"/>
        <v>moyenne</v>
      </c>
      <c r="W825" t="str">
        <f>_xlfn.XLOOKUP(VentesMagasins!$B825,Clients!ClientID,Région)</f>
        <v>Ouest</v>
      </c>
      <c r="X825" t="str">
        <f>INDEX(TypeClient,MATCH(VentesMagasins!$B825,Clients!ClientID))</f>
        <v>Fidèle</v>
      </c>
      <c r="Y825" t="str">
        <v>août</v>
      </c>
    </row>
    <row r="826" spans="1:25" x14ac:dyDescent="0.25">
      <c r="A826" s="2">
        <v>825</v>
      </c>
      <c r="B826" s="12" t="s">
        <v>23</v>
      </c>
      <c r="C826" s="13">
        <v>46001</v>
      </c>
      <c r="D826" s="12" t="s">
        <v>338</v>
      </c>
      <c r="E826" s="14" t="s">
        <v>323</v>
      </c>
      <c r="F826" s="12" t="s">
        <v>341</v>
      </c>
      <c r="G826" s="2">
        <v>5</v>
      </c>
      <c r="H826" s="3">
        <v>373</v>
      </c>
      <c r="I826" s="14" t="s">
        <v>335</v>
      </c>
      <c r="J826" s="12" t="s">
        <v>1091</v>
      </c>
      <c r="K826" s="2">
        <v>0</v>
      </c>
      <c r="L826" s="12" t="s">
        <v>327</v>
      </c>
      <c r="M826">
        <f>YEAR(VentesMagasins!$C826)</f>
        <v>2025</v>
      </c>
      <c r="N826" t="e" cm="1" vm="1">
        <f t="array" aca="1" ref="N826" ca="1">MONTH(DateVente)</f>
        <v>#VALUE!</v>
      </c>
      <c r="O826" t="str">
        <f>PROPER(VentesMagasins!$F826)</f>
        <v>Meuble</v>
      </c>
      <c r="P826">
        <f>VALUE(CLEAN(TRIM(SUBSTITUTE(VentesMagasins!$I826,".",","))))</f>
        <v>0</v>
      </c>
      <c r="Q826">
        <f>VALUE(TRIM(SUBSTITUTE(VentesMagasins!$J826,".",",")))</f>
        <v>1865</v>
      </c>
      <c r="R826">
        <f t="shared" si="36"/>
        <v>1865</v>
      </c>
      <c r="S826">
        <f>IF(VentesMagasins!$K826=1,(-1)*R826,R826)</f>
        <v>1865</v>
      </c>
      <c r="T826">
        <f>IFERROR(VALUE(TRIM(SUBSTITUTE(VentesMagasins!$L826,".",","))),0)</f>
        <v>5</v>
      </c>
      <c r="U826">
        <f t="shared" si="37"/>
        <v>5</v>
      </c>
      <c r="V826" t="str">
        <f t="shared" si="38"/>
        <v>élévé</v>
      </c>
      <c r="W826" t="str">
        <f>_xlfn.XLOOKUP(VentesMagasins!$B826,Clients!ClientID,Région)</f>
        <v>Nord</v>
      </c>
      <c r="X826" t="str">
        <f>INDEX(TypeClient,MATCH(VentesMagasins!$B826,Clients!ClientID))</f>
        <v>Nouveau</v>
      </c>
      <c r="Y826" t="str">
        <v>déc</v>
      </c>
    </row>
    <row r="827" spans="1:25" x14ac:dyDescent="0.25">
      <c r="A827" s="2">
        <v>826</v>
      </c>
      <c r="B827" s="12" t="s">
        <v>303</v>
      </c>
      <c r="C827" s="13">
        <v>45785</v>
      </c>
      <c r="D827" s="12" t="s">
        <v>333</v>
      </c>
      <c r="E827" s="14" t="s">
        <v>329</v>
      </c>
      <c r="F827" s="12" t="s">
        <v>324</v>
      </c>
      <c r="G827" s="2">
        <v>4</v>
      </c>
      <c r="H827" s="3">
        <v>195</v>
      </c>
      <c r="I827" s="14" t="s">
        <v>355</v>
      </c>
      <c r="J827" s="12" t="s">
        <v>1092</v>
      </c>
      <c r="K827" s="2">
        <v>0</v>
      </c>
      <c r="L827" s="12" t="s">
        <v>332</v>
      </c>
      <c r="M827">
        <f>YEAR(VentesMagasins!$C827)</f>
        <v>2025</v>
      </c>
      <c r="N827" t="e" cm="1" vm="1">
        <f t="array" aca="1" ref="N827" ca="1">MONTH(DateVente)</f>
        <v>#VALUE!</v>
      </c>
      <c r="O827" t="str">
        <f>PROPER(VentesMagasins!$F827)</f>
        <v>Électronique</v>
      </c>
      <c r="P827">
        <f>VALUE(CLEAN(TRIM(SUBSTITUTE(VentesMagasins!$I827,".",","))))</f>
        <v>0.1</v>
      </c>
      <c r="Q827">
        <f>VALUE(TRIM(SUBSTITUTE(VentesMagasins!$J827,".",",")))</f>
        <v>702</v>
      </c>
      <c r="R827">
        <f t="shared" si="36"/>
        <v>631.80000000000007</v>
      </c>
      <c r="S827">
        <f>IF(VentesMagasins!$K827=1,(-1)*R827,R827)</f>
        <v>631.80000000000007</v>
      </c>
      <c r="T827">
        <f>IFERROR(VALUE(TRIM(SUBSTITUTE(VentesMagasins!$L827,".",","))),0)</f>
        <v>4</v>
      </c>
      <c r="U827">
        <f t="shared" si="37"/>
        <v>4</v>
      </c>
      <c r="V827" t="str">
        <f t="shared" si="38"/>
        <v>moyenne</v>
      </c>
      <c r="W827" t="str">
        <f>_xlfn.XLOOKUP(VentesMagasins!$B827,Clients!ClientID,Région)</f>
        <v>Est</v>
      </c>
      <c r="X827" t="str">
        <f>INDEX(TypeClient,MATCH(VentesMagasins!$B827,Clients!ClientID))</f>
        <v>Fidèle</v>
      </c>
      <c r="Y827" t="str">
        <v>mai</v>
      </c>
    </row>
    <row r="828" spans="1:25" x14ac:dyDescent="0.25">
      <c r="A828" s="2">
        <v>827</v>
      </c>
      <c r="B828" s="12" t="s">
        <v>38</v>
      </c>
      <c r="C828" s="13">
        <v>45193</v>
      </c>
      <c r="D828" s="12" t="s">
        <v>328</v>
      </c>
      <c r="E828" s="14" t="s">
        <v>348</v>
      </c>
      <c r="F828" s="12" t="s">
        <v>324</v>
      </c>
      <c r="G828" s="2">
        <v>3</v>
      </c>
      <c r="H828" s="3">
        <v>210</v>
      </c>
      <c r="I828" s="14" t="s">
        <v>342</v>
      </c>
      <c r="J828" s="12" t="s">
        <v>1093</v>
      </c>
      <c r="K828" s="2">
        <v>0</v>
      </c>
      <c r="L828" s="12" t="s">
        <v>327</v>
      </c>
      <c r="M828">
        <f>YEAR(VentesMagasins!$C828)</f>
        <v>2023</v>
      </c>
      <c r="N828" t="e" cm="1" vm="1">
        <f t="array" aca="1" ref="N828" ca="1">MONTH(DateVente)</f>
        <v>#VALUE!</v>
      </c>
      <c r="O828" t="str">
        <f>PROPER(VentesMagasins!$F828)</f>
        <v>Électronique</v>
      </c>
      <c r="P828">
        <f>VALUE(CLEAN(TRIM(SUBSTITUTE(VentesMagasins!$I828,".",","))))</f>
        <v>0.05</v>
      </c>
      <c r="Q828">
        <f>VALUE(TRIM(SUBSTITUTE(VentesMagasins!$J828,".",",")))</f>
        <v>598.5</v>
      </c>
      <c r="R828">
        <f t="shared" si="36"/>
        <v>568.57499999999993</v>
      </c>
      <c r="S828">
        <f>IF(VentesMagasins!$K828=1,(-1)*R828,R828)</f>
        <v>568.57499999999993</v>
      </c>
      <c r="T828">
        <f>IFERROR(VALUE(TRIM(SUBSTITUTE(VentesMagasins!$L828,".",","))),0)</f>
        <v>5</v>
      </c>
      <c r="U828">
        <f t="shared" si="37"/>
        <v>5</v>
      </c>
      <c r="V828" t="str">
        <f t="shared" si="38"/>
        <v>élévé</v>
      </c>
      <c r="W828" t="str">
        <f>_xlfn.XLOOKUP(VentesMagasins!$B828,Clients!ClientID,Région)</f>
        <v>Est</v>
      </c>
      <c r="X828" t="str">
        <f>INDEX(TypeClient,MATCH(VentesMagasins!$B828,Clients!ClientID))</f>
        <v>Occasionnel</v>
      </c>
      <c r="Y828" t="str">
        <v>sept</v>
      </c>
    </row>
    <row r="829" spans="1:25" x14ac:dyDescent="0.25">
      <c r="A829" s="2">
        <v>828</v>
      </c>
      <c r="B829" s="12" t="s">
        <v>42</v>
      </c>
      <c r="C829" s="13">
        <v>45663</v>
      </c>
      <c r="D829" s="12" t="s">
        <v>338</v>
      </c>
      <c r="E829" s="14" t="s">
        <v>362</v>
      </c>
      <c r="F829" s="12" t="s">
        <v>341</v>
      </c>
      <c r="G829" s="2">
        <v>2</v>
      </c>
      <c r="H829" s="3">
        <v>292</v>
      </c>
      <c r="I829" s="14" t="s">
        <v>325</v>
      </c>
      <c r="J829" s="12" t="s">
        <v>1094</v>
      </c>
      <c r="K829" s="2">
        <v>0</v>
      </c>
      <c r="L829" s="12" t="s">
        <v>352</v>
      </c>
      <c r="M829">
        <f>YEAR(VentesMagasins!$C829)</f>
        <v>2025</v>
      </c>
      <c r="N829" t="e" cm="1" vm="1">
        <f t="array" aca="1" ref="N829" ca="1">MONTH(DateVente)</f>
        <v>#VALUE!</v>
      </c>
      <c r="O829" t="str">
        <f>PROPER(VentesMagasins!$F829)</f>
        <v>Meuble</v>
      </c>
      <c r="P829">
        <f>VALUE(CLEAN(TRIM(SUBSTITUTE(VentesMagasins!$I829,".",","))))</f>
        <v>0.15</v>
      </c>
      <c r="Q829">
        <f>VALUE(TRIM(SUBSTITUTE(VentesMagasins!$J829,".",",")))</f>
        <v>496.4</v>
      </c>
      <c r="R829">
        <f t="shared" si="36"/>
        <v>421.94</v>
      </c>
      <c r="S829">
        <f>IF(VentesMagasins!$K829=1,(-1)*R829,R829)</f>
        <v>421.94</v>
      </c>
      <c r="T829">
        <f>IFERROR(VALUE(TRIM(SUBSTITUTE(VentesMagasins!$L829,".",","))),0)</f>
        <v>0</v>
      </c>
      <c r="U829">
        <f t="shared" si="37"/>
        <v>3</v>
      </c>
      <c r="V829" t="str">
        <f t="shared" si="38"/>
        <v>moyenne</v>
      </c>
      <c r="W829" t="str">
        <f>_xlfn.XLOOKUP(VentesMagasins!$B829,Clients!ClientID,Région)</f>
        <v>Ouest</v>
      </c>
      <c r="X829" t="str">
        <f>INDEX(TypeClient,MATCH(VentesMagasins!$B829,Clients!ClientID))</f>
        <v>Occasionnel</v>
      </c>
      <c r="Y829" t="str">
        <v>janv</v>
      </c>
    </row>
    <row r="830" spans="1:25" x14ac:dyDescent="0.25">
      <c r="A830" s="2">
        <v>829</v>
      </c>
      <c r="B830" s="12" t="s">
        <v>19</v>
      </c>
      <c r="C830" s="13">
        <v>45044</v>
      </c>
      <c r="D830" s="12" t="s">
        <v>322</v>
      </c>
      <c r="E830" s="14" t="s">
        <v>348</v>
      </c>
      <c r="F830" s="12" t="s">
        <v>330</v>
      </c>
      <c r="G830" s="2">
        <v>1</v>
      </c>
      <c r="H830" s="3">
        <v>406</v>
      </c>
      <c r="I830" s="14" t="s">
        <v>325</v>
      </c>
      <c r="J830" s="12" t="s">
        <v>1095</v>
      </c>
      <c r="K830" s="2">
        <v>0</v>
      </c>
      <c r="L830" s="12" t="s">
        <v>332</v>
      </c>
      <c r="M830">
        <f>YEAR(VentesMagasins!$C830)</f>
        <v>2023</v>
      </c>
      <c r="N830" t="e" cm="1" vm="1">
        <f t="array" aca="1" ref="N830" ca="1">MONTH(DateVente)</f>
        <v>#VALUE!</v>
      </c>
      <c r="O830" t="str">
        <f>PROPER(VentesMagasins!$F830)</f>
        <v>Décoration</v>
      </c>
      <c r="P830">
        <f>VALUE(CLEAN(TRIM(SUBSTITUTE(VentesMagasins!$I830,".",","))))</f>
        <v>0.15</v>
      </c>
      <c r="Q830">
        <f>VALUE(TRIM(SUBSTITUTE(VentesMagasins!$J830,".",",")))</f>
        <v>345.099999999999</v>
      </c>
      <c r="R830">
        <f t="shared" si="36"/>
        <v>293.33499999999913</v>
      </c>
      <c r="S830">
        <f>IF(VentesMagasins!$K830=1,(-1)*R830,R830)</f>
        <v>293.33499999999913</v>
      </c>
      <c r="T830">
        <f>IFERROR(VALUE(TRIM(SUBSTITUTE(VentesMagasins!$L830,".",","))),0)</f>
        <v>4</v>
      </c>
      <c r="U830">
        <f t="shared" si="37"/>
        <v>4</v>
      </c>
      <c r="V830" t="str">
        <f t="shared" si="38"/>
        <v>moyenne</v>
      </c>
      <c r="W830" t="str">
        <f>_xlfn.XLOOKUP(VentesMagasins!$B830,Clients!ClientID,Région)</f>
        <v>Ouest</v>
      </c>
      <c r="X830" t="str">
        <f>INDEX(TypeClient,MATCH(VentesMagasins!$B830,Clients!ClientID))</f>
        <v>Occasionnel</v>
      </c>
      <c r="Y830" t="str">
        <v>avr</v>
      </c>
    </row>
    <row r="831" spans="1:25" x14ac:dyDescent="0.25">
      <c r="A831" s="2">
        <v>830</v>
      </c>
      <c r="B831" s="12" t="s">
        <v>85</v>
      </c>
      <c r="C831" s="13">
        <v>45596</v>
      </c>
      <c r="D831" s="12" t="s">
        <v>322</v>
      </c>
      <c r="E831" s="14" t="s">
        <v>348</v>
      </c>
      <c r="F831" s="12" t="s">
        <v>324</v>
      </c>
      <c r="G831" s="2">
        <v>3</v>
      </c>
      <c r="H831" s="3">
        <v>198</v>
      </c>
      <c r="I831" s="14" t="s">
        <v>342</v>
      </c>
      <c r="J831" s="12" t="s">
        <v>1096</v>
      </c>
      <c r="K831" s="2">
        <v>1</v>
      </c>
      <c r="L831" s="12" t="s">
        <v>369</v>
      </c>
      <c r="M831">
        <f>YEAR(VentesMagasins!$C831)</f>
        <v>2024</v>
      </c>
      <c r="N831" t="e" cm="1" vm="1">
        <f t="array" aca="1" ref="N831" ca="1">MONTH(DateVente)</f>
        <v>#VALUE!</v>
      </c>
      <c r="O831" t="str">
        <f>PROPER(VentesMagasins!$F831)</f>
        <v>Électronique</v>
      </c>
      <c r="P831">
        <f>VALUE(CLEAN(TRIM(SUBSTITUTE(VentesMagasins!$I831,".",","))))</f>
        <v>0.05</v>
      </c>
      <c r="Q831">
        <f>VALUE(TRIM(SUBSTITUTE(VentesMagasins!$J831,".",",")))</f>
        <v>564.29999999999995</v>
      </c>
      <c r="R831">
        <f t="shared" si="36"/>
        <v>536.08499999999992</v>
      </c>
      <c r="S831">
        <f>IF(VentesMagasins!$K831=1,(-1)*R831,R831)</f>
        <v>-536.08499999999992</v>
      </c>
      <c r="T831">
        <f>IFERROR(VALUE(TRIM(SUBSTITUTE(VentesMagasins!$L831,".",","))),0)</f>
        <v>1</v>
      </c>
      <c r="U831">
        <f t="shared" si="37"/>
        <v>1</v>
      </c>
      <c r="V831" t="str">
        <f t="shared" si="38"/>
        <v>faible</v>
      </c>
      <c r="W831" t="str">
        <f>_xlfn.XLOOKUP(VentesMagasins!$B831,Clients!ClientID,Région)</f>
        <v>Sud</v>
      </c>
      <c r="X831" t="str">
        <f>INDEX(TypeClient,MATCH(VentesMagasins!$B831,Clients!ClientID))</f>
        <v>Fidèle</v>
      </c>
      <c r="Y831" t="str">
        <v>oct</v>
      </c>
    </row>
    <row r="832" spans="1:25" x14ac:dyDescent="0.25">
      <c r="A832" s="2">
        <v>831</v>
      </c>
      <c r="B832" s="12" t="s">
        <v>196</v>
      </c>
      <c r="C832" s="13">
        <v>45502</v>
      </c>
      <c r="D832" s="12" t="s">
        <v>425</v>
      </c>
      <c r="E832" s="14" t="s">
        <v>334</v>
      </c>
      <c r="F832" s="12" t="s">
        <v>324</v>
      </c>
      <c r="G832" s="2">
        <v>3</v>
      </c>
      <c r="H832" s="3">
        <v>377</v>
      </c>
      <c r="I832" s="14" t="s">
        <v>325</v>
      </c>
      <c r="J832" s="12" t="s">
        <v>642</v>
      </c>
      <c r="K832" s="2">
        <v>0</v>
      </c>
      <c r="L832" s="12" t="s">
        <v>337</v>
      </c>
      <c r="M832">
        <f>YEAR(VentesMagasins!$C832)</f>
        <v>2024</v>
      </c>
      <c r="N832" t="e" cm="1" vm="1">
        <f t="array" aca="1" ref="N832" ca="1">MONTH(DateVente)</f>
        <v>#VALUE!</v>
      </c>
      <c r="O832" t="str">
        <f>PROPER(VentesMagasins!$F832)</f>
        <v>Électronique</v>
      </c>
      <c r="P832">
        <f>VALUE(CLEAN(TRIM(SUBSTITUTE(VentesMagasins!$I832,".",","))))</f>
        <v>0.15</v>
      </c>
      <c r="Q832">
        <f>VALUE(TRIM(SUBSTITUTE(VentesMagasins!$J832,".",",")))</f>
        <v>961.35</v>
      </c>
      <c r="R832">
        <f t="shared" si="36"/>
        <v>817.14750000000004</v>
      </c>
      <c r="S832">
        <f>IF(VentesMagasins!$K832=1,(-1)*R832,R832)</f>
        <v>817.14750000000004</v>
      </c>
      <c r="T832">
        <f>IFERROR(VALUE(TRIM(SUBSTITUTE(VentesMagasins!$L832,".",","))),0)</f>
        <v>3</v>
      </c>
      <c r="U832">
        <f t="shared" si="37"/>
        <v>3</v>
      </c>
      <c r="V832" t="str">
        <f t="shared" si="38"/>
        <v>moyenne</v>
      </c>
      <c r="W832" t="str">
        <f>_xlfn.XLOOKUP(VentesMagasins!$B832,Clients!ClientID,Région)</f>
        <v>Centre</v>
      </c>
      <c r="X832" t="str">
        <f>INDEX(TypeClient,MATCH(VentesMagasins!$B832,Clients!ClientID))</f>
        <v>Nouveau</v>
      </c>
      <c r="Y832" t="str">
        <v>juil</v>
      </c>
    </row>
    <row r="833" spans="1:25" x14ac:dyDescent="0.25">
      <c r="A833" s="2">
        <v>832</v>
      </c>
      <c r="B833" s="12" t="s">
        <v>217</v>
      </c>
      <c r="C833" s="13">
        <v>45443</v>
      </c>
      <c r="D833" s="12" t="s">
        <v>322</v>
      </c>
      <c r="E833" s="14" t="s">
        <v>348</v>
      </c>
      <c r="F833" s="12" t="s">
        <v>330</v>
      </c>
      <c r="G833" s="2">
        <v>2</v>
      </c>
      <c r="H833" s="3">
        <v>441</v>
      </c>
      <c r="I833" s="14" t="s">
        <v>335</v>
      </c>
      <c r="J833" s="12" t="s">
        <v>1034</v>
      </c>
      <c r="K833" s="2">
        <v>1</v>
      </c>
      <c r="L833" s="12" t="s">
        <v>337</v>
      </c>
      <c r="M833">
        <f>YEAR(VentesMagasins!$C833)</f>
        <v>2024</v>
      </c>
      <c r="N833" t="e" cm="1" vm="1">
        <f t="array" aca="1" ref="N833" ca="1">MONTH(DateVente)</f>
        <v>#VALUE!</v>
      </c>
      <c r="O833" t="str">
        <f>PROPER(VentesMagasins!$F833)</f>
        <v>Décoration</v>
      </c>
      <c r="P833">
        <f>VALUE(CLEAN(TRIM(SUBSTITUTE(VentesMagasins!$I833,".",","))))</f>
        <v>0</v>
      </c>
      <c r="Q833">
        <f>VALUE(TRIM(SUBSTITUTE(VentesMagasins!$J833,".",",")))</f>
        <v>882</v>
      </c>
      <c r="R833">
        <f t="shared" si="36"/>
        <v>882</v>
      </c>
      <c r="S833">
        <f>IF(VentesMagasins!$K833=1,(-1)*R833,R833)</f>
        <v>-882</v>
      </c>
      <c r="T833">
        <f>IFERROR(VALUE(TRIM(SUBSTITUTE(VentesMagasins!$L833,".",","))),0)</f>
        <v>3</v>
      </c>
      <c r="U833">
        <f t="shared" si="37"/>
        <v>3</v>
      </c>
      <c r="V833" t="str">
        <f t="shared" si="38"/>
        <v>moyenne</v>
      </c>
      <c r="W833" t="str">
        <f>_xlfn.XLOOKUP(VentesMagasins!$B833,Clients!ClientID,Région)</f>
        <v>Centre</v>
      </c>
      <c r="X833" t="str">
        <f>INDEX(TypeClient,MATCH(VentesMagasins!$B833,Clients!ClientID))</f>
        <v>Nouveau</v>
      </c>
      <c r="Y833" t="str">
        <v>mai</v>
      </c>
    </row>
    <row r="834" spans="1:25" x14ac:dyDescent="0.25">
      <c r="A834" s="2">
        <v>833</v>
      </c>
      <c r="B834" s="12" t="s">
        <v>73</v>
      </c>
      <c r="C834" s="13">
        <v>45295</v>
      </c>
      <c r="D834" s="12" t="s">
        <v>350</v>
      </c>
      <c r="E834" s="14" t="s">
        <v>323</v>
      </c>
      <c r="F834" s="12" t="s">
        <v>341</v>
      </c>
      <c r="G834" s="2">
        <v>4</v>
      </c>
      <c r="H834" s="3">
        <v>415</v>
      </c>
      <c r="I834" s="14" t="s">
        <v>342</v>
      </c>
      <c r="J834" s="12" t="s">
        <v>1097</v>
      </c>
      <c r="K834" s="2">
        <v>0</v>
      </c>
      <c r="L834" s="12" t="s">
        <v>369</v>
      </c>
      <c r="M834">
        <f>YEAR(VentesMagasins!$C834)</f>
        <v>2024</v>
      </c>
      <c r="N834" t="e" cm="1" vm="1">
        <f t="array" aca="1" ref="N834" ca="1">MONTH(DateVente)</f>
        <v>#VALUE!</v>
      </c>
      <c r="O834" t="str">
        <f>PROPER(VentesMagasins!$F834)</f>
        <v>Meuble</v>
      </c>
      <c r="P834">
        <f>VALUE(CLEAN(TRIM(SUBSTITUTE(VentesMagasins!$I834,".",","))))</f>
        <v>0.05</v>
      </c>
      <c r="Q834">
        <f>VALUE(TRIM(SUBSTITUTE(VentesMagasins!$J834,".",",")))</f>
        <v>1577</v>
      </c>
      <c r="R834">
        <f t="shared" si="36"/>
        <v>1498.1499999999999</v>
      </c>
      <c r="S834">
        <f>IF(VentesMagasins!$K834=1,(-1)*R834,R834)</f>
        <v>1498.1499999999999</v>
      </c>
      <c r="T834">
        <f>IFERROR(VALUE(TRIM(SUBSTITUTE(VentesMagasins!$L834,".",","))),0)</f>
        <v>1</v>
      </c>
      <c r="U834">
        <f t="shared" si="37"/>
        <v>1</v>
      </c>
      <c r="V834" t="str">
        <f t="shared" si="38"/>
        <v>faible</v>
      </c>
      <c r="W834" t="str">
        <f>_xlfn.XLOOKUP(VentesMagasins!$B834,Clients!ClientID,Région)</f>
        <v>Sud</v>
      </c>
      <c r="X834" t="str">
        <f>INDEX(TypeClient,MATCH(VentesMagasins!$B834,Clients!ClientID))</f>
        <v>Occasionnel</v>
      </c>
      <c r="Y834" t="str">
        <v>janv</v>
      </c>
    </row>
    <row r="835" spans="1:25" x14ac:dyDescent="0.25">
      <c r="A835" s="2">
        <v>834</v>
      </c>
      <c r="B835" s="12" t="s">
        <v>265</v>
      </c>
      <c r="C835" s="13">
        <v>45156</v>
      </c>
      <c r="D835" s="12" t="s">
        <v>322</v>
      </c>
      <c r="E835" s="14" t="s">
        <v>362</v>
      </c>
      <c r="F835" s="12" t="s">
        <v>330</v>
      </c>
      <c r="G835" s="2">
        <v>2</v>
      </c>
      <c r="H835" s="3">
        <v>490</v>
      </c>
      <c r="I835" s="14" t="s">
        <v>342</v>
      </c>
      <c r="J835" s="12" t="s">
        <v>1098</v>
      </c>
      <c r="K835" s="2">
        <v>1</v>
      </c>
      <c r="L835" s="12" t="s">
        <v>327</v>
      </c>
      <c r="M835">
        <f>YEAR(VentesMagasins!$C835)</f>
        <v>2023</v>
      </c>
      <c r="N835" t="e" cm="1" vm="1">
        <f t="array" aca="1" ref="N835" ca="1">MONTH(DateVente)</f>
        <v>#VALUE!</v>
      </c>
      <c r="O835" t="str">
        <f>PROPER(VentesMagasins!$F835)</f>
        <v>Décoration</v>
      </c>
      <c r="P835">
        <f>VALUE(CLEAN(TRIM(SUBSTITUTE(VentesMagasins!$I835,".",","))))</f>
        <v>0.05</v>
      </c>
      <c r="Q835">
        <f>VALUE(TRIM(SUBSTITUTE(VentesMagasins!$J835,".",",")))</f>
        <v>931</v>
      </c>
      <c r="R835">
        <f t="shared" ref="R835:R898" si="39">Q835*(1-P835)</f>
        <v>884.44999999999993</v>
      </c>
      <c r="S835">
        <f>IF(VentesMagasins!$K835=1,(-1)*R835,R835)</f>
        <v>-884.44999999999993</v>
      </c>
      <c r="T835">
        <f>IFERROR(VALUE(TRIM(SUBSTITUTE(VentesMagasins!$L835,".",","))),0)</f>
        <v>5</v>
      </c>
      <c r="U835">
        <f t="shared" ref="U835:U898" si="40">ROUND(IF(T835=0,AVERAGE(T835:T1834),T835),0)</f>
        <v>5</v>
      </c>
      <c r="V835" t="str">
        <f t="shared" ref="V835:V898" si="41">IF(AND(U835&gt;0,U835&lt;=2),"faible",IF(AND(U835&gt;=3,U835&lt;=4),"moyenne",IF(U835=5,"élévé",0)))</f>
        <v>élévé</v>
      </c>
      <c r="W835" t="str">
        <f>_xlfn.XLOOKUP(VentesMagasins!$B835,Clients!ClientID,Région)</f>
        <v>Ouest</v>
      </c>
      <c r="X835" t="str">
        <f>INDEX(TypeClient,MATCH(VentesMagasins!$B835,Clients!ClientID))</f>
        <v>Fidèle</v>
      </c>
      <c r="Y835" t="str">
        <v>août</v>
      </c>
    </row>
    <row r="836" spans="1:25" x14ac:dyDescent="0.25">
      <c r="A836" s="2">
        <v>835</v>
      </c>
      <c r="B836" s="12" t="s">
        <v>48</v>
      </c>
      <c r="C836" s="13">
        <v>45377</v>
      </c>
      <c r="D836" s="12" t="s">
        <v>333</v>
      </c>
      <c r="E836" s="14" t="s">
        <v>345</v>
      </c>
      <c r="F836" s="12" t="s">
        <v>330</v>
      </c>
      <c r="G836" s="2">
        <v>4</v>
      </c>
      <c r="H836" s="3">
        <v>253</v>
      </c>
      <c r="I836" s="14" t="s">
        <v>355</v>
      </c>
      <c r="J836" s="12" t="s">
        <v>1099</v>
      </c>
      <c r="K836" s="2">
        <v>0</v>
      </c>
      <c r="L836" s="12" t="s">
        <v>369</v>
      </c>
      <c r="M836">
        <f>YEAR(VentesMagasins!$C836)</f>
        <v>2024</v>
      </c>
      <c r="N836" t="e" cm="1" vm="1">
        <f t="array" aca="1" ref="N836" ca="1">MONTH(DateVente)</f>
        <v>#VALUE!</v>
      </c>
      <c r="O836" t="str">
        <f>PROPER(VentesMagasins!$F836)</f>
        <v>Décoration</v>
      </c>
      <c r="P836">
        <f>VALUE(CLEAN(TRIM(SUBSTITUTE(VentesMagasins!$I836,".",","))))</f>
        <v>0.1</v>
      </c>
      <c r="Q836">
        <f>VALUE(TRIM(SUBSTITUTE(VentesMagasins!$J836,".",",")))</f>
        <v>910.8</v>
      </c>
      <c r="R836">
        <f t="shared" si="39"/>
        <v>819.72</v>
      </c>
      <c r="S836">
        <f>IF(VentesMagasins!$K836=1,(-1)*R836,R836)</f>
        <v>819.72</v>
      </c>
      <c r="T836">
        <f>IFERROR(VALUE(TRIM(SUBSTITUTE(VentesMagasins!$L836,".",","))),0)</f>
        <v>1</v>
      </c>
      <c r="U836">
        <f t="shared" si="40"/>
        <v>1</v>
      </c>
      <c r="V836" t="str">
        <f t="shared" si="41"/>
        <v>faible</v>
      </c>
      <c r="W836" t="str">
        <f>_xlfn.XLOOKUP(VentesMagasins!$B836,Clients!ClientID,Région)</f>
        <v>Sud</v>
      </c>
      <c r="X836" t="str">
        <f>INDEX(TypeClient,MATCH(VentesMagasins!$B836,Clients!ClientID))</f>
        <v>Fidèle</v>
      </c>
      <c r="Y836" t="str">
        <v>mars</v>
      </c>
    </row>
    <row r="837" spans="1:25" x14ac:dyDescent="0.25">
      <c r="A837" s="2">
        <v>836</v>
      </c>
      <c r="B837" s="12" t="s">
        <v>32</v>
      </c>
      <c r="C837" s="13">
        <v>45234</v>
      </c>
      <c r="D837" s="12" t="s">
        <v>333</v>
      </c>
      <c r="E837" s="14" t="s">
        <v>362</v>
      </c>
      <c r="F837" s="12" t="s">
        <v>341</v>
      </c>
      <c r="G837" s="2">
        <v>5</v>
      </c>
      <c r="H837" s="3">
        <v>244</v>
      </c>
      <c r="I837" s="14" t="s">
        <v>325</v>
      </c>
      <c r="J837" s="12" t="s">
        <v>1100</v>
      </c>
      <c r="K837" s="2">
        <v>0</v>
      </c>
      <c r="L837" s="12" t="s">
        <v>332</v>
      </c>
      <c r="M837">
        <f>YEAR(VentesMagasins!$C837)</f>
        <v>2023</v>
      </c>
      <c r="N837" t="e" cm="1" vm="1">
        <f t="array" aca="1" ref="N837" ca="1">MONTH(DateVente)</f>
        <v>#VALUE!</v>
      </c>
      <c r="O837" t="str">
        <f>PROPER(VentesMagasins!$F837)</f>
        <v>Meuble</v>
      </c>
      <c r="P837">
        <f>VALUE(CLEAN(TRIM(SUBSTITUTE(VentesMagasins!$I837,".",","))))</f>
        <v>0.15</v>
      </c>
      <c r="Q837">
        <f>VALUE(TRIM(SUBSTITUTE(VentesMagasins!$J837,".",",")))</f>
        <v>1037</v>
      </c>
      <c r="R837">
        <f t="shared" si="39"/>
        <v>881.44999999999993</v>
      </c>
      <c r="S837">
        <f>IF(VentesMagasins!$K837=1,(-1)*R837,R837)</f>
        <v>881.44999999999993</v>
      </c>
      <c r="T837">
        <f>IFERROR(VALUE(TRIM(SUBSTITUTE(VentesMagasins!$L837,".",","))),0)</f>
        <v>4</v>
      </c>
      <c r="U837">
        <f t="shared" si="40"/>
        <v>4</v>
      </c>
      <c r="V837" t="str">
        <f t="shared" si="41"/>
        <v>moyenne</v>
      </c>
      <c r="W837" t="str">
        <f>_xlfn.XLOOKUP(VentesMagasins!$B837,Clients!ClientID,Région)</f>
        <v>Ouest</v>
      </c>
      <c r="X837" t="str">
        <f>INDEX(TypeClient,MATCH(VentesMagasins!$B837,Clients!ClientID))</f>
        <v>Occasionnel</v>
      </c>
      <c r="Y837" t="str">
        <v>nov</v>
      </c>
    </row>
    <row r="838" spans="1:25" x14ac:dyDescent="0.25">
      <c r="A838" s="2">
        <v>837</v>
      </c>
      <c r="B838" s="12" t="s">
        <v>79</v>
      </c>
      <c r="C838" s="13">
        <v>45570</v>
      </c>
      <c r="D838" s="12" t="s">
        <v>338</v>
      </c>
      <c r="E838" s="14" t="s">
        <v>364</v>
      </c>
      <c r="F838" s="12" t="s">
        <v>341</v>
      </c>
      <c r="G838" s="2">
        <v>1</v>
      </c>
      <c r="H838" s="3">
        <v>488</v>
      </c>
      <c r="I838" s="14" t="s">
        <v>325</v>
      </c>
      <c r="J838" s="12" t="s">
        <v>1101</v>
      </c>
      <c r="K838" s="2">
        <v>0</v>
      </c>
      <c r="L838" s="12" t="s">
        <v>327</v>
      </c>
      <c r="M838">
        <f>YEAR(VentesMagasins!$C838)</f>
        <v>2024</v>
      </c>
      <c r="N838" t="e" cm="1" vm="1">
        <f t="array" aca="1" ref="N838" ca="1">MONTH(DateVente)</f>
        <v>#VALUE!</v>
      </c>
      <c r="O838" t="str">
        <f>PROPER(VentesMagasins!$F838)</f>
        <v>Meuble</v>
      </c>
      <c r="P838">
        <f>VALUE(CLEAN(TRIM(SUBSTITUTE(VentesMagasins!$I838,".",","))))</f>
        <v>0.15</v>
      </c>
      <c r="Q838">
        <f>VALUE(TRIM(SUBSTITUTE(VentesMagasins!$J838,".",",")))</f>
        <v>414.8</v>
      </c>
      <c r="R838">
        <f t="shared" si="39"/>
        <v>352.58</v>
      </c>
      <c r="S838">
        <f>IF(VentesMagasins!$K838=1,(-1)*R838,R838)</f>
        <v>352.58</v>
      </c>
      <c r="T838">
        <f>IFERROR(VALUE(TRIM(SUBSTITUTE(VentesMagasins!$L838,".",","))),0)</f>
        <v>5</v>
      </c>
      <c r="U838">
        <f t="shared" si="40"/>
        <v>5</v>
      </c>
      <c r="V838" t="str">
        <f t="shared" si="41"/>
        <v>élévé</v>
      </c>
      <c r="W838" t="str">
        <f>_xlfn.XLOOKUP(VentesMagasins!$B838,Clients!ClientID,Région)</f>
        <v>Ouest</v>
      </c>
      <c r="X838" t="str">
        <f>INDEX(TypeClient,MATCH(VentesMagasins!$B838,Clients!ClientID))</f>
        <v>Occasionnel</v>
      </c>
      <c r="Y838" t="str">
        <v>oct</v>
      </c>
    </row>
    <row r="839" spans="1:25" x14ac:dyDescent="0.25">
      <c r="A839" s="2">
        <v>838</v>
      </c>
      <c r="B839" s="12" t="s">
        <v>252</v>
      </c>
      <c r="C839" s="13">
        <v>45362</v>
      </c>
      <c r="D839" s="12" t="s">
        <v>322</v>
      </c>
      <c r="E839" s="14" t="s">
        <v>362</v>
      </c>
      <c r="F839" s="12" t="s">
        <v>330</v>
      </c>
      <c r="G839" s="2">
        <v>3</v>
      </c>
      <c r="H839" s="3">
        <v>120</v>
      </c>
      <c r="I839" s="14" t="s">
        <v>342</v>
      </c>
      <c r="J839" s="12" t="s">
        <v>1102</v>
      </c>
      <c r="K839" s="2">
        <v>0</v>
      </c>
      <c r="L839" s="12" t="s">
        <v>352</v>
      </c>
      <c r="M839">
        <f>YEAR(VentesMagasins!$C839)</f>
        <v>2024</v>
      </c>
      <c r="N839" t="e" cm="1" vm="1">
        <f t="array" aca="1" ref="N839" ca="1">MONTH(DateVente)</f>
        <v>#VALUE!</v>
      </c>
      <c r="O839" t="str">
        <f>PROPER(VentesMagasins!$F839)</f>
        <v>Décoration</v>
      </c>
      <c r="P839">
        <f>VALUE(CLEAN(TRIM(SUBSTITUTE(VentesMagasins!$I839,".",","))))</f>
        <v>0.05</v>
      </c>
      <c r="Q839">
        <f>VALUE(TRIM(SUBSTITUTE(VentesMagasins!$J839,".",",")))</f>
        <v>342</v>
      </c>
      <c r="R839">
        <f t="shared" si="39"/>
        <v>324.89999999999998</v>
      </c>
      <c r="S839">
        <f>IF(VentesMagasins!$K839=1,(-1)*R839,R839)</f>
        <v>324.89999999999998</v>
      </c>
      <c r="T839">
        <f>IFERROR(VALUE(TRIM(SUBSTITUTE(VentesMagasins!$L839,".",","))),0)</f>
        <v>0</v>
      </c>
      <c r="U839">
        <f t="shared" si="40"/>
        <v>3</v>
      </c>
      <c r="V839" t="str">
        <f t="shared" si="41"/>
        <v>moyenne</v>
      </c>
      <c r="W839" t="str">
        <f>_xlfn.XLOOKUP(VentesMagasins!$B839,Clients!ClientID,Région)</f>
        <v>Centre</v>
      </c>
      <c r="X839" t="str">
        <f>INDEX(TypeClient,MATCH(VentesMagasins!$B839,Clients!ClientID))</f>
        <v>Occasionnel</v>
      </c>
      <c r="Y839" t="str">
        <v>mars</v>
      </c>
    </row>
    <row r="840" spans="1:25" x14ac:dyDescent="0.25">
      <c r="A840" s="2">
        <v>839</v>
      </c>
      <c r="B840" s="12" t="s">
        <v>151</v>
      </c>
      <c r="C840" s="13">
        <v>45928</v>
      </c>
      <c r="D840" s="12" t="s">
        <v>328</v>
      </c>
      <c r="E840" s="14" t="s">
        <v>334</v>
      </c>
      <c r="F840" s="12" t="s">
        <v>341</v>
      </c>
      <c r="G840" s="2">
        <v>4</v>
      </c>
      <c r="H840" s="3">
        <v>390</v>
      </c>
      <c r="I840" s="14" t="s">
        <v>355</v>
      </c>
      <c r="J840" s="12" t="s">
        <v>1103</v>
      </c>
      <c r="K840" s="2">
        <v>1</v>
      </c>
      <c r="L840" s="12" t="s">
        <v>344</v>
      </c>
      <c r="M840">
        <f>YEAR(VentesMagasins!$C840)</f>
        <v>2025</v>
      </c>
      <c r="N840" t="e" cm="1" vm="1">
        <f t="array" aca="1" ref="N840" ca="1">MONTH(DateVente)</f>
        <v>#VALUE!</v>
      </c>
      <c r="O840" t="str">
        <f>PROPER(VentesMagasins!$F840)</f>
        <v>Meuble</v>
      </c>
      <c r="P840">
        <f>VALUE(CLEAN(TRIM(SUBSTITUTE(VentesMagasins!$I840,".",","))))</f>
        <v>0.1</v>
      </c>
      <c r="Q840">
        <f>VALUE(TRIM(SUBSTITUTE(VentesMagasins!$J840,".",",")))</f>
        <v>1404</v>
      </c>
      <c r="R840">
        <f t="shared" si="39"/>
        <v>1263.6000000000001</v>
      </c>
      <c r="S840">
        <f>IF(VentesMagasins!$K840=1,(-1)*R840,R840)</f>
        <v>-1263.6000000000001</v>
      </c>
      <c r="T840">
        <f>IFERROR(VALUE(TRIM(SUBSTITUTE(VentesMagasins!$L840,".",","))),0)</f>
        <v>2</v>
      </c>
      <c r="U840">
        <f t="shared" si="40"/>
        <v>2</v>
      </c>
      <c r="V840" t="str">
        <f t="shared" si="41"/>
        <v>faible</v>
      </c>
      <c r="W840" t="str">
        <f>_xlfn.XLOOKUP(VentesMagasins!$B840,Clients!ClientID,Région)</f>
        <v>Centre</v>
      </c>
      <c r="X840" t="str">
        <f>INDEX(TypeClient,MATCH(VentesMagasins!$B840,Clients!ClientID))</f>
        <v>Nouveau</v>
      </c>
      <c r="Y840" t="str">
        <v>sept</v>
      </c>
    </row>
    <row r="841" spans="1:25" x14ac:dyDescent="0.25">
      <c r="A841" s="2">
        <v>840</v>
      </c>
      <c r="B841" s="12" t="s">
        <v>65</v>
      </c>
      <c r="C841" s="13">
        <v>45198</v>
      </c>
      <c r="D841" s="12" t="s">
        <v>328</v>
      </c>
      <c r="E841" s="14" t="s">
        <v>329</v>
      </c>
      <c r="F841" s="12" t="s">
        <v>324</v>
      </c>
      <c r="G841" s="2">
        <v>1</v>
      </c>
      <c r="H841" s="3">
        <v>137</v>
      </c>
      <c r="I841" s="14" t="s">
        <v>355</v>
      </c>
      <c r="J841" s="12" t="s">
        <v>1104</v>
      </c>
      <c r="K841" s="2">
        <v>0</v>
      </c>
      <c r="L841" s="12" t="s">
        <v>337</v>
      </c>
      <c r="M841">
        <f>YEAR(VentesMagasins!$C841)</f>
        <v>2023</v>
      </c>
      <c r="N841" t="e" cm="1" vm="1">
        <f t="array" aca="1" ref="N841" ca="1">MONTH(DateVente)</f>
        <v>#VALUE!</v>
      </c>
      <c r="O841" t="str">
        <f>PROPER(VentesMagasins!$F841)</f>
        <v>Électronique</v>
      </c>
      <c r="P841">
        <f>VALUE(CLEAN(TRIM(SUBSTITUTE(VentesMagasins!$I841,".",","))))</f>
        <v>0.1</v>
      </c>
      <c r="Q841">
        <f>VALUE(TRIM(SUBSTITUTE(VentesMagasins!$J841,".",",")))</f>
        <v>123.3</v>
      </c>
      <c r="R841">
        <f t="shared" si="39"/>
        <v>110.97</v>
      </c>
      <c r="S841">
        <f>IF(VentesMagasins!$K841=1,(-1)*R841,R841)</f>
        <v>110.97</v>
      </c>
      <c r="T841">
        <f>IFERROR(VALUE(TRIM(SUBSTITUTE(VentesMagasins!$L841,".",","))),0)</f>
        <v>3</v>
      </c>
      <c r="U841">
        <f t="shared" si="40"/>
        <v>3</v>
      </c>
      <c r="V841" t="str">
        <f t="shared" si="41"/>
        <v>moyenne</v>
      </c>
      <c r="W841" t="str">
        <f>_xlfn.XLOOKUP(VentesMagasins!$B841,Clients!ClientID,Région)</f>
        <v>Sud</v>
      </c>
      <c r="X841" t="str">
        <f>INDEX(TypeClient,MATCH(VentesMagasins!$B841,Clients!ClientID))</f>
        <v>Nouveau</v>
      </c>
      <c r="Y841" t="str">
        <v>sept</v>
      </c>
    </row>
    <row r="842" spans="1:25" x14ac:dyDescent="0.25">
      <c r="A842" s="2">
        <v>841</v>
      </c>
      <c r="B842" s="12" t="s">
        <v>179</v>
      </c>
      <c r="C842" s="13">
        <v>45908</v>
      </c>
      <c r="D842" s="12" t="s">
        <v>333</v>
      </c>
      <c r="E842" s="14" t="s">
        <v>329</v>
      </c>
      <c r="F842" s="12" t="s">
        <v>324</v>
      </c>
      <c r="G842" s="2">
        <v>1</v>
      </c>
      <c r="H842" s="3">
        <v>440</v>
      </c>
      <c r="I842" s="14" t="s">
        <v>342</v>
      </c>
      <c r="J842" s="12" t="s">
        <v>1105</v>
      </c>
      <c r="K842" s="2">
        <v>0</v>
      </c>
      <c r="L842" s="12" t="s">
        <v>369</v>
      </c>
      <c r="M842">
        <f>YEAR(VentesMagasins!$C842)</f>
        <v>2025</v>
      </c>
      <c r="N842" t="e" cm="1" vm="1">
        <f t="array" aca="1" ref="N842" ca="1">MONTH(DateVente)</f>
        <v>#VALUE!</v>
      </c>
      <c r="O842" t="str">
        <f>PROPER(VentesMagasins!$F842)</f>
        <v>Électronique</v>
      </c>
      <c r="P842">
        <f>VALUE(CLEAN(TRIM(SUBSTITUTE(VentesMagasins!$I842,".",","))))</f>
        <v>0.05</v>
      </c>
      <c r="Q842">
        <f>VALUE(TRIM(SUBSTITUTE(VentesMagasins!$J842,".",",")))</f>
        <v>418</v>
      </c>
      <c r="R842">
        <f t="shared" si="39"/>
        <v>397.09999999999997</v>
      </c>
      <c r="S842">
        <f>IF(VentesMagasins!$K842=1,(-1)*R842,R842)</f>
        <v>397.09999999999997</v>
      </c>
      <c r="T842">
        <f>IFERROR(VALUE(TRIM(SUBSTITUTE(VentesMagasins!$L842,".",","))),0)</f>
        <v>1</v>
      </c>
      <c r="U842">
        <f t="shared" si="40"/>
        <v>1</v>
      </c>
      <c r="V842" t="str">
        <f t="shared" si="41"/>
        <v>faible</v>
      </c>
      <c r="W842" t="str">
        <f>_xlfn.XLOOKUP(VentesMagasins!$B842,Clients!ClientID,Région)</f>
        <v>Sud</v>
      </c>
      <c r="X842" t="str">
        <f>INDEX(TypeClient,MATCH(VentesMagasins!$B842,Clients!ClientID))</f>
        <v>Nouveau</v>
      </c>
      <c r="Y842" t="str">
        <v>sept</v>
      </c>
    </row>
    <row r="843" spans="1:25" x14ac:dyDescent="0.25">
      <c r="A843" s="2">
        <v>842</v>
      </c>
      <c r="B843" s="12" t="s">
        <v>235</v>
      </c>
      <c r="C843" s="13">
        <v>44971</v>
      </c>
      <c r="D843" s="12" t="s">
        <v>449</v>
      </c>
      <c r="E843" s="14" t="s">
        <v>348</v>
      </c>
      <c r="F843" s="12" t="s">
        <v>341</v>
      </c>
      <c r="G843" s="2">
        <v>2</v>
      </c>
      <c r="H843" s="3">
        <v>145</v>
      </c>
      <c r="I843" s="14" t="s">
        <v>335</v>
      </c>
      <c r="J843" s="12" t="s">
        <v>1106</v>
      </c>
      <c r="K843" s="2">
        <v>1</v>
      </c>
      <c r="L843" s="12" t="s">
        <v>337</v>
      </c>
      <c r="M843">
        <f>YEAR(VentesMagasins!$C843)</f>
        <v>2023</v>
      </c>
      <c r="N843" t="e" cm="1" vm="1">
        <f t="array" aca="1" ref="N843" ca="1">MONTH(DateVente)</f>
        <v>#VALUE!</v>
      </c>
      <c r="O843" t="str">
        <f>PROPER(VentesMagasins!$F843)</f>
        <v>Meuble</v>
      </c>
      <c r="P843">
        <f>VALUE(CLEAN(TRIM(SUBSTITUTE(VentesMagasins!$I843,".",","))))</f>
        <v>0</v>
      </c>
      <c r="Q843">
        <f>VALUE(TRIM(SUBSTITUTE(VentesMagasins!$J843,".",",")))</f>
        <v>290</v>
      </c>
      <c r="R843">
        <f t="shared" si="39"/>
        <v>290</v>
      </c>
      <c r="S843">
        <f>IF(VentesMagasins!$K843=1,(-1)*R843,R843)</f>
        <v>-290</v>
      </c>
      <c r="T843">
        <f>IFERROR(VALUE(TRIM(SUBSTITUTE(VentesMagasins!$L843,".",","))),0)</f>
        <v>3</v>
      </c>
      <c r="U843">
        <f t="shared" si="40"/>
        <v>3</v>
      </c>
      <c r="V843" t="str">
        <f t="shared" si="41"/>
        <v>moyenne</v>
      </c>
      <c r="W843" t="str">
        <f>_xlfn.XLOOKUP(VentesMagasins!$B843,Clients!ClientID,Région)</f>
        <v>Sud</v>
      </c>
      <c r="X843" t="str">
        <f>INDEX(TypeClient,MATCH(VentesMagasins!$B843,Clients!ClientID))</f>
        <v>Fidèle</v>
      </c>
      <c r="Y843" t="str">
        <v>févr</v>
      </c>
    </row>
    <row r="844" spans="1:25" x14ac:dyDescent="0.25">
      <c r="A844" s="2">
        <v>843</v>
      </c>
      <c r="B844" s="12" t="s">
        <v>249</v>
      </c>
      <c r="C844" s="13">
        <v>45581</v>
      </c>
      <c r="D844" s="12" t="s">
        <v>333</v>
      </c>
      <c r="E844" s="14" t="s">
        <v>329</v>
      </c>
      <c r="F844" s="12" t="s">
        <v>324</v>
      </c>
      <c r="G844" s="2">
        <v>4</v>
      </c>
      <c r="H844" s="3">
        <v>195</v>
      </c>
      <c r="I844" s="14" t="s">
        <v>325</v>
      </c>
      <c r="J844" s="12" t="s">
        <v>1107</v>
      </c>
      <c r="K844" s="2">
        <v>1</v>
      </c>
      <c r="L844" s="12" t="s">
        <v>344</v>
      </c>
      <c r="M844">
        <f>YEAR(VentesMagasins!$C844)</f>
        <v>2024</v>
      </c>
      <c r="N844" t="e" cm="1" vm="1">
        <f t="array" aca="1" ref="N844" ca="1">MONTH(DateVente)</f>
        <v>#VALUE!</v>
      </c>
      <c r="O844" t="str">
        <f>PROPER(VentesMagasins!$F844)</f>
        <v>Électronique</v>
      </c>
      <c r="P844">
        <f>VALUE(CLEAN(TRIM(SUBSTITUTE(VentesMagasins!$I844,".",","))))</f>
        <v>0.15</v>
      </c>
      <c r="Q844">
        <f>VALUE(TRIM(SUBSTITUTE(VentesMagasins!$J844,".",",")))</f>
        <v>663</v>
      </c>
      <c r="R844">
        <f t="shared" si="39"/>
        <v>563.54999999999995</v>
      </c>
      <c r="S844">
        <f>IF(VentesMagasins!$K844=1,(-1)*R844,R844)</f>
        <v>-563.54999999999995</v>
      </c>
      <c r="T844">
        <f>IFERROR(VALUE(TRIM(SUBSTITUTE(VentesMagasins!$L844,".",","))),0)</f>
        <v>2</v>
      </c>
      <c r="U844">
        <f t="shared" si="40"/>
        <v>2</v>
      </c>
      <c r="V844" t="str">
        <f t="shared" si="41"/>
        <v>faible</v>
      </c>
      <c r="W844" t="str">
        <f>_xlfn.XLOOKUP(VentesMagasins!$B844,Clients!ClientID,Région)</f>
        <v>Ouest</v>
      </c>
      <c r="X844" t="str">
        <f>INDEX(TypeClient,MATCH(VentesMagasins!$B844,Clients!ClientID))</f>
        <v>Fidèle</v>
      </c>
      <c r="Y844" t="str">
        <v>oct</v>
      </c>
    </row>
    <row r="845" spans="1:25" x14ac:dyDescent="0.25">
      <c r="A845" s="2">
        <v>844</v>
      </c>
      <c r="B845" s="12" t="s">
        <v>284</v>
      </c>
      <c r="C845" s="13">
        <v>45226</v>
      </c>
      <c r="D845" s="12" t="s">
        <v>322</v>
      </c>
      <c r="E845" s="14" t="s">
        <v>329</v>
      </c>
      <c r="F845" s="12" t="s">
        <v>341</v>
      </c>
      <c r="G845" s="2">
        <v>4</v>
      </c>
      <c r="H845" s="3">
        <v>435</v>
      </c>
      <c r="I845" s="14" t="s">
        <v>342</v>
      </c>
      <c r="J845" s="12" t="s">
        <v>1108</v>
      </c>
      <c r="K845" s="2">
        <v>0</v>
      </c>
      <c r="L845" s="12" t="s">
        <v>369</v>
      </c>
      <c r="M845">
        <f>YEAR(VentesMagasins!$C845)</f>
        <v>2023</v>
      </c>
      <c r="N845" t="e" cm="1" vm="1">
        <f t="array" aca="1" ref="N845" ca="1">MONTH(DateVente)</f>
        <v>#VALUE!</v>
      </c>
      <c r="O845" t="str">
        <f>PROPER(VentesMagasins!$F845)</f>
        <v>Meuble</v>
      </c>
      <c r="P845">
        <f>VALUE(CLEAN(TRIM(SUBSTITUTE(VentesMagasins!$I845,".",","))))</f>
        <v>0.05</v>
      </c>
      <c r="Q845">
        <f>VALUE(TRIM(SUBSTITUTE(VentesMagasins!$J845,".",",")))</f>
        <v>1653</v>
      </c>
      <c r="R845">
        <f t="shared" si="39"/>
        <v>1570.35</v>
      </c>
      <c r="S845">
        <f>IF(VentesMagasins!$K845=1,(-1)*R845,R845)</f>
        <v>1570.35</v>
      </c>
      <c r="T845">
        <f>IFERROR(VALUE(TRIM(SUBSTITUTE(VentesMagasins!$L845,".",","))),0)</f>
        <v>1</v>
      </c>
      <c r="U845">
        <f t="shared" si="40"/>
        <v>1</v>
      </c>
      <c r="V845" t="str">
        <f t="shared" si="41"/>
        <v>faible</v>
      </c>
      <c r="W845" t="str">
        <f>_xlfn.XLOOKUP(VentesMagasins!$B845,Clients!ClientID,Région)</f>
        <v>Ouest</v>
      </c>
      <c r="X845" t="str">
        <f>INDEX(TypeClient,MATCH(VentesMagasins!$B845,Clients!ClientID))</f>
        <v>Fidèle</v>
      </c>
      <c r="Y845" t="str">
        <v>oct</v>
      </c>
    </row>
    <row r="846" spans="1:25" x14ac:dyDescent="0.25">
      <c r="A846" s="2">
        <v>845</v>
      </c>
      <c r="B846" s="12" t="s">
        <v>38</v>
      </c>
      <c r="C846" s="13">
        <v>45146</v>
      </c>
      <c r="D846" s="12" t="s">
        <v>333</v>
      </c>
      <c r="E846" s="14" t="s">
        <v>334</v>
      </c>
      <c r="F846" s="12" t="s">
        <v>330</v>
      </c>
      <c r="G846" s="2">
        <v>1</v>
      </c>
      <c r="H846" s="3">
        <v>181</v>
      </c>
      <c r="I846" s="14" t="s">
        <v>325</v>
      </c>
      <c r="J846" s="12" t="s">
        <v>1109</v>
      </c>
      <c r="K846" s="2">
        <v>0</v>
      </c>
      <c r="L846" s="12" t="s">
        <v>337</v>
      </c>
      <c r="M846">
        <f>YEAR(VentesMagasins!$C846)</f>
        <v>2023</v>
      </c>
      <c r="N846" t="e" cm="1" vm="1">
        <f t="array" aca="1" ref="N846" ca="1">MONTH(DateVente)</f>
        <v>#VALUE!</v>
      </c>
      <c r="O846" t="str">
        <f>PROPER(VentesMagasins!$F846)</f>
        <v>Décoration</v>
      </c>
      <c r="P846">
        <f>VALUE(CLEAN(TRIM(SUBSTITUTE(VentesMagasins!$I846,".",","))))</f>
        <v>0.15</v>
      </c>
      <c r="Q846">
        <f>VALUE(TRIM(SUBSTITUTE(VentesMagasins!$J846,".",",")))</f>
        <v>153.85</v>
      </c>
      <c r="R846">
        <f t="shared" si="39"/>
        <v>130.77249999999998</v>
      </c>
      <c r="S846">
        <f>IF(VentesMagasins!$K846=1,(-1)*R846,R846)</f>
        <v>130.77249999999998</v>
      </c>
      <c r="T846">
        <f>IFERROR(VALUE(TRIM(SUBSTITUTE(VentesMagasins!$L846,".",","))),0)</f>
        <v>3</v>
      </c>
      <c r="U846">
        <f t="shared" si="40"/>
        <v>3</v>
      </c>
      <c r="V846" t="str">
        <f t="shared" si="41"/>
        <v>moyenne</v>
      </c>
      <c r="W846" t="str">
        <f>_xlfn.XLOOKUP(VentesMagasins!$B846,Clients!ClientID,Région)</f>
        <v>Est</v>
      </c>
      <c r="X846" t="str">
        <f>INDEX(TypeClient,MATCH(VentesMagasins!$B846,Clients!ClientID))</f>
        <v>Occasionnel</v>
      </c>
      <c r="Y846" t="str">
        <v>août</v>
      </c>
    </row>
    <row r="847" spans="1:25" x14ac:dyDescent="0.25">
      <c r="A847" s="2">
        <v>846</v>
      </c>
      <c r="B847" s="12" t="s">
        <v>214</v>
      </c>
      <c r="C847" s="13">
        <v>45619</v>
      </c>
      <c r="D847" s="12" t="s">
        <v>389</v>
      </c>
      <c r="E847" s="14" t="s">
        <v>334</v>
      </c>
      <c r="F847" s="12" t="s">
        <v>330</v>
      </c>
      <c r="G847" s="2">
        <v>2</v>
      </c>
      <c r="H847" s="3">
        <v>307</v>
      </c>
      <c r="I847" s="14" t="s">
        <v>342</v>
      </c>
      <c r="J847" s="12" t="s">
        <v>1110</v>
      </c>
      <c r="K847" s="2">
        <v>0</v>
      </c>
      <c r="L847" s="12" t="s">
        <v>369</v>
      </c>
      <c r="M847">
        <f>YEAR(VentesMagasins!$C847)</f>
        <v>2024</v>
      </c>
      <c r="N847" t="e" cm="1" vm="1">
        <f t="array" aca="1" ref="N847" ca="1">MONTH(DateVente)</f>
        <v>#VALUE!</v>
      </c>
      <c r="O847" t="str">
        <f>PROPER(VentesMagasins!$F847)</f>
        <v>Décoration</v>
      </c>
      <c r="P847">
        <f>VALUE(CLEAN(TRIM(SUBSTITUTE(VentesMagasins!$I847,".",","))))</f>
        <v>0.05</v>
      </c>
      <c r="Q847">
        <f>VALUE(TRIM(SUBSTITUTE(VentesMagasins!$J847,".",",")))</f>
        <v>583.29999999999995</v>
      </c>
      <c r="R847">
        <f t="shared" si="39"/>
        <v>554.13499999999988</v>
      </c>
      <c r="S847">
        <f>IF(VentesMagasins!$K847=1,(-1)*R847,R847)</f>
        <v>554.13499999999988</v>
      </c>
      <c r="T847">
        <f>IFERROR(VALUE(TRIM(SUBSTITUTE(VentesMagasins!$L847,".",","))),0)</f>
        <v>1</v>
      </c>
      <c r="U847">
        <f t="shared" si="40"/>
        <v>1</v>
      </c>
      <c r="V847" t="str">
        <f t="shared" si="41"/>
        <v>faible</v>
      </c>
      <c r="W847" t="str">
        <f>_xlfn.XLOOKUP(VentesMagasins!$B847,Clients!ClientID,Région)</f>
        <v>Ouest</v>
      </c>
      <c r="X847" t="str">
        <f>INDEX(TypeClient,MATCH(VentesMagasins!$B847,Clients!ClientID))</f>
        <v>Occasionnel</v>
      </c>
      <c r="Y847" t="str">
        <v>nov</v>
      </c>
    </row>
    <row r="848" spans="1:25" x14ac:dyDescent="0.25">
      <c r="A848" s="2">
        <v>847</v>
      </c>
      <c r="B848" s="12" t="s">
        <v>36</v>
      </c>
      <c r="C848" s="13">
        <v>45439</v>
      </c>
      <c r="D848" s="12" t="s">
        <v>350</v>
      </c>
      <c r="E848" s="14" t="s">
        <v>345</v>
      </c>
      <c r="F848" s="12" t="s">
        <v>358</v>
      </c>
      <c r="G848" s="2">
        <v>5</v>
      </c>
      <c r="H848" s="3">
        <v>477</v>
      </c>
      <c r="I848" s="14" t="s">
        <v>335</v>
      </c>
      <c r="J848" s="12" t="s">
        <v>923</v>
      </c>
      <c r="K848" s="2">
        <v>1</v>
      </c>
      <c r="L848" s="12" t="s">
        <v>352</v>
      </c>
      <c r="M848">
        <f>YEAR(VentesMagasins!$C848)</f>
        <v>2024</v>
      </c>
      <c r="N848" t="e" cm="1" vm="1">
        <f t="array" aca="1" ref="N848" ca="1">MONTH(DateVente)</f>
        <v>#VALUE!</v>
      </c>
      <c r="O848" t="str">
        <f>PROPER(VentesMagasins!$F848)</f>
        <v>Électronique</v>
      </c>
      <c r="P848">
        <f>VALUE(CLEAN(TRIM(SUBSTITUTE(VentesMagasins!$I848,".",","))))</f>
        <v>0</v>
      </c>
      <c r="Q848">
        <f>VALUE(TRIM(SUBSTITUTE(VentesMagasins!$J848,".",",")))</f>
        <v>2385</v>
      </c>
      <c r="R848">
        <f t="shared" si="39"/>
        <v>2385</v>
      </c>
      <c r="S848">
        <f>IF(VentesMagasins!$K848=1,(-1)*R848,R848)</f>
        <v>-2385</v>
      </c>
      <c r="T848">
        <f>IFERROR(VALUE(TRIM(SUBSTITUTE(VentesMagasins!$L848,".",","))),0)</f>
        <v>0</v>
      </c>
      <c r="U848">
        <f t="shared" si="40"/>
        <v>3</v>
      </c>
      <c r="V848" t="str">
        <f t="shared" si="41"/>
        <v>moyenne</v>
      </c>
      <c r="W848" t="str">
        <f>_xlfn.XLOOKUP(VentesMagasins!$B848,Clients!ClientID,Région)</f>
        <v>Est</v>
      </c>
      <c r="X848" t="str">
        <f>INDEX(TypeClient,MATCH(VentesMagasins!$B848,Clients!ClientID))</f>
        <v>Fidèle</v>
      </c>
      <c r="Y848" t="str">
        <v>mai</v>
      </c>
    </row>
    <row r="849" spans="1:25" x14ac:dyDescent="0.25">
      <c r="A849" s="2">
        <v>848</v>
      </c>
      <c r="B849" s="12" t="s">
        <v>114</v>
      </c>
      <c r="C849" s="13">
        <v>45997</v>
      </c>
      <c r="D849" s="12" t="s">
        <v>328</v>
      </c>
      <c r="E849" s="14" t="s">
        <v>348</v>
      </c>
      <c r="F849" s="12" t="s">
        <v>330</v>
      </c>
      <c r="G849" s="2">
        <v>2</v>
      </c>
      <c r="H849" s="3">
        <v>393</v>
      </c>
      <c r="I849" s="14" t="s">
        <v>325</v>
      </c>
      <c r="J849" s="12" t="s">
        <v>585</v>
      </c>
      <c r="K849" s="2">
        <v>0</v>
      </c>
      <c r="L849" s="12" t="s">
        <v>332</v>
      </c>
      <c r="M849">
        <f>YEAR(VentesMagasins!$C849)</f>
        <v>2025</v>
      </c>
      <c r="N849" t="e" cm="1" vm="1">
        <f t="array" aca="1" ref="N849" ca="1">MONTH(DateVente)</f>
        <v>#VALUE!</v>
      </c>
      <c r="O849" t="str">
        <f>PROPER(VentesMagasins!$F849)</f>
        <v>Décoration</v>
      </c>
      <c r="P849">
        <f>VALUE(CLEAN(TRIM(SUBSTITUTE(VentesMagasins!$I849,".",","))))</f>
        <v>0.15</v>
      </c>
      <c r="Q849">
        <f>VALUE(TRIM(SUBSTITUTE(VentesMagasins!$J849,".",",")))</f>
        <v>668.1</v>
      </c>
      <c r="R849">
        <f t="shared" si="39"/>
        <v>567.88499999999999</v>
      </c>
      <c r="S849">
        <f>IF(VentesMagasins!$K849=1,(-1)*R849,R849)</f>
        <v>567.88499999999999</v>
      </c>
      <c r="T849">
        <f>IFERROR(VALUE(TRIM(SUBSTITUTE(VentesMagasins!$L849,".",","))),0)</f>
        <v>4</v>
      </c>
      <c r="U849">
        <f t="shared" si="40"/>
        <v>4</v>
      </c>
      <c r="V849" t="str">
        <f t="shared" si="41"/>
        <v>moyenne</v>
      </c>
      <c r="W849" t="str">
        <f>_xlfn.XLOOKUP(VentesMagasins!$B849,Clients!ClientID,Région)</f>
        <v>Nord</v>
      </c>
      <c r="X849" t="str">
        <f>INDEX(TypeClient,MATCH(VentesMagasins!$B849,Clients!ClientID))</f>
        <v>Fidèle</v>
      </c>
      <c r="Y849" t="str">
        <v>déc</v>
      </c>
    </row>
    <row r="850" spans="1:25" x14ac:dyDescent="0.25">
      <c r="A850" s="2">
        <v>849</v>
      </c>
      <c r="B850" s="12" t="s">
        <v>92</v>
      </c>
      <c r="C850" s="13">
        <v>45171</v>
      </c>
      <c r="D850" s="12" t="s">
        <v>350</v>
      </c>
      <c r="E850" s="14" t="s">
        <v>345</v>
      </c>
      <c r="F850" s="12" t="s">
        <v>324</v>
      </c>
      <c r="G850" s="2">
        <v>1</v>
      </c>
      <c r="H850" s="3">
        <v>396</v>
      </c>
      <c r="I850" s="14" t="s">
        <v>335</v>
      </c>
      <c r="J850" s="12" t="s">
        <v>400</v>
      </c>
      <c r="K850" s="2">
        <v>0</v>
      </c>
      <c r="L850" s="12" t="s">
        <v>327</v>
      </c>
      <c r="M850">
        <f>YEAR(VentesMagasins!$C850)</f>
        <v>2023</v>
      </c>
      <c r="N850" t="e" cm="1" vm="1">
        <f t="array" aca="1" ref="N850" ca="1">MONTH(DateVente)</f>
        <v>#VALUE!</v>
      </c>
      <c r="O850" t="str">
        <f>PROPER(VentesMagasins!$F850)</f>
        <v>Électronique</v>
      </c>
      <c r="P850">
        <f>VALUE(CLEAN(TRIM(SUBSTITUTE(VentesMagasins!$I850,".",","))))</f>
        <v>0</v>
      </c>
      <c r="Q850">
        <f>VALUE(TRIM(SUBSTITUTE(VentesMagasins!$J850,".",",")))</f>
        <v>396</v>
      </c>
      <c r="R850">
        <f t="shared" si="39"/>
        <v>396</v>
      </c>
      <c r="S850">
        <f>IF(VentesMagasins!$K850=1,(-1)*R850,R850)</f>
        <v>396</v>
      </c>
      <c r="T850">
        <f>IFERROR(VALUE(TRIM(SUBSTITUTE(VentesMagasins!$L850,".",","))),0)</f>
        <v>5</v>
      </c>
      <c r="U850">
        <f t="shared" si="40"/>
        <v>5</v>
      </c>
      <c r="V850" t="str">
        <f t="shared" si="41"/>
        <v>élévé</v>
      </c>
      <c r="W850" t="str">
        <f>_xlfn.XLOOKUP(VentesMagasins!$B850,Clients!ClientID,Région)</f>
        <v>Centre</v>
      </c>
      <c r="X850" t="str">
        <f>INDEX(TypeClient,MATCH(VentesMagasins!$B850,Clients!ClientID))</f>
        <v>Fidèle</v>
      </c>
      <c r="Y850" t="str">
        <v>sept</v>
      </c>
    </row>
    <row r="851" spans="1:25" x14ac:dyDescent="0.25">
      <c r="A851" s="2">
        <v>850</v>
      </c>
      <c r="B851" s="12" t="s">
        <v>39</v>
      </c>
      <c r="C851" s="13">
        <v>45120</v>
      </c>
      <c r="D851" s="12" t="s">
        <v>328</v>
      </c>
      <c r="E851" s="14" t="s">
        <v>323</v>
      </c>
      <c r="F851" s="12" t="s">
        <v>330</v>
      </c>
      <c r="G851" s="2">
        <v>5</v>
      </c>
      <c r="H851" s="3">
        <v>360</v>
      </c>
      <c r="I851" s="14" t="s">
        <v>355</v>
      </c>
      <c r="J851" s="12" t="s">
        <v>1111</v>
      </c>
      <c r="K851" s="2">
        <v>0</v>
      </c>
      <c r="L851" s="12" t="s">
        <v>327</v>
      </c>
      <c r="M851">
        <f>YEAR(VentesMagasins!$C851)</f>
        <v>2023</v>
      </c>
      <c r="N851" t="e" cm="1" vm="1">
        <f t="array" aca="1" ref="N851" ca="1">MONTH(DateVente)</f>
        <v>#VALUE!</v>
      </c>
      <c r="O851" t="str">
        <f>PROPER(VentesMagasins!$F851)</f>
        <v>Décoration</v>
      </c>
      <c r="P851">
        <f>VALUE(CLEAN(TRIM(SUBSTITUTE(VentesMagasins!$I851,".",","))))</f>
        <v>0.1</v>
      </c>
      <c r="Q851">
        <f>VALUE(TRIM(SUBSTITUTE(VentesMagasins!$J851,".",",")))</f>
        <v>1620</v>
      </c>
      <c r="R851">
        <f t="shared" si="39"/>
        <v>1458</v>
      </c>
      <c r="S851">
        <f>IF(VentesMagasins!$K851=1,(-1)*R851,R851)</f>
        <v>1458</v>
      </c>
      <c r="T851">
        <f>IFERROR(VALUE(TRIM(SUBSTITUTE(VentesMagasins!$L851,".",","))),0)</f>
        <v>5</v>
      </c>
      <c r="U851">
        <f t="shared" si="40"/>
        <v>5</v>
      </c>
      <c r="V851" t="str">
        <f t="shared" si="41"/>
        <v>élévé</v>
      </c>
      <c r="W851" t="str">
        <f>_xlfn.XLOOKUP(VentesMagasins!$B851,Clients!ClientID,Région)</f>
        <v>Nord</v>
      </c>
      <c r="X851" t="str">
        <f>INDEX(TypeClient,MATCH(VentesMagasins!$B851,Clients!ClientID))</f>
        <v>Nouveau</v>
      </c>
      <c r="Y851" t="str">
        <v>juil</v>
      </c>
    </row>
    <row r="852" spans="1:25" x14ac:dyDescent="0.25">
      <c r="A852" s="2">
        <v>851</v>
      </c>
      <c r="B852" s="12" t="s">
        <v>193</v>
      </c>
      <c r="C852" s="13">
        <v>45472</v>
      </c>
      <c r="D852" s="12" t="s">
        <v>338</v>
      </c>
      <c r="E852" s="14" t="s">
        <v>334</v>
      </c>
      <c r="F852" s="12" t="s">
        <v>341</v>
      </c>
      <c r="G852" s="2">
        <v>5</v>
      </c>
      <c r="H852" s="3">
        <v>258</v>
      </c>
      <c r="I852" s="14" t="s">
        <v>325</v>
      </c>
      <c r="J852" s="12" t="s">
        <v>1023</v>
      </c>
      <c r="K852" s="2">
        <v>0</v>
      </c>
      <c r="L852" s="12" t="s">
        <v>327</v>
      </c>
      <c r="M852">
        <f>YEAR(VentesMagasins!$C852)</f>
        <v>2024</v>
      </c>
      <c r="N852" t="e" cm="1" vm="1">
        <f t="array" aca="1" ref="N852" ca="1">MONTH(DateVente)</f>
        <v>#VALUE!</v>
      </c>
      <c r="O852" t="str">
        <f>PROPER(VentesMagasins!$F852)</f>
        <v>Meuble</v>
      </c>
      <c r="P852">
        <f>VALUE(CLEAN(TRIM(SUBSTITUTE(VentesMagasins!$I852,".",","))))</f>
        <v>0.15</v>
      </c>
      <c r="Q852">
        <f>VALUE(TRIM(SUBSTITUTE(VentesMagasins!$J852,".",",")))</f>
        <v>1096.5</v>
      </c>
      <c r="R852">
        <f t="shared" si="39"/>
        <v>932.02499999999998</v>
      </c>
      <c r="S852">
        <f>IF(VentesMagasins!$K852=1,(-1)*R852,R852)</f>
        <v>932.02499999999998</v>
      </c>
      <c r="T852">
        <f>IFERROR(VALUE(TRIM(SUBSTITUTE(VentesMagasins!$L852,".",","))),0)</f>
        <v>5</v>
      </c>
      <c r="U852">
        <f t="shared" si="40"/>
        <v>5</v>
      </c>
      <c r="V852" t="str">
        <f t="shared" si="41"/>
        <v>élévé</v>
      </c>
      <c r="W852" t="str">
        <f>_xlfn.XLOOKUP(VentesMagasins!$B852,Clients!ClientID,Région)</f>
        <v>Sud</v>
      </c>
      <c r="X852" t="str">
        <f>INDEX(TypeClient,MATCH(VentesMagasins!$B852,Clients!ClientID))</f>
        <v>Occasionnel</v>
      </c>
      <c r="Y852" t="str">
        <v>juin</v>
      </c>
    </row>
    <row r="853" spans="1:25" x14ac:dyDescent="0.25">
      <c r="A853" s="2">
        <v>852</v>
      </c>
      <c r="B853" s="12" t="s">
        <v>28</v>
      </c>
      <c r="C853" s="13">
        <v>45490</v>
      </c>
      <c r="D853" s="12" t="s">
        <v>322</v>
      </c>
      <c r="E853" s="14" t="s">
        <v>345</v>
      </c>
      <c r="F853" s="12" t="s">
        <v>330</v>
      </c>
      <c r="G853" s="2">
        <v>2</v>
      </c>
      <c r="H853" s="3">
        <v>224</v>
      </c>
      <c r="I853" s="14" t="s">
        <v>342</v>
      </c>
      <c r="J853" s="12" t="s">
        <v>1112</v>
      </c>
      <c r="K853" s="2">
        <v>0</v>
      </c>
      <c r="L853" s="12" t="s">
        <v>332</v>
      </c>
      <c r="M853">
        <f>YEAR(VentesMagasins!$C853)</f>
        <v>2024</v>
      </c>
      <c r="N853" t="e" cm="1" vm="1">
        <f t="array" aca="1" ref="N853" ca="1">MONTH(DateVente)</f>
        <v>#VALUE!</v>
      </c>
      <c r="O853" t="str">
        <f>PROPER(VentesMagasins!$F853)</f>
        <v>Décoration</v>
      </c>
      <c r="P853">
        <f>VALUE(CLEAN(TRIM(SUBSTITUTE(VentesMagasins!$I853,".",","))))</f>
        <v>0.05</v>
      </c>
      <c r="Q853">
        <f>VALUE(TRIM(SUBSTITUTE(VentesMagasins!$J853,".",",")))</f>
        <v>425.599999999999</v>
      </c>
      <c r="R853">
        <f t="shared" si="39"/>
        <v>404.31999999999903</v>
      </c>
      <c r="S853">
        <f>IF(VentesMagasins!$K853=1,(-1)*R853,R853)</f>
        <v>404.31999999999903</v>
      </c>
      <c r="T853">
        <f>IFERROR(VALUE(TRIM(SUBSTITUTE(VentesMagasins!$L853,".",","))),0)</f>
        <v>4</v>
      </c>
      <c r="U853">
        <f t="shared" si="40"/>
        <v>4</v>
      </c>
      <c r="V853" t="str">
        <f t="shared" si="41"/>
        <v>moyenne</v>
      </c>
      <c r="W853" t="str">
        <f>_xlfn.XLOOKUP(VentesMagasins!$B853,Clients!ClientID,Région)</f>
        <v>Ouest</v>
      </c>
      <c r="X853" t="str">
        <f>INDEX(TypeClient,MATCH(VentesMagasins!$B853,Clients!ClientID))</f>
        <v>Occasionnel</v>
      </c>
      <c r="Y853" t="str">
        <v>juil</v>
      </c>
    </row>
    <row r="854" spans="1:25" x14ac:dyDescent="0.25">
      <c r="A854" s="2">
        <v>853</v>
      </c>
      <c r="B854" s="12" t="s">
        <v>228</v>
      </c>
      <c r="C854" s="13">
        <v>45808</v>
      </c>
      <c r="D854" s="12" t="s">
        <v>333</v>
      </c>
      <c r="E854" s="14" t="s">
        <v>334</v>
      </c>
      <c r="F854" s="12" t="s">
        <v>324</v>
      </c>
      <c r="G854" s="2">
        <v>1</v>
      </c>
      <c r="H854" s="3">
        <v>183</v>
      </c>
      <c r="I854" s="14" t="s">
        <v>335</v>
      </c>
      <c r="J854" s="12" t="s">
        <v>1113</v>
      </c>
      <c r="K854" s="2">
        <v>0</v>
      </c>
      <c r="L854" s="12" t="s">
        <v>352</v>
      </c>
      <c r="M854">
        <f>YEAR(VentesMagasins!$C854)</f>
        <v>2025</v>
      </c>
      <c r="N854" t="e" cm="1" vm="1">
        <f t="array" aca="1" ref="N854" ca="1">MONTH(DateVente)</f>
        <v>#VALUE!</v>
      </c>
      <c r="O854" t="str">
        <f>PROPER(VentesMagasins!$F854)</f>
        <v>Électronique</v>
      </c>
      <c r="P854">
        <f>VALUE(CLEAN(TRIM(SUBSTITUTE(VentesMagasins!$I854,".",","))))</f>
        <v>0</v>
      </c>
      <c r="Q854">
        <f>VALUE(TRIM(SUBSTITUTE(VentesMagasins!$J854,".",",")))</f>
        <v>183</v>
      </c>
      <c r="R854">
        <f t="shared" si="39"/>
        <v>183</v>
      </c>
      <c r="S854">
        <f>IF(VentesMagasins!$K854=1,(-1)*R854,R854)</f>
        <v>183</v>
      </c>
      <c r="T854">
        <f>IFERROR(VALUE(TRIM(SUBSTITUTE(VentesMagasins!$L854,".",","))),0)</f>
        <v>0</v>
      </c>
      <c r="U854">
        <f t="shared" si="40"/>
        <v>3</v>
      </c>
      <c r="V854" t="str">
        <f t="shared" si="41"/>
        <v>moyenne</v>
      </c>
      <c r="W854" t="str">
        <f>_xlfn.XLOOKUP(VentesMagasins!$B854,Clients!ClientID,Région)</f>
        <v>Centre</v>
      </c>
      <c r="X854" t="str">
        <f>INDEX(TypeClient,MATCH(VentesMagasins!$B854,Clients!ClientID))</f>
        <v>Occasionnel</v>
      </c>
      <c r="Y854" t="str">
        <v>mai</v>
      </c>
    </row>
    <row r="855" spans="1:25" x14ac:dyDescent="0.25">
      <c r="A855" s="2">
        <v>854</v>
      </c>
      <c r="B855" s="12" t="s">
        <v>272</v>
      </c>
      <c r="C855" s="13">
        <v>45466</v>
      </c>
      <c r="D855" s="12" t="s">
        <v>328</v>
      </c>
      <c r="E855" s="14" t="s">
        <v>334</v>
      </c>
      <c r="F855" s="12" t="s">
        <v>330</v>
      </c>
      <c r="G855" s="2">
        <v>5</v>
      </c>
      <c r="H855" s="3">
        <v>279</v>
      </c>
      <c r="I855" s="14" t="s">
        <v>335</v>
      </c>
      <c r="J855" s="12" t="s">
        <v>1114</v>
      </c>
      <c r="K855" s="2">
        <v>0</v>
      </c>
      <c r="L855" s="12" t="s">
        <v>327</v>
      </c>
      <c r="M855">
        <f>YEAR(VentesMagasins!$C855)</f>
        <v>2024</v>
      </c>
      <c r="N855" t="e" cm="1" vm="1">
        <f t="array" aca="1" ref="N855" ca="1">MONTH(DateVente)</f>
        <v>#VALUE!</v>
      </c>
      <c r="O855" t="str">
        <f>PROPER(VentesMagasins!$F855)</f>
        <v>Décoration</v>
      </c>
      <c r="P855">
        <f>VALUE(CLEAN(TRIM(SUBSTITUTE(VentesMagasins!$I855,".",","))))</f>
        <v>0</v>
      </c>
      <c r="Q855">
        <f>VALUE(TRIM(SUBSTITUTE(VentesMagasins!$J855,".",",")))</f>
        <v>1395</v>
      </c>
      <c r="R855">
        <f t="shared" si="39"/>
        <v>1395</v>
      </c>
      <c r="S855">
        <f>IF(VentesMagasins!$K855=1,(-1)*R855,R855)</f>
        <v>1395</v>
      </c>
      <c r="T855">
        <f>IFERROR(VALUE(TRIM(SUBSTITUTE(VentesMagasins!$L855,".",","))),0)</f>
        <v>5</v>
      </c>
      <c r="U855">
        <f t="shared" si="40"/>
        <v>5</v>
      </c>
      <c r="V855" t="str">
        <f t="shared" si="41"/>
        <v>élévé</v>
      </c>
      <c r="W855" t="str">
        <f>_xlfn.XLOOKUP(VentesMagasins!$B855,Clients!ClientID,Région)</f>
        <v>Centre</v>
      </c>
      <c r="X855" t="str">
        <f>INDEX(TypeClient,MATCH(VentesMagasins!$B855,Clients!ClientID))</f>
        <v>Fidèle</v>
      </c>
      <c r="Y855" t="str">
        <v>juin</v>
      </c>
    </row>
    <row r="856" spans="1:25" x14ac:dyDescent="0.25">
      <c r="A856" s="2">
        <v>855</v>
      </c>
      <c r="B856" s="12" t="s">
        <v>84</v>
      </c>
      <c r="C856" s="13">
        <v>45947</v>
      </c>
      <c r="D856" s="12" t="s">
        <v>338</v>
      </c>
      <c r="E856" s="14" t="s">
        <v>362</v>
      </c>
      <c r="F856" s="12" t="s">
        <v>324</v>
      </c>
      <c r="G856" s="2">
        <v>4</v>
      </c>
      <c r="H856" s="3">
        <v>275</v>
      </c>
      <c r="I856" s="14" t="s">
        <v>342</v>
      </c>
      <c r="J856" s="12" t="s">
        <v>452</v>
      </c>
      <c r="K856" s="2">
        <v>0</v>
      </c>
      <c r="L856" s="12" t="s">
        <v>337</v>
      </c>
      <c r="M856">
        <f>YEAR(VentesMagasins!$C856)</f>
        <v>2025</v>
      </c>
      <c r="N856" t="e" cm="1" vm="1">
        <f t="array" aca="1" ref="N856" ca="1">MONTH(DateVente)</f>
        <v>#VALUE!</v>
      </c>
      <c r="O856" t="str">
        <f>PROPER(VentesMagasins!$F856)</f>
        <v>Électronique</v>
      </c>
      <c r="P856">
        <f>VALUE(CLEAN(TRIM(SUBSTITUTE(VentesMagasins!$I856,".",","))))</f>
        <v>0.05</v>
      </c>
      <c r="Q856">
        <f>VALUE(TRIM(SUBSTITUTE(VentesMagasins!$J856,".",",")))</f>
        <v>1045</v>
      </c>
      <c r="R856">
        <f t="shared" si="39"/>
        <v>992.75</v>
      </c>
      <c r="S856">
        <f>IF(VentesMagasins!$K856=1,(-1)*R856,R856)</f>
        <v>992.75</v>
      </c>
      <c r="T856">
        <f>IFERROR(VALUE(TRIM(SUBSTITUTE(VentesMagasins!$L856,".",","))),0)</f>
        <v>3</v>
      </c>
      <c r="U856">
        <f t="shared" si="40"/>
        <v>3</v>
      </c>
      <c r="V856" t="str">
        <f t="shared" si="41"/>
        <v>moyenne</v>
      </c>
      <c r="W856" t="str">
        <f>_xlfn.XLOOKUP(VentesMagasins!$B856,Clients!ClientID,Région)</f>
        <v>Sud</v>
      </c>
      <c r="X856" t="str">
        <f>INDEX(TypeClient,MATCH(VentesMagasins!$B856,Clients!ClientID))</f>
        <v>Occasionnel</v>
      </c>
      <c r="Y856" t="str">
        <v>oct</v>
      </c>
    </row>
    <row r="857" spans="1:25" x14ac:dyDescent="0.25">
      <c r="A857" s="2">
        <v>856</v>
      </c>
      <c r="B857" s="12" t="s">
        <v>163</v>
      </c>
      <c r="C857" s="13">
        <v>45394</v>
      </c>
      <c r="D857" s="12" t="s">
        <v>333</v>
      </c>
      <c r="E857" s="14" t="s">
        <v>334</v>
      </c>
      <c r="F857" s="12" t="s">
        <v>330</v>
      </c>
      <c r="G857" s="2">
        <v>4</v>
      </c>
      <c r="H857" s="3">
        <v>465</v>
      </c>
      <c r="I857" s="14" t="s">
        <v>325</v>
      </c>
      <c r="J857" s="12" t="s">
        <v>1115</v>
      </c>
      <c r="K857" s="2">
        <v>0</v>
      </c>
      <c r="L857" s="12" t="s">
        <v>332</v>
      </c>
      <c r="M857">
        <f>YEAR(VentesMagasins!$C857)</f>
        <v>2024</v>
      </c>
      <c r="N857" t="e" cm="1" vm="1">
        <f t="array" aca="1" ref="N857" ca="1">MONTH(DateVente)</f>
        <v>#VALUE!</v>
      </c>
      <c r="O857" t="str">
        <f>PROPER(VentesMagasins!$F857)</f>
        <v>Décoration</v>
      </c>
      <c r="P857">
        <f>VALUE(CLEAN(TRIM(SUBSTITUTE(VentesMagasins!$I857,".",","))))</f>
        <v>0.15</v>
      </c>
      <c r="Q857">
        <f>VALUE(TRIM(SUBSTITUTE(VentesMagasins!$J857,".",",")))</f>
        <v>1581</v>
      </c>
      <c r="R857">
        <f t="shared" si="39"/>
        <v>1343.85</v>
      </c>
      <c r="S857">
        <f>IF(VentesMagasins!$K857=1,(-1)*R857,R857)</f>
        <v>1343.85</v>
      </c>
      <c r="T857">
        <f>IFERROR(VALUE(TRIM(SUBSTITUTE(VentesMagasins!$L857,".",","))),0)</f>
        <v>4</v>
      </c>
      <c r="U857">
        <f t="shared" si="40"/>
        <v>4</v>
      </c>
      <c r="V857" t="str">
        <f t="shared" si="41"/>
        <v>moyenne</v>
      </c>
      <c r="W857" t="str">
        <f>_xlfn.XLOOKUP(VentesMagasins!$B857,Clients!ClientID,Région)</f>
        <v>Nord</v>
      </c>
      <c r="X857" t="str">
        <f>INDEX(TypeClient,MATCH(VentesMagasins!$B857,Clients!ClientID))</f>
        <v>Nouveau</v>
      </c>
      <c r="Y857" t="str">
        <v>avr</v>
      </c>
    </row>
    <row r="858" spans="1:25" x14ac:dyDescent="0.25">
      <c r="A858" s="2">
        <v>857</v>
      </c>
      <c r="B858" s="12" t="s">
        <v>200</v>
      </c>
      <c r="C858" s="13">
        <v>45897</v>
      </c>
      <c r="D858" s="12" t="s">
        <v>333</v>
      </c>
      <c r="E858" s="14" t="s">
        <v>329</v>
      </c>
      <c r="F858" s="12" t="s">
        <v>330</v>
      </c>
      <c r="G858" s="2">
        <v>1</v>
      </c>
      <c r="H858" s="3">
        <v>56</v>
      </c>
      <c r="I858" s="14" t="s">
        <v>355</v>
      </c>
      <c r="J858" s="12" t="s">
        <v>1116</v>
      </c>
      <c r="K858" s="2">
        <v>1</v>
      </c>
      <c r="L858" s="12" t="s">
        <v>327</v>
      </c>
      <c r="M858">
        <f>YEAR(VentesMagasins!$C858)</f>
        <v>2025</v>
      </c>
      <c r="N858" t="e" cm="1" vm="1">
        <f t="array" aca="1" ref="N858" ca="1">MONTH(DateVente)</f>
        <v>#VALUE!</v>
      </c>
      <c r="O858" t="str">
        <f>PROPER(VentesMagasins!$F858)</f>
        <v>Décoration</v>
      </c>
      <c r="P858">
        <f>VALUE(CLEAN(TRIM(SUBSTITUTE(VentesMagasins!$I858,".",","))))</f>
        <v>0.1</v>
      </c>
      <c r="Q858">
        <f>VALUE(TRIM(SUBSTITUTE(VentesMagasins!$J858,".",",")))</f>
        <v>50.4</v>
      </c>
      <c r="R858">
        <f t="shared" si="39"/>
        <v>45.36</v>
      </c>
      <c r="S858">
        <f>IF(VentesMagasins!$K858=1,(-1)*R858,R858)</f>
        <v>-45.36</v>
      </c>
      <c r="T858">
        <f>IFERROR(VALUE(TRIM(SUBSTITUTE(VentesMagasins!$L858,".",","))),0)</f>
        <v>5</v>
      </c>
      <c r="U858">
        <f t="shared" si="40"/>
        <v>5</v>
      </c>
      <c r="V858" t="str">
        <f t="shared" si="41"/>
        <v>élévé</v>
      </c>
      <c r="W858" t="str">
        <f>_xlfn.XLOOKUP(VentesMagasins!$B858,Clients!ClientID,Région)</f>
        <v>Nord</v>
      </c>
      <c r="X858" t="str">
        <f>INDEX(TypeClient,MATCH(VentesMagasins!$B858,Clients!ClientID))</f>
        <v>Occasionnel</v>
      </c>
      <c r="Y858" t="str">
        <v>août</v>
      </c>
    </row>
    <row r="859" spans="1:25" x14ac:dyDescent="0.25">
      <c r="A859" s="2">
        <v>858</v>
      </c>
      <c r="B859" s="12" t="s">
        <v>115</v>
      </c>
      <c r="C859" s="13">
        <v>45225</v>
      </c>
      <c r="D859" s="12" t="s">
        <v>350</v>
      </c>
      <c r="E859" s="14" t="s">
        <v>334</v>
      </c>
      <c r="F859" s="12" t="s">
        <v>324</v>
      </c>
      <c r="G859" s="2">
        <v>5</v>
      </c>
      <c r="H859" s="3">
        <v>109</v>
      </c>
      <c r="I859" s="14" t="s">
        <v>335</v>
      </c>
      <c r="J859" s="12" t="s">
        <v>1117</v>
      </c>
      <c r="K859" s="2">
        <v>0</v>
      </c>
      <c r="L859" s="12" t="s">
        <v>327</v>
      </c>
      <c r="M859">
        <f>YEAR(VentesMagasins!$C859)</f>
        <v>2023</v>
      </c>
      <c r="N859" t="e" cm="1" vm="1">
        <f t="array" aca="1" ref="N859" ca="1">MONTH(DateVente)</f>
        <v>#VALUE!</v>
      </c>
      <c r="O859" t="str">
        <f>PROPER(VentesMagasins!$F859)</f>
        <v>Électronique</v>
      </c>
      <c r="P859">
        <f>VALUE(CLEAN(TRIM(SUBSTITUTE(VentesMagasins!$I859,".",","))))</f>
        <v>0</v>
      </c>
      <c r="Q859">
        <f>VALUE(TRIM(SUBSTITUTE(VentesMagasins!$J859,".",",")))</f>
        <v>545</v>
      </c>
      <c r="R859">
        <f t="shared" si="39"/>
        <v>545</v>
      </c>
      <c r="S859">
        <f>IF(VentesMagasins!$K859=1,(-1)*R859,R859)</f>
        <v>545</v>
      </c>
      <c r="T859">
        <f>IFERROR(VALUE(TRIM(SUBSTITUTE(VentesMagasins!$L859,".",","))),0)</f>
        <v>5</v>
      </c>
      <c r="U859">
        <f t="shared" si="40"/>
        <v>5</v>
      </c>
      <c r="V859" t="str">
        <f t="shared" si="41"/>
        <v>élévé</v>
      </c>
      <c r="W859" t="str">
        <f>_xlfn.XLOOKUP(VentesMagasins!$B859,Clients!ClientID,Région)</f>
        <v>Centre</v>
      </c>
      <c r="X859" t="str">
        <f>INDEX(TypeClient,MATCH(VentesMagasins!$B859,Clients!ClientID))</f>
        <v>Fidèle</v>
      </c>
      <c r="Y859" t="str">
        <v>oct</v>
      </c>
    </row>
    <row r="860" spans="1:25" x14ac:dyDescent="0.25">
      <c r="A860" s="2">
        <v>859</v>
      </c>
      <c r="B860" s="12" t="s">
        <v>214</v>
      </c>
      <c r="C860" s="13">
        <v>45609</v>
      </c>
      <c r="D860" s="12" t="s">
        <v>322</v>
      </c>
      <c r="E860" s="14" t="s">
        <v>339</v>
      </c>
      <c r="F860" s="12" t="s">
        <v>341</v>
      </c>
      <c r="G860" s="2">
        <v>4</v>
      </c>
      <c r="H860" s="3">
        <v>244</v>
      </c>
      <c r="I860" s="14" t="s">
        <v>335</v>
      </c>
      <c r="J860" s="12" t="s">
        <v>1118</v>
      </c>
      <c r="K860" s="2">
        <v>0</v>
      </c>
      <c r="L860" s="12" t="s">
        <v>337</v>
      </c>
      <c r="M860">
        <f>YEAR(VentesMagasins!$C860)</f>
        <v>2024</v>
      </c>
      <c r="N860" t="e" cm="1" vm="1">
        <f t="array" aca="1" ref="N860" ca="1">MONTH(DateVente)</f>
        <v>#VALUE!</v>
      </c>
      <c r="O860" t="str">
        <f>PROPER(VentesMagasins!$F860)</f>
        <v>Meuble</v>
      </c>
      <c r="P860">
        <f>VALUE(CLEAN(TRIM(SUBSTITUTE(VentesMagasins!$I860,".",","))))</f>
        <v>0</v>
      </c>
      <c r="Q860">
        <f>VALUE(TRIM(SUBSTITUTE(VentesMagasins!$J860,".",",")))</f>
        <v>976</v>
      </c>
      <c r="R860">
        <f t="shared" si="39"/>
        <v>976</v>
      </c>
      <c r="S860">
        <f>IF(VentesMagasins!$K860=1,(-1)*R860,R860)</f>
        <v>976</v>
      </c>
      <c r="T860">
        <f>IFERROR(VALUE(TRIM(SUBSTITUTE(VentesMagasins!$L860,".",","))),0)</f>
        <v>3</v>
      </c>
      <c r="U860">
        <f t="shared" si="40"/>
        <v>3</v>
      </c>
      <c r="V860" t="str">
        <f t="shared" si="41"/>
        <v>moyenne</v>
      </c>
      <c r="W860" t="str">
        <f>_xlfn.XLOOKUP(VentesMagasins!$B860,Clients!ClientID,Région)</f>
        <v>Ouest</v>
      </c>
      <c r="X860" t="str">
        <f>INDEX(TypeClient,MATCH(VentesMagasins!$B860,Clients!ClientID))</f>
        <v>Occasionnel</v>
      </c>
      <c r="Y860" t="str">
        <v>nov</v>
      </c>
    </row>
    <row r="861" spans="1:25" x14ac:dyDescent="0.25">
      <c r="A861" s="2">
        <v>860</v>
      </c>
      <c r="B861" s="12" t="s">
        <v>306</v>
      </c>
      <c r="C861" s="13">
        <v>45362</v>
      </c>
      <c r="D861" s="12" t="s">
        <v>333</v>
      </c>
      <c r="E861" s="14" t="s">
        <v>345</v>
      </c>
      <c r="F861" s="12" t="s">
        <v>341</v>
      </c>
      <c r="G861" s="2">
        <v>1</v>
      </c>
      <c r="H861" s="3">
        <v>498</v>
      </c>
      <c r="I861" s="14" t="s">
        <v>342</v>
      </c>
      <c r="J861" s="12" t="s">
        <v>1119</v>
      </c>
      <c r="K861" s="2">
        <v>0</v>
      </c>
      <c r="L861" s="12" t="s">
        <v>327</v>
      </c>
      <c r="M861">
        <f>YEAR(VentesMagasins!$C861)</f>
        <v>2024</v>
      </c>
      <c r="N861" t="e" cm="1" vm="1">
        <f t="array" aca="1" ref="N861" ca="1">MONTH(DateVente)</f>
        <v>#VALUE!</v>
      </c>
      <c r="O861" t="str">
        <f>PROPER(VentesMagasins!$F861)</f>
        <v>Meuble</v>
      </c>
      <c r="P861">
        <f>VALUE(CLEAN(TRIM(SUBSTITUTE(VentesMagasins!$I861,".",","))))</f>
        <v>0.05</v>
      </c>
      <c r="Q861">
        <f>VALUE(TRIM(SUBSTITUTE(VentesMagasins!$J861,".",",")))</f>
        <v>473.099999999999</v>
      </c>
      <c r="R861">
        <f t="shared" si="39"/>
        <v>449.44499999999903</v>
      </c>
      <c r="S861">
        <f>IF(VentesMagasins!$K861=1,(-1)*R861,R861)</f>
        <v>449.44499999999903</v>
      </c>
      <c r="T861">
        <f>IFERROR(VALUE(TRIM(SUBSTITUTE(VentesMagasins!$L861,".",","))),0)</f>
        <v>5</v>
      </c>
      <c r="U861">
        <f t="shared" si="40"/>
        <v>5</v>
      </c>
      <c r="V861" t="str">
        <f t="shared" si="41"/>
        <v>élévé</v>
      </c>
      <c r="W861" t="str">
        <f>_xlfn.XLOOKUP(VentesMagasins!$B861,Clients!ClientID,Région)</f>
        <v>Sud</v>
      </c>
      <c r="X861" t="str">
        <f>INDEX(TypeClient,MATCH(VentesMagasins!$B861,Clients!ClientID))</f>
        <v>Nouveau</v>
      </c>
      <c r="Y861" t="str">
        <v>mars</v>
      </c>
    </row>
    <row r="862" spans="1:25" x14ac:dyDescent="0.25">
      <c r="A862" s="2">
        <v>861</v>
      </c>
      <c r="B862" s="12" t="s">
        <v>15</v>
      </c>
      <c r="C862" s="13">
        <v>45031</v>
      </c>
      <c r="D862" s="12" t="s">
        <v>338</v>
      </c>
      <c r="E862" s="14" t="s">
        <v>323</v>
      </c>
      <c r="F862" s="12" t="s">
        <v>324</v>
      </c>
      <c r="G862" s="2">
        <v>5</v>
      </c>
      <c r="H862" s="3">
        <v>348</v>
      </c>
      <c r="I862" s="14" t="s">
        <v>335</v>
      </c>
      <c r="J862" s="12" t="s">
        <v>1120</v>
      </c>
      <c r="K862" s="2">
        <v>0</v>
      </c>
      <c r="L862" s="12" t="s">
        <v>369</v>
      </c>
      <c r="M862">
        <f>YEAR(VentesMagasins!$C862)</f>
        <v>2023</v>
      </c>
      <c r="N862" t="e" cm="1" vm="1">
        <f t="array" aca="1" ref="N862" ca="1">MONTH(DateVente)</f>
        <v>#VALUE!</v>
      </c>
      <c r="O862" t="str">
        <f>PROPER(VentesMagasins!$F862)</f>
        <v>Électronique</v>
      </c>
      <c r="P862">
        <f>VALUE(CLEAN(TRIM(SUBSTITUTE(VentesMagasins!$I862,".",","))))</f>
        <v>0</v>
      </c>
      <c r="Q862">
        <f>VALUE(TRIM(SUBSTITUTE(VentesMagasins!$J862,".",",")))</f>
        <v>1740</v>
      </c>
      <c r="R862">
        <f t="shared" si="39"/>
        <v>1740</v>
      </c>
      <c r="S862">
        <f>IF(VentesMagasins!$K862=1,(-1)*R862,R862)</f>
        <v>1740</v>
      </c>
      <c r="T862">
        <f>IFERROR(VALUE(TRIM(SUBSTITUTE(VentesMagasins!$L862,".",","))),0)</f>
        <v>1</v>
      </c>
      <c r="U862">
        <f t="shared" si="40"/>
        <v>1</v>
      </c>
      <c r="V862" t="str">
        <f t="shared" si="41"/>
        <v>faible</v>
      </c>
      <c r="W862" t="str">
        <f>_xlfn.XLOOKUP(VentesMagasins!$B862,Clients!ClientID,Région)</f>
        <v>Ouest</v>
      </c>
      <c r="X862" t="str">
        <f>INDEX(TypeClient,MATCH(VentesMagasins!$B862,Clients!ClientID))</f>
        <v>Occasionnel</v>
      </c>
      <c r="Y862" t="str">
        <v>avr</v>
      </c>
    </row>
    <row r="863" spans="1:25" x14ac:dyDescent="0.25">
      <c r="A863" s="2">
        <v>862</v>
      </c>
      <c r="B863" s="12" t="s">
        <v>216</v>
      </c>
      <c r="C863" s="13">
        <v>44964</v>
      </c>
      <c r="D863" s="12" t="s">
        <v>350</v>
      </c>
      <c r="E863" s="14" t="s">
        <v>329</v>
      </c>
      <c r="F863" s="12" t="s">
        <v>330</v>
      </c>
      <c r="G863" s="2">
        <v>5</v>
      </c>
      <c r="H863" s="3">
        <v>185</v>
      </c>
      <c r="I863" s="14" t="s">
        <v>335</v>
      </c>
      <c r="J863" s="12" t="s">
        <v>1121</v>
      </c>
      <c r="K863" s="2">
        <v>0</v>
      </c>
      <c r="L863" s="12" t="s">
        <v>352</v>
      </c>
      <c r="M863">
        <f>YEAR(VentesMagasins!$C863)</f>
        <v>2023</v>
      </c>
      <c r="N863" t="e" cm="1" vm="1">
        <f t="array" aca="1" ref="N863" ca="1">MONTH(DateVente)</f>
        <v>#VALUE!</v>
      </c>
      <c r="O863" t="str">
        <f>PROPER(VentesMagasins!$F863)</f>
        <v>Décoration</v>
      </c>
      <c r="P863">
        <f>VALUE(CLEAN(TRIM(SUBSTITUTE(VentesMagasins!$I863,".",","))))</f>
        <v>0</v>
      </c>
      <c r="Q863">
        <f>VALUE(TRIM(SUBSTITUTE(VentesMagasins!$J863,".",",")))</f>
        <v>925</v>
      </c>
      <c r="R863">
        <f t="shared" si="39"/>
        <v>925</v>
      </c>
      <c r="S863">
        <f>IF(VentesMagasins!$K863=1,(-1)*R863,R863)</f>
        <v>925</v>
      </c>
      <c r="T863">
        <f>IFERROR(VALUE(TRIM(SUBSTITUTE(VentesMagasins!$L863,".",","))),0)</f>
        <v>0</v>
      </c>
      <c r="U863">
        <f t="shared" si="40"/>
        <v>3</v>
      </c>
      <c r="V863" t="str">
        <f t="shared" si="41"/>
        <v>moyenne</v>
      </c>
      <c r="W863" t="str">
        <f>_xlfn.XLOOKUP(VentesMagasins!$B863,Clients!ClientID,Région)</f>
        <v>Est</v>
      </c>
      <c r="X863" t="str">
        <f>INDEX(TypeClient,MATCH(VentesMagasins!$B863,Clients!ClientID))</f>
        <v>Fidèle</v>
      </c>
      <c r="Y863" t="str">
        <v>févr</v>
      </c>
    </row>
    <row r="864" spans="1:25" x14ac:dyDescent="0.25">
      <c r="A864" s="2">
        <v>863</v>
      </c>
      <c r="B864" s="12" t="s">
        <v>184</v>
      </c>
      <c r="C864" s="13">
        <v>45096</v>
      </c>
      <c r="D864" s="12" t="s">
        <v>333</v>
      </c>
      <c r="E864" s="14" t="s">
        <v>329</v>
      </c>
      <c r="F864" s="12" t="s">
        <v>324</v>
      </c>
      <c r="G864" s="2">
        <v>2</v>
      </c>
      <c r="H864" s="3">
        <v>82</v>
      </c>
      <c r="I864" s="14" t="s">
        <v>355</v>
      </c>
      <c r="J864" s="12" t="s">
        <v>602</v>
      </c>
      <c r="K864" s="2">
        <v>0</v>
      </c>
      <c r="L864" s="12" t="s">
        <v>352</v>
      </c>
      <c r="M864">
        <f>YEAR(VentesMagasins!$C864)</f>
        <v>2023</v>
      </c>
      <c r="N864" t="e" cm="1" vm="1">
        <f t="array" aca="1" ref="N864" ca="1">MONTH(DateVente)</f>
        <v>#VALUE!</v>
      </c>
      <c r="O864" t="str">
        <f>PROPER(VentesMagasins!$F864)</f>
        <v>Électronique</v>
      </c>
      <c r="P864">
        <f>VALUE(CLEAN(TRIM(SUBSTITUTE(VentesMagasins!$I864,".",","))))</f>
        <v>0.1</v>
      </c>
      <c r="Q864">
        <f>VALUE(TRIM(SUBSTITUTE(VentesMagasins!$J864,".",",")))</f>
        <v>147.6</v>
      </c>
      <c r="R864">
        <f t="shared" si="39"/>
        <v>132.84</v>
      </c>
      <c r="S864">
        <f>IF(VentesMagasins!$K864=1,(-1)*R864,R864)</f>
        <v>132.84</v>
      </c>
      <c r="T864">
        <f>IFERROR(VALUE(TRIM(SUBSTITUTE(VentesMagasins!$L864,".",","))),0)</f>
        <v>0</v>
      </c>
      <c r="U864">
        <f t="shared" si="40"/>
        <v>3</v>
      </c>
      <c r="V864" t="str">
        <f t="shared" si="41"/>
        <v>moyenne</v>
      </c>
      <c r="W864" t="str">
        <f>_xlfn.XLOOKUP(VentesMagasins!$B864,Clients!ClientID,Région)</f>
        <v>Sud</v>
      </c>
      <c r="X864" t="str">
        <f>INDEX(TypeClient,MATCH(VentesMagasins!$B864,Clients!ClientID))</f>
        <v>Nouveau</v>
      </c>
      <c r="Y864" t="str">
        <v>juin</v>
      </c>
    </row>
    <row r="865" spans="1:25" x14ac:dyDescent="0.25">
      <c r="A865" s="2">
        <v>864</v>
      </c>
      <c r="B865" s="12" t="s">
        <v>220</v>
      </c>
      <c r="C865" s="13">
        <v>45279</v>
      </c>
      <c r="D865" s="12" t="s">
        <v>338</v>
      </c>
      <c r="E865" s="14" t="s">
        <v>362</v>
      </c>
      <c r="F865" s="12" t="s">
        <v>330</v>
      </c>
      <c r="G865" s="2">
        <v>2</v>
      </c>
      <c r="H865" s="3">
        <v>186</v>
      </c>
      <c r="I865" s="14" t="s">
        <v>342</v>
      </c>
      <c r="J865" s="12" t="s">
        <v>1122</v>
      </c>
      <c r="K865" s="2">
        <v>1</v>
      </c>
      <c r="L865" s="12" t="s">
        <v>369</v>
      </c>
      <c r="M865">
        <f>YEAR(VentesMagasins!$C865)</f>
        <v>2023</v>
      </c>
      <c r="N865" t="e" cm="1" vm="1">
        <f t="array" aca="1" ref="N865" ca="1">MONTH(DateVente)</f>
        <v>#VALUE!</v>
      </c>
      <c r="O865" t="str">
        <f>PROPER(VentesMagasins!$F865)</f>
        <v>Décoration</v>
      </c>
      <c r="P865">
        <f>VALUE(CLEAN(TRIM(SUBSTITUTE(VentesMagasins!$I865,".",","))))</f>
        <v>0.05</v>
      </c>
      <c r="Q865">
        <f>VALUE(TRIM(SUBSTITUTE(VentesMagasins!$J865,".",",")))</f>
        <v>353.4</v>
      </c>
      <c r="R865">
        <f t="shared" si="39"/>
        <v>335.72999999999996</v>
      </c>
      <c r="S865">
        <f>IF(VentesMagasins!$K865=1,(-1)*R865,R865)</f>
        <v>-335.72999999999996</v>
      </c>
      <c r="T865">
        <f>IFERROR(VALUE(TRIM(SUBSTITUTE(VentesMagasins!$L865,".",","))),0)</f>
        <v>1</v>
      </c>
      <c r="U865">
        <f t="shared" si="40"/>
        <v>1</v>
      </c>
      <c r="V865" t="str">
        <f t="shared" si="41"/>
        <v>faible</v>
      </c>
      <c r="W865" t="str">
        <f>_xlfn.XLOOKUP(VentesMagasins!$B865,Clients!ClientID,Région)</f>
        <v>Centre</v>
      </c>
      <c r="X865" t="str">
        <f>INDEX(TypeClient,MATCH(VentesMagasins!$B865,Clients!ClientID))</f>
        <v>Occasionnel</v>
      </c>
      <c r="Y865" t="str">
        <v>déc</v>
      </c>
    </row>
    <row r="866" spans="1:25" x14ac:dyDescent="0.25">
      <c r="A866" s="2">
        <v>865</v>
      </c>
      <c r="B866" s="12" t="s">
        <v>111</v>
      </c>
      <c r="C866" s="13">
        <v>45552</v>
      </c>
      <c r="D866" s="12" t="s">
        <v>328</v>
      </c>
      <c r="E866" s="14" t="s">
        <v>362</v>
      </c>
      <c r="F866" s="12" t="s">
        <v>324</v>
      </c>
      <c r="G866" s="2">
        <v>4</v>
      </c>
      <c r="H866" s="3">
        <v>469</v>
      </c>
      <c r="I866" s="14" t="s">
        <v>342</v>
      </c>
      <c r="J866" s="12" t="s">
        <v>1123</v>
      </c>
      <c r="K866" s="2">
        <v>1</v>
      </c>
      <c r="L866" s="12" t="s">
        <v>352</v>
      </c>
      <c r="M866">
        <f>YEAR(VentesMagasins!$C866)</f>
        <v>2024</v>
      </c>
      <c r="N866" t="e" cm="1" vm="1">
        <f t="array" aca="1" ref="N866" ca="1">MONTH(DateVente)</f>
        <v>#VALUE!</v>
      </c>
      <c r="O866" t="str">
        <f>PROPER(VentesMagasins!$F866)</f>
        <v>Électronique</v>
      </c>
      <c r="P866">
        <f>VALUE(CLEAN(TRIM(SUBSTITUTE(VentesMagasins!$I866,".",","))))</f>
        <v>0.05</v>
      </c>
      <c r="Q866">
        <f>VALUE(TRIM(SUBSTITUTE(VentesMagasins!$J866,".",",")))</f>
        <v>1782.19999999999</v>
      </c>
      <c r="R866">
        <f t="shared" si="39"/>
        <v>1693.0899999999904</v>
      </c>
      <c r="S866">
        <f>IF(VentesMagasins!$K866=1,(-1)*R866,R866)</f>
        <v>-1693.0899999999904</v>
      </c>
      <c r="T866">
        <f>IFERROR(VALUE(TRIM(SUBSTITUTE(VentesMagasins!$L866,".",","))),0)</f>
        <v>0</v>
      </c>
      <c r="U866">
        <f t="shared" si="40"/>
        <v>3</v>
      </c>
      <c r="V866" t="str">
        <f t="shared" si="41"/>
        <v>moyenne</v>
      </c>
      <c r="W866" t="str">
        <f>_xlfn.XLOOKUP(VentesMagasins!$B866,Clients!ClientID,Région)</f>
        <v>Nord</v>
      </c>
      <c r="X866" t="str">
        <f>INDEX(TypeClient,MATCH(VentesMagasins!$B866,Clients!ClientID))</f>
        <v>Nouveau</v>
      </c>
      <c r="Y866" t="str">
        <v>sept</v>
      </c>
    </row>
    <row r="867" spans="1:25" x14ac:dyDescent="0.25">
      <c r="A867" s="2">
        <v>866</v>
      </c>
      <c r="B867" s="12" t="s">
        <v>31</v>
      </c>
      <c r="C867" s="13">
        <v>45537</v>
      </c>
      <c r="D867" s="12" t="s">
        <v>322</v>
      </c>
      <c r="E867" s="14" t="s">
        <v>345</v>
      </c>
      <c r="F867" s="12" t="s">
        <v>324</v>
      </c>
      <c r="G867" s="2">
        <v>5</v>
      </c>
      <c r="H867" s="3">
        <v>222</v>
      </c>
      <c r="I867" s="14" t="s">
        <v>335</v>
      </c>
      <c r="J867" s="12" t="s">
        <v>1124</v>
      </c>
      <c r="K867" s="2">
        <v>0</v>
      </c>
      <c r="L867" s="12" t="s">
        <v>352</v>
      </c>
      <c r="M867">
        <f>YEAR(VentesMagasins!$C867)</f>
        <v>2024</v>
      </c>
      <c r="N867" t="e" cm="1" vm="1">
        <f t="array" aca="1" ref="N867" ca="1">MONTH(DateVente)</f>
        <v>#VALUE!</v>
      </c>
      <c r="O867" t="str">
        <f>PROPER(VentesMagasins!$F867)</f>
        <v>Électronique</v>
      </c>
      <c r="P867">
        <f>VALUE(CLEAN(TRIM(SUBSTITUTE(VentesMagasins!$I867,".",","))))</f>
        <v>0</v>
      </c>
      <c r="Q867">
        <f>VALUE(TRIM(SUBSTITUTE(VentesMagasins!$J867,".",",")))</f>
        <v>1110</v>
      </c>
      <c r="R867">
        <f t="shared" si="39"/>
        <v>1110</v>
      </c>
      <c r="S867">
        <f>IF(VentesMagasins!$K867=1,(-1)*R867,R867)</f>
        <v>1110</v>
      </c>
      <c r="T867">
        <f>IFERROR(VALUE(TRIM(SUBSTITUTE(VentesMagasins!$L867,".",","))),0)</f>
        <v>0</v>
      </c>
      <c r="U867">
        <f t="shared" si="40"/>
        <v>3</v>
      </c>
      <c r="V867" t="str">
        <f t="shared" si="41"/>
        <v>moyenne</v>
      </c>
      <c r="W867" t="str">
        <f>_xlfn.XLOOKUP(VentesMagasins!$B867,Clients!ClientID,Région)</f>
        <v>Sud</v>
      </c>
      <c r="X867" t="str">
        <f>INDEX(TypeClient,MATCH(VentesMagasins!$B867,Clients!ClientID))</f>
        <v>Occasionnel</v>
      </c>
      <c r="Y867" t="str">
        <v>sept</v>
      </c>
    </row>
    <row r="868" spans="1:25" x14ac:dyDescent="0.25">
      <c r="A868" s="2">
        <v>867</v>
      </c>
      <c r="B868" s="12" t="s">
        <v>250</v>
      </c>
      <c r="C868" s="13">
        <v>45076</v>
      </c>
      <c r="D868" s="12" t="s">
        <v>322</v>
      </c>
      <c r="E868" s="14" t="s">
        <v>323</v>
      </c>
      <c r="F868" s="12" t="s">
        <v>341</v>
      </c>
      <c r="G868" s="2">
        <v>4</v>
      </c>
      <c r="H868" s="3">
        <v>58</v>
      </c>
      <c r="I868" s="14" t="s">
        <v>325</v>
      </c>
      <c r="J868" s="12" t="s">
        <v>1125</v>
      </c>
      <c r="K868" s="2">
        <v>0</v>
      </c>
      <c r="L868" s="12" t="s">
        <v>332</v>
      </c>
      <c r="M868">
        <f>YEAR(VentesMagasins!$C868)</f>
        <v>2023</v>
      </c>
      <c r="N868" t="e" cm="1" vm="1">
        <f t="array" aca="1" ref="N868" ca="1">MONTH(DateVente)</f>
        <v>#VALUE!</v>
      </c>
      <c r="O868" t="str">
        <f>PROPER(VentesMagasins!$F868)</f>
        <v>Meuble</v>
      </c>
      <c r="P868">
        <f>VALUE(CLEAN(TRIM(SUBSTITUTE(VentesMagasins!$I868,".",","))))</f>
        <v>0.15</v>
      </c>
      <c r="Q868">
        <f>VALUE(TRIM(SUBSTITUTE(VentesMagasins!$J868,".",",")))</f>
        <v>197.2</v>
      </c>
      <c r="R868">
        <f t="shared" si="39"/>
        <v>167.61999999999998</v>
      </c>
      <c r="S868">
        <f>IF(VentesMagasins!$K868=1,(-1)*R868,R868)</f>
        <v>167.61999999999998</v>
      </c>
      <c r="T868">
        <f>IFERROR(VALUE(TRIM(SUBSTITUTE(VentesMagasins!$L868,".",","))),0)</f>
        <v>4</v>
      </c>
      <c r="U868">
        <f t="shared" si="40"/>
        <v>4</v>
      </c>
      <c r="V868" t="str">
        <f t="shared" si="41"/>
        <v>moyenne</v>
      </c>
      <c r="W868" t="str">
        <f>_xlfn.XLOOKUP(VentesMagasins!$B868,Clients!ClientID,Région)</f>
        <v>Centre</v>
      </c>
      <c r="X868" t="str">
        <f>INDEX(TypeClient,MATCH(VentesMagasins!$B868,Clients!ClientID))</f>
        <v>Fidèle</v>
      </c>
      <c r="Y868" t="str">
        <v>mai</v>
      </c>
    </row>
    <row r="869" spans="1:25" x14ac:dyDescent="0.25">
      <c r="A869" s="2">
        <v>868</v>
      </c>
      <c r="B869" s="12" t="s">
        <v>200</v>
      </c>
      <c r="C869" s="13">
        <v>45793</v>
      </c>
      <c r="D869" s="12" t="s">
        <v>350</v>
      </c>
      <c r="E869" s="14" t="s">
        <v>334</v>
      </c>
      <c r="F869" s="12" t="s">
        <v>330</v>
      </c>
      <c r="G869" s="2">
        <v>2</v>
      </c>
      <c r="H869" s="3">
        <v>227</v>
      </c>
      <c r="I869" s="14" t="s">
        <v>342</v>
      </c>
      <c r="J869" s="12" t="s">
        <v>1126</v>
      </c>
      <c r="K869" s="2">
        <v>0</v>
      </c>
      <c r="L869" s="12" t="s">
        <v>369</v>
      </c>
      <c r="M869">
        <f>YEAR(VentesMagasins!$C869)</f>
        <v>2025</v>
      </c>
      <c r="N869" t="e" cm="1" vm="1">
        <f t="array" aca="1" ref="N869" ca="1">MONTH(DateVente)</f>
        <v>#VALUE!</v>
      </c>
      <c r="O869" t="str">
        <f>PROPER(VentesMagasins!$F869)</f>
        <v>Décoration</v>
      </c>
      <c r="P869">
        <f>VALUE(CLEAN(TRIM(SUBSTITUTE(VentesMagasins!$I869,".",","))))</f>
        <v>0.05</v>
      </c>
      <c r="Q869">
        <f>VALUE(TRIM(SUBSTITUTE(VentesMagasins!$J869,".",",")))</f>
        <v>431.29999999999899</v>
      </c>
      <c r="R869">
        <f t="shared" si="39"/>
        <v>409.73499999999905</v>
      </c>
      <c r="S869">
        <f>IF(VentesMagasins!$K869=1,(-1)*R869,R869)</f>
        <v>409.73499999999905</v>
      </c>
      <c r="T869">
        <f>IFERROR(VALUE(TRIM(SUBSTITUTE(VentesMagasins!$L869,".",","))),0)</f>
        <v>1</v>
      </c>
      <c r="U869">
        <f t="shared" si="40"/>
        <v>1</v>
      </c>
      <c r="V869" t="str">
        <f t="shared" si="41"/>
        <v>faible</v>
      </c>
      <c r="W869" t="str">
        <f>_xlfn.XLOOKUP(VentesMagasins!$B869,Clients!ClientID,Région)</f>
        <v>Nord</v>
      </c>
      <c r="X869" t="str">
        <f>INDEX(TypeClient,MATCH(VentesMagasins!$B869,Clients!ClientID))</f>
        <v>Occasionnel</v>
      </c>
      <c r="Y869" t="str">
        <v>mai</v>
      </c>
    </row>
    <row r="870" spans="1:25" x14ac:dyDescent="0.25">
      <c r="A870" s="2">
        <v>869</v>
      </c>
      <c r="B870" s="12" t="s">
        <v>170</v>
      </c>
      <c r="C870" s="13">
        <v>45997</v>
      </c>
      <c r="D870" s="12" t="s">
        <v>449</v>
      </c>
      <c r="E870" s="14" t="s">
        <v>323</v>
      </c>
      <c r="F870" s="12" t="s">
        <v>330</v>
      </c>
      <c r="G870" s="2">
        <v>5</v>
      </c>
      <c r="H870" s="3">
        <v>439</v>
      </c>
      <c r="I870" s="14" t="s">
        <v>355</v>
      </c>
      <c r="J870" s="12" t="s">
        <v>1127</v>
      </c>
      <c r="K870" s="2">
        <v>1</v>
      </c>
      <c r="L870" s="12" t="s">
        <v>327</v>
      </c>
      <c r="M870">
        <f>YEAR(VentesMagasins!$C870)</f>
        <v>2025</v>
      </c>
      <c r="N870" t="e" cm="1" vm="1">
        <f t="array" aca="1" ref="N870" ca="1">MONTH(DateVente)</f>
        <v>#VALUE!</v>
      </c>
      <c r="O870" t="str">
        <f>PROPER(VentesMagasins!$F870)</f>
        <v>Décoration</v>
      </c>
      <c r="P870">
        <f>VALUE(CLEAN(TRIM(SUBSTITUTE(VentesMagasins!$I870,".",","))))</f>
        <v>0.1</v>
      </c>
      <c r="Q870">
        <f>VALUE(TRIM(SUBSTITUTE(VentesMagasins!$J870,".",",")))</f>
        <v>1975.5</v>
      </c>
      <c r="R870">
        <f t="shared" si="39"/>
        <v>1777.95</v>
      </c>
      <c r="S870">
        <f>IF(VentesMagasins!$K870=1,(-1)*R870,R870)</f>
        <v>-1777.95</v>
      </c>
      <c r="T870">
        <f>IFERROR(VALUE(TRIM(SUBSTITUTE(VentesMagasins!$L870,".",","))),0)</f>
        <v>5</v>
      </c>
      <c r="U870">
        <f t="shared" si="40"/>
        <v>5</v>
      </c>
      <c r="V870" t="str">
        <f t="shared" si="41"/>
        <v>élévé</v>
      </c>
      <c r="W870" t="str">
        <f>_xlfn.XLOOKUP(VentesMagasins!$B870,Clients!ClientID,Région)</f>
        <v>Sud</v>
      </c>
      <c r="X870" t="str">
        <f>INDEX(TypeClient,MATCH(VentesMagasins!$B870,Clients!ClientID))</f>
        <v>Fidèle</v>
      </c>
      <c r="Y870" t="str">
        <v>déc</v>
      </c>
    </row>
    <row r="871" spans="1:25" x14ac:dyDescent="0.25">
      <c r="A871" s="2">
        <v>870</v>
      </c>
      <c r="B871" s="12" t="s">
        <v>227</v>
      </c>
      <c r="C871" s="13">
        <v>45381</v>
      </c>
      <c r="D871" s="12" t="s">
        <v>350</v>
      </c>
      <c r="E871" s="14" t="s">
        <v>329</v>
      </c>
      <c r="F871" s="12" t="s">
        <v>341</v>
      </c>
      <c r="G871" s="2">
        <v>4</v>
      </c>
      <c r="H871" s="3">
        <v>390</v>
      </c>
      <c r="I871" s="14" t="s">
        <v>325</v>
      </c>
      <c r="J871" s="12" t="s">
        <v>1128</v>
      </c>
      <c r="K871" s="2">
        <v>1</v>
      </c>
      <c r="L871" s="12" t="s">
        <v>352</v>
      </c>
      <c r="M871">
        <f>YEAR(VentesMagasins!$C871)</f>
        <v>2024</v>
      </c>
      <c r="N871" t="e" cm="1" vm="1">
        <f t="array" aca="1" ref="N871" ca="1">MONTH(DateVente)</f>
        <v>#VALUE!</v>
      </c>
      <c r="O871" t="str">
        <f>PROPER(VentesMagasins!$F871)</f>
        <v>Meuble</v>
      </c>
      <c r="P871">
        <f>VALUE(CLEAN(TRIM(SUBSTITUTE(VentesMagasins!$I871,".",","))))</f>
        <v>0.15</v>
      </c>
      <c r="Q871">
        <f>VALUE(TRIM(SUBSTITUTE(VentesMagasins!$J871,".",",")))</f>
        <v>1326</v>
      </c>
      <c r="R871">
        <f t="shared" si="39"/>
        <v>1127.0999999999999</v>
      </c>
      <c r="S871">
        <f>IF(VentesMagasins!$K871=1,(-1)*R871,R871)</f>
        <v>-1127.0999999999999</v>
      </c>
      <c r="T871">
        <f>IFERROR(VALUE(TRIM(SUBSTITUTE(VentesMagasins!$L871,".",","))),0)</f>
        <v>0</v>
      </c>
      <c r="U871">
        <f t="shared" si="40"/>
        <v>3</v>
      </c>
      <c r="V871" t="str">
        <f t="shared" si="41"/>
        <v>moyenne</v>
      </c>
      <c r="W871" t="str">
        <f>_xlfn.XLOOKUP(VentesMagasins!$B871,Clients!ClientID,Région)</f>
        <v>Sud</v>
      </c>
      <c r="X871" t="str">
        <f>INDEX(TypeClient,MATCH(VentesMagasins!$B871,Clients!ClientID))</f>
        <v>Fidèle</v>
      </c>
      <c r="Y871" t="str">
        <v>mars</v>
      </c>
    </row>
    <row r="872" spans="1:25" x14ac:dyDescent="0.25">
      <c r="A872" s="2">
        <v>871</v>
      </c>
      <c r="B872" s="12" t="s">
        <v>255</v>
      </c>
      <c r="C872" s="13">
        <v>44929</v>
      </c>
      <c r="D872" s="12" t="s">
        <v>350</v>
      </c>
      <c r="E872" s="14" t="s">
        <v>334</v>
      </c>
      <c r="F872" s="12" t="s">
        <v>330</v>
      </c>
      <c r="G872" s="2">
        <v>2</v>
      </c>
      <c r="H872" s="3">
        <v>486</v>
      </c>
      <c r="I872" s="14" t="s">
        <v>355</v>
      </c>
      <c r="J872" s="12" t="s">
        <v>1129</v>
      </c>
      <c r="K872" s="2">
        <v>0</v>
      </c>
      <c r="L872" s="12" t="s">
        <v>332</v>
      </c>
      <c r="M872">
        <f>YEAR(VentesMagasins!$C872)</f>
        <v>2023</v>
      </c>
      <c r="N872" t="e" cm="1" vm="1">
        <f t="array" aca="1" ref="N872" ca="1">MONTH(DateVente)</f>
        <v>#VALUE!</v>
      </c>
      <c r="O872" t="str">
        <f>PROPER(VentesMagasins!$F872)</f>
        <v>Décoration</v>
      </c>
      <c r="P872">
        <f>VALUE(CLEAN(TRIM(SUBSTITUTE(VentesMagasins!$I872,".",","))))</f>
        <v>0.1</v>
      </c>
      <c r="Q872">
        <f>VALUE(TRIM(SUBSTITUTE(VentesMagasins!$J872,".",",")))</f>
        <v>874.8</v>
      </c>
      <c r="R872">
        <f t="shared" si="39"/>
        <v>787.31999999999994</v>
      </c>
      <c r="S872">
        <f>IF(VentesMagasins!$K872=1,(-1)*R872,R872)</f>
        <v>787.31999999999994</v>
      </c>
      <c r="T872">
        <f>IFERROR(VALUE(TRIM(SUBSTITUTE(VentesMagasins!$L872,".",","))),0)</f>
        <v>4</v>
      </c>
      <c r="U872">
        <f t="shared" si="40"/>
        <v>4</v>
      </c>
      <c r="V872" t="str">
        <f t="shared" si="41"/>
        <v>moyenne</v>
      </c>
      <c r="W872" t="str">
        <f>_xlfn.XLOOKUP(VentesMagasins!$B872,Clients!ClientID,Région)</f>
        <v>Ouest</v>
      </c>
      <c r="X872" t="str">
        <f>INDEX(TypeClient,MATCH(VentesMagasins!$B872,Clients!ClientID))</f>
        <v>Nouveau</v>
      </c>
      <c r="Y872" t="str">
        <v>janv</v>
      </c>
    </row>
    <row r="873" spans="1:25" x14ac:dyDescent="0.25">
      <c r="A873" s="2">
        <v>872</v>
      </c>
      <c r="B873" s="12" t="s">
        <v>242</v>
      </c>
      <c r="C873" s="13">
        <v>45927</v>
      </c>
      <c r="D873" s="12" t="s">
        <v>333</v>
      </c>
      <c r="E873" s="14" t="s">
        <v>364</v>
      </c>
      <c r="F873" s="12" t="s">
        <v>330</v>
      </c>
      <c r="G873" s="2">
        <v>2</v>
      </c>
      <c r="H873" s="3">
        <v>415</v>
      </c>
      <c r="I873" s="14" t="s">
        <v>355</v>
      </c>
      <c r="J873" s="12" t="s">
        <v>1130</v>
      </c>
      <c r="K873" s="2">
        <v>0</v>
      </c>
      <c r="L873" s="12" t="s">
        <v>332</v>
      </c>
      <c r="M873">
        <f>YEAR(VentesMagasins!$C873)</f>
        <v>2025</v>
      </c>
      <c r="N873" t="e" cm="1" vm="1">
        <f t="array" aca="1" ref="N873" ca="1">MONTH(DateVente)</f>
        <v>#VALUE!</v>
      </c>
      <c r="O873" t="str">
        <f>PROPER(VentesMagasins!$F873)</f>
        <v>Décoration</v>
      </c>
      <c r="P873">
        <f>VALUE(CLEAN(TRIM(SUBSTITUTE(VentesMagasins!$I873,".",","))))</f>
        <v>0.1</v>
      </c>
      <c r="Q873">
        <f>VALUE(TRIM(SUBSTITUTE(VentesMagasins!$J873,".",",")))</f>
        <v>747</v>
      </c>
      <c r="R873">
        <f t="shared" si="39"/>
        <v>672.30000000000007</v>
      </c>
      <c r="S873">
        <f>IF(VentesMagasins!$K873=1,(-1)*R873,R873)</f>
        <v>672.30000000000007</v>
      </c>
      <c r="T873">
        <f>IFERROR(VALUE(TRIM(SUBSTITUTE(VentesMagasins!$L873,".",","))),0)</f>
        <v>4</v>
      </c>
      <c r="U873">
        <f t="shared" si="40"/>
        <v>4</v>
      </c>
      <c r="V873" t="str">
        <f t="shared" si="41"/>
        <v>moyenne</v>
      </c>
      <c r="W873" t="str">
        <f>_xlfn.XLOOKUP(VentesMagasins!$B873,Clients!ClientID,Région)</f>
        <v>Sud</v>
      </c>
      <c r="X873" t="str">
        <f>INDEX(TypeClient,MATCH(VentesMagasins!$B873,Clients!ClientID))</f>
        <v>Occasionnel</v>
      </c>
      <c r="Y873" t="str">
        <v>sept</v>
      </c>
    </row>
    <row r="874" spans="1:25" x14ac:dyDescent="0.25">
      <c r="A874" s="2">
        <v>873</v>
      </c>
      <c r="B874" s="12" t="s">
        <v>79</v>
      </c>
      <c r="C874" s="13">
        <v>45870</v>
      </c>
      <c r="D874" s="12" t="s">
        <v>328</v>
      </c>
      <c r="E874" s="14" t="s">
        <v>339</v>
      </c>
      <c r="F874" s="12" t="s">
        <v>324</v>
      </c>
      <c r="G874" s="2">
        <v>2</v>
      </c>
      <c r="H874" s="3">
        <v>331</v>
      </c>
      <c r="I874" s="14" t="s">
        <v>325</v>
      </c>
      <c r="J874" s="12" t="s">
        <v>1131</v>
      </c>
      <c r="K874" s="2">
        <v>1</v>
      </c>
      <c r="L874" s="12" t="s">
        <v>344</v>
      </c>
      <c r="M874">
        <f>YEAR(VentesMagasins!$C874)</f>
        <v>2025</v>
      </c>
      <c r="N874" t="e" cm="1" vm="1">
        <f t="array" aca="1" ref="N874" ca="1">MONTH(DateVente)</f>
        <v>#VALUE!</v>
      </c>
      <c r="O874" t="str">
        <f>PROPER(VentesMagasins!$F874)</f>
        <v>Électronique</v>
      </c>
      <c r="P874">
        <f>VALUE(CLEAN(TRIM(SUBSTITUTE(VentesMagasins!$I874,".",","))))</f>
        <v>0.15</v>
      </c>
      <c r="Q874">
        <f>VALUE(TRIM(SUBSTITUTE(VentesMagasins!$J874,".",",")))</f>
        <v>562.69999999999902</v>
      </c>
      <c r="R874">
        <f t="shared" si="39"/>
        <v>478.29499999999916</v>
      </c>
      <c r="S874">
        <f>IF(VentesMagasins!$K874=1,(-1)*R874,R874)</f>
        <v>-478.29499999999916</v>
      </c>
      <c r="T874">
        <f>IFERROR(VALUE(TRIM(SUBSTITUTE(VentesMagasins!$L874,".",","))),0)</f>
        <v>2</v>
      </c>
      <c r="U874">
        <f t="shared" si="40"/>
        <v>2</v>
      </c>
      <c r="V874" t="str">
        <f t="shared" si="41"/>
        <v>faible</v>
      </c>
      <c r="W874" t="str">
        <f>_xlfn.XLOOKUP(VentesMagasins!$B874,Clients!ClientID,Région)</f>
        <v>Ouest</v>
      </c>
      <c r="X874" t="str">
        <f>INDEX(TypeClient,MATCH(VentesMagasins!$B874,Clients!ClientID))</f>
        <v>Occasionnel</v>
      </c>
      <c r="Y874" t="str">
        <v>août</v>
      </c>
    </row>
    <row r="875" spans="1:25" x14ac:dyDescent="0.25">
      <c r="A875" s="2">
        <v>874</v>
      </c>
      <c r="B875" s="12" t="s">
        <v>65</v>
      </c>
      <c r="C875" s="13">
        <v>45229</v>
      </c>
      <c r="D875" s="12" t="s">
        <v>350</v>
      </c>
      <c r="E875" s="14" t="s">
        <v>339</v>
      </c>
      <c r="F875" s="12" t="s">
        <v>330</v>
      </c>
      <c r="G875" s="2">
        <v>4</v>
      </c>
      <c r="H875" s="3">
        <v>294</v>
      </c>
      <c r="I875" s="14" t="s">
        <v>335</v>
      </c>
      <c r="J875" s="12" t="s">
        <v>1132</v>
      </c>
      <c r="K875" s="2">
        <v>0</v>
      </c>
      <c r="L875" s="12" t="s">
        <v>332</v>
      </c>
      <c r="M875">
        <f>YEAR(VentesMagasins!$C875)</f>
        <v>2023</v>
      </c>
      <c r="N875" t="e" cm="1" vm="1">
        <f t="array" aca="1" ref="N875" ca="1">MONTH(DateVente)</f>
        <v>#VALUE!</v>
      </c>
      <c r="O875" t="str">
        <f>PROPER(VentesMagasins!$F875)</f>
        <v>Décoration</v>
      </c>
      <c r="P875">
        <f>VALUE(CLEAN(TRIM(SUBSTITUTE(VentesMagasins!$I875,".",","))))</f>
        <v>0</v>
      </c>
      <c r="Q875">
        <f>VALUE(TRIM(SUBSTITUTE(VentesMagasins!$J875,".",",")))</f>
        <v>1176</v>
      </c>
      <c r="R875">
        <f t="shared" si="39"/>
        <v>1176</v>
      </c>
      <c r="S875">
        <f>IF(VentesMagasins!$K875=1,(-1)*R875,R875)</f>
        <v>1176</v>
      </c>
      <c r="T875">
        <f>IFERROR(VALUE(TRIM(SUBSTITUTE(VentesMagasins!$L875,".",","))),0)</f>
        <v>4</v>
      </c>
      <c r="U875">
        <f t="shared" si="40"/>
        <v>4</v>
      </c>
      <c r="V875" t="str">
        <f t="shared" si="41"/>
        <v>moyenne</v>
      </c>
      <c r="W875" t="str">
        <f>_xlfn.XLOOKUP(VentesMagasins!$B875,Clients!ClientID,Région)</f>
        <v>Sud</v>
      </c>
      <c r="X875" t="str">
        <f>INDEX(TypeClient,MATCH(VentesMagasins!$B875,Clients!ClientID))</f>
        <v>Nouveau</v>
      </c>
      <c r="Y875" t="str">
        <v>oct</v>
      </c>
    </row>
    <row r="876" spans="1:25" x14ac:dyDescent="0.25">
      <c r="A876" s="2">
        <v>875</v>
      </c>
      <c r="B876" s="12" t="s">
        <v>148</v>
      </c>
      <c r="C876" s="13">
        <v>45961</v>
      </c>
      <c r="D876" s="12" t="s">
        <v>322</v>
      </c>
      <c r="E876" s="14" t="s">
        <v>334</v>
      </c>
      <c r="F876" s="12" t="s">
        <v>330</v>
      </c>
      <c r="G876" s="2">
        <v>4</v>
      </c>
      <c r="H876" s="3">
        <v>243</v>
      </c>
      <c r="I876" s="14" t="s">
        <v>325</v>
      </c>
      <c r="J876" s="12" t="s">
        <v>851</v>
      </c>
      <c r="K876" s="2">
        <v>0</v>
      </c>
      <c r="L876" s="12" t="s">
        <v>327</v>
      </c>
      <c r="M876">
        <f>YEAR(VentesMagasins!$C876)</f>
        <v>2025</v>
      </c>
      <c r="N876" t="e" cm="1" vm="1">
        <f t="array" aca="1" ref="N876" ca="1">MONTH(DateVente)</f>
        <v>#VALUE!</v>
      </c>
      <c r="O876" t="str">
        <f>PROPER(VentesMagasins!$F876)</f>
        <v>Décoration</v>
      </c>
      <c r="P876">
        <f>VALUE(CLEAN(TRIM(SUBSTITUTE(VentesMagasins!$I876,".",","))))</f>
        <v>0.15</v>
      </c>
      <c r="Q876">
        <f>VALUE(TRIM(SUBSTITUTE(VentesMagasins!$J876,".",",")))</f>
        <v>826.19999999999902</v>
      </c>
      <c r="R876">
        <f t="shared" si="39"/>
        <v>702.26999999999919</v>
      </c>
      <c r="S876">
        <f>IF(VentesMagasins!$K876=1,(-1)*R876,R876)</f>
        <v>702.26999999999919</v>
      </c>
      <c r="T876">
        <f>IFERROR(VALUE(TRIM(SUBSTITUTE(VentesMagasins!$L876,".",","))),0)</f>
        <v>5</v>
      </c>
      <c r="U876">
        <f t="shared" si="40"/>
        <v>5</v>
      </c>
      <c r="V876" t="str">
        <f t="shared" si="41"/>
        <v>élévé</v>
      </c>
      <c r="W876" t="str">
        <f>_xlfn.XLOOKUP(VentesMagasins!$B876,Clients!ClientID,Région)</f>
        <v>Sud</v>
      </c>
      <c r="X876" t="str">
        <f>INDEX(TypeClient,MATCH(VentesMagasins!$B876,Clients!ClientID))</f>
        <v>Nouveau</v>
      </c>
      <c r="Y876" t="str">
        <v>oct</v>
      </c>
    </row>
    <row r="877" spans="1:25" x14ac:dyDescent="0.25">
      <c r="A877" s="2">
        <v>876</v>
      </c>
      <c r="B877" s="12" t="s">
        <v>146</v>
      </c>
      <c r="C877" s="13">
        <v>45025</v>
      </c>
      <c r="D877" s="12" t="s">
        <v>328</v>
      </c>
      <c r="E877" s="14" t="s">
        <v>364</v>
      </c>
      <c r="F877" s="12" t="s">
        <v>324</v>
      </c>
      <c r="G877" s="2">
        <v>1</v>
      </c>
      <c r="H877" s="3">
        <v>238</v>
      </c>
      <c r="I877" s="14" t="s">
        <v>325</v>
      </c>
      <c r="J877" s="12" t="s">
        <v>572</v>
      </c>
      <c r="K877" s="2">
        <v>0</v>
      </c>
      <c r="L877" s="12" t="s">
        <v>337</v>
      </c>
      <c r="M877">
        <f>YEAR(VentesMagasins!$C877)</f>
        <v>2023</v>
      </c>
      <c r="N877" t="e" cm="1" vm="1">
        <f t="array" aca="1" ref="N877" ca="1">MONTH(DateVente)</f>
        <v>#VALUE!</v>
      </c>
      <c r="O877" t="str">
        <f>PROPER(VentesMagasins!$F877)</f>
        <v>Électronique</v>
      </c>
      <c r="P877">
        <f>VALUE(CLEAN(TRIM(SUBSTITUTE(VentesMagasins!$I877,".",","))))</f>
        <v>0.15</v>
      </c>
      <c r="Q877">
        <f>VALUE(TRIM(SUBSTITUTE(VentesMagasins!$J877,".",",")))</f>
        <v>202.29999999999899</v>
      </c>
      <c r="R877">
        <f t="shared" si="39"/>
        <v>171.95499999999913</v>
      </c>
      <c r="S877">
        <f>IF(VentesMagasins!$K877=1,(-1)*R877,R877)</f>
        <v>171.95499999999913</v>
      </c>
      <c r="T877">
        <f>IFERROR(VALUE(TRIM(SUBSTITUTE(VentesMagasins!$L877,".",","))),0)</f>
        <v>3</v>
      </c>
      <c r="U877">
        <f t="shared" si="40"/>
        <v>3</v>
      </c>
      <c r="V877" t="str">
        <f t="shared" si="41"/>
        <v>moyenne</v>
      </c>
      <c r="W877" t="str">
        <f>_xlfn.XLOOKUP(VentesMagasins!$B877,Clients!ClientID,Région)</f>
        <v>Est</v>
      </c>
      <c r="X877" t="str">
        <f>INDEX(TypeClient,MATCH(VentesMagasins!$B877,Clients!ClientID))</f>
        <v>Occasionnel</v>
      </c>
      <c r="Y877" t="str">
        <v>avr</v>
      </c>
    </row>
    <row r="878" spans="1:25" x14ac:dyDescent="0.25">
      <c r="A878" s="2">
        <v>877</v>
      </c>
      <c r="B878" s="12" t="s">
        <v>242</v>
      </c>
      <c r="C878" s="13">
        <v>45230</v>
      </c>
      <c r="D878" s="12" t="s">
        <v>333</v>
      </c>
      <c r="E878" s="14" t="s">
        <v>339</v>
      </c>
      <c r="F878" s="12" t="s">
        <v>341</v>
      </c>
      <c r="G878" s="2">
        <v>4</v>
      </c>
      <c r="H878" s="3">
        <v>448</v>
      </c>
      <c r="I878" s="14" t="s">
        <v>335</v>
      </c>
      <c r="J878" s="12" t="s">
        <v>1133</v>
      </c>
      <c r="K878" s="2">
        <v>1</v>
      </c>
      <c r="L878" s="12" t="s">
        <v>352</v>
      </c>
      <c r="M878">
        <f>YEAR(VentesMagasins!$C878)</f>
        <v>2023</v>
      </c>
      <c r="N878" t="e" cm="1" vm="1">
        <f t="array" aca="1" ref="N878" ca="1">MONTH(DateVente)</f>
        <v>#VALUE!</v>
      </c>
      <c r="O878" t="str">
        <f>PROPER(VentesMagasins!$F878)</f>
        <v>Meuble</v>
      </c>
      <c r="P878">
        <f>VALUE(CLEAN(TRIM(SUBSTITUTE(VentesMagasins!$I878,".",","))))</f>
        <v>0</v>
      </c>
      <c r="Q878">
        <f>VALUE(TRIM(SUBSTITUTE(VentesMagasins!$J878,".",",")))</f>
        <v>1792</v>
      </c>
      <c r="R878">
        <f t="shared" si="39"/>
        <v>1792</v>
      </c>
      <c r="S878">
        <f>IF(VentesMagasins!$K878=1,(-1)*R878,R878)</f>
        <v>-1792</v>
      </c>
      <c r="T878">
        <f>IFERROR(VALUE(TRIM(SUBSTITUTE(VentesMagasins!$L878,".",","))),0)</f>
        <v>0</v>
      </c>
      <c r="U878">
        <f t="shared" si="40"/>
        <v>3</v>
      </c>
      <c r="V878" t="str">
        <f t="shared" si="41"/>
        <v>moyenne</v>
      </c>
      <c r="W878" t="str">
        <f>_xlfn.XLOOKUP(VentesMagasins!$B878,Clients!ClientID,Région)</f>
        <v>Sud</v>
      </c>
      <c r="X878" t="str">
        <f>INDEX(TypeClient,MATCH(VentesMagasins!$B878,Clients!ClientID))</f>
        <v>Occasionnel</v>
      </c>
      <c r="Y878" t="str">
        <v>oct</v>
      </c>
    </row>
    <row r="879" spans="1:25" x14ac:dyDescent="0.25">
      <c r="A879" s="2">
        <v>878</v>
      </c>
      <c r="B879" s="12" t="s">
        <v>212</v>
      </c>
      <c r="C879" s="13">
        <v>45182</v>
      </c>
      <c r="D879" s="12" t="s">
        <v>328</v>
      </c>
      <c r="E879" s="14" t="s">
        <v>348</v>
      </c>
      <c r="F879" s="12" t="s">
        <v>341</v>
      </c>
      <c r="G879" s="2">
        <v>3</v>
      </c>
      <c r="H879" s="3">
        <v>354</v>
      </c>
      <c r="I879" s="14" t="s">
        <v>355</v>
      </c>
      <c r="J879" s="12" t="s">
        <v>1134</v>
      </c>
      <c r="K879" s="2">
        <v>0</v>
      </c>
      <c r="L879" s="12" t="s">
        <v>332</v>
      </c>
      <c r="M879">
        <f>YEAR(VentesMagasins!$C879)</f>
        <v>2023</v>
      </c>
      <c r="N879" t="e" cm="1" vm="1">
        <f t="array" aca="1" ref="N879" ca="1">MONTH(DateVente)</f>
        <v>#VALUE!</v>
      </c>
      <c r="O879" t="str">
        <f>PROPER(VentesMagasins!$F879)</f>
        <v>Meuble</v>
      </c>
      <c r="P879">
        <f>VALUE(CLEAN(TRIM(SUBSTITUTE(VentesMagasins!$I879,".",","))))</f>
        <v>0.1</v>
      </c>
      <c r="Q879">
        <f>VALUE(TRIM(SUBSTITUTE(VentesMagasins!$J879,".",",")))</f>
        <v>955.8</v>
      </c>
      <c r="R879">
        <f t="shared" si="39"/>
        <v>860.22</v>
      </c>
      <c r="S879">
        <f>IF(VentesMagasins!$K879=1,(-1)*R879,R879)</f>
        <v>860.22</v>
      </c>
      <c r="T879">
        <f>IFERROR(VALUE(TRIM(SUBSTITUTE(VentesMagasins!$L879,".",","))),0)</f>
        <v>4</v>
      </c>
      <c r="U879">
        <f t="shared" si="40"/>
        <v>4</v>
      </c>
      <c r="V879" t="str">
        <f t="shared" si="41"/>
        <v>moyenne</v>
      </c>
      <c r="W879" t="str">
        <f>_xlfn.XLOOKUP(VentesMagasins!$B879,Clients!ClientID,Région)</f>
        <v>Sud</v>
      </c>
      <c r="X879" t="str">
        <f>INDEX(TypeClient,MATCH(VentesMagasins!$B879,Clients!ClientID))</f>
        <v>Fidèle</v>
      </c>
      <c r="Y879" t="str">
        <v>sept</v>
      </c>
    </row>
    <row r="880" spans="1:25" x14ac:dyDescent="0.25">
      <c r="A880" s="2">
        <v>879</v>
      </c>
      <c r="B880" s="12" t="s">
        <v>208</v>
      </c>
      <c r="C880" s="13">
        <v>45830</v>
      </c>
      <c r="D880" s="12" t="s">
        <v>338</v>
      </c>
      <c r="E880" s="14" t="s">
        <v>348</v>
      </c>
      <c r="F880" s="12" t="s">
        <v>324</v>
      </c>
      <c r="G880" s="2">
        <v>5</v>
      </c>
      <c r="H880" s="3">
        <v>111</v>
      </c>
      <c r="I880" s="14" t="s">
        <v>335</v>
      </c>
      <c r="J880" s="12" t="s">
        <v>743</v>
      </c>
      <c r="K880" s="2">
        <v>0</v>
      </c>
      <c r="L880" s="12" t="s">
        <v>337</v>
      </c>
      <c r="M880">
        <f>YEAR(VentesMagasins!$C880)</f>
        <v>2025</v>
      </c>
      <c r="N880" t="e" cm="1" vm="1">
        <f t="array" aca="1" ref="N880" ca="1">MONTH(DateVente)</f>
        <v>#VALUE!</v>
      </c>
      <c r="O880" t="str">
        <f>PROPER(VentesMagasins!$F880)</f>
        <v>Électronique</v>
      </c>
      <c r="P880">
        <f>VALUE(CLEAN(TRIM(SUBSTITUTE(VentesMagasins!$I880,".",","))))</f>
        <v>0</v>
      </c>
      <c r="Q880">
        <f>VALUE(TRIM(SUBSTITUTE(VentesMagasins!$J880,".",",")))</f>
        <v>555</v>
      </c>
      <c r="R880">
        <f t="shared" si="39"/>
        <v>555</v>
      </c>
      <c r="S880">
        <f>IF(VentesMagasins!$K880=1,(-1)*R880,R880)</f>
        <v>555</v>
      </c>
      <c r="T880">
        <f>IFERROR(VALUE(TRIM(SUBSTITUTE(VentesMagasins!$L880,".",","))),0)</f>
        <v>3</v>
      </c>
      <c r="U880">
        <f t="shared" si="40"/>
        <v>3</v>
      </c>
      <c r="V880" t="str">
        <f t="shared" si="41"/>
        <v>moyenne</v>
      </c>
      <c r="W880" t="str">
        <f>_xlfn.XLOOKUP(VentesMagasins!$B880,Clients!ClientID,Région)</f>
        <v>Nord</v>
      </c>
      <c r="X880" t="str">
        <f>INDEX(TypeClient,MATCH(VentesMagasins!$B880,Clients!ClientID))</f>
        <v>Fidèle</v>
      </c>
      <c r="Y880" t="str">
        <v>juin</v>
      </c>
    </row>
    <row r="881" spans="1:25" x14ac:dyDescent="0.25">
      <c r="A881" s="2">
        <v>880</v>
      </c>
      <c r="B881" s="12" t="s">
        <v>284</v>
      </c>
      <c r="C881" s="13">
        <v>45583</v>
      </c>
      <c r="D881" s="12" t="s">
        <v>338</v>
      </c>
      <c r="E881" s="14" t="s">
        <v>345</v>
      </c>
      <c r="F881" s="12" t="s">
        <v>330</v>
      </c>
      <c r="G881" s="2">
        <v>3</v>
      </c>
      <c r="H881" s="3">
        <v>230</v>
      </c>
      <c r="I881" s="14" t="s">
        <v>342</v>
      </c>
      <c r="J881" s="12" t="s">
        <v>1135</v>
      </c>
      <c r="K881" s="2">
        <v>0</v>
      </c>
      <c r="L881" s="12" t="s">
        <v>332</v>
      </c>
      <c r="M881">
        <f>YEAR(VentesMagasins!$C881)</f>
        <v>2024</v>
      </c>
      <c r="N881" t="e" cm="1" vm="1">
        <f t="array" aca="1" ref="N881" ca="1">MONTH(DateVente)</f>
        <v>#VALUE!</v>
      </c>
      <c r="O881" t="str">
        <f>PROPER(VentesMagasins!$F881)</f>
        <v>Décoration</v>
      </c>
      <c r="P881">
        <f>VALUE(CLEAN(TRIM(SUBSTITUTE(VentesMagasins!$I881,".",","))))</f>
        <v>0.05</v>
      </c>
      <c r="Q881">
        <f>VALUE(TRIM(SUBSTITUTE(VentesMagasins!$J881,".",",")))</f>
        <v>655.5</v>
      </c>
      <c r="R881">
        <f t="shared" si="39"/>
        <v>622.72500000000002</v>
      </c>
      <c r="S881">
        <f>IF(VentesMagasins!$K881=1,(-1)*R881,R881)</f>
        <v>622.72500000000002</v>
      </c>
      <c r="T881">
        <f>IFERROR(VALUE(TRIM(SUBSTITUTE(VentesMagasins!$L881,".",","))),0)</f>
        <v>4</v>
      </c>
      <c r="U881">
        <f t="shared" si="40"/>
        <v>4</v>
      </c>
      <c r="V881" t="str">
        <f t="shared" si="41"/>
        <v>moyenne</v>
      </c>
      <c r="W881" t="str">
        <f>_xlfn.XLOOKUP(VentesMagasins!$B881,Clients!ClientID,Région)</f>
        <v>Ouest</v>
      </c>
      <c r="X881" t="str">
        <f>INDEX(TypeClient,MATCH(VentesMagasins!$B881,Clients!ClientID))</f>
        <v>Fidèle</v>
      </c>
      <c r="Y881" t="str">
        <v>oct</v>
      </c>
    </row>
    <row r="882" spans="1:25" x14ac:dyDescent="0.25">
      <c r="A882" s="2">
        <v>881</v>
      </c>
      <c r="B882" s="12" t="s">
        <v>17</v>
      </c>
      <c r="C882" s="13">
        <v>45483</v>
      </c>
      <c r="D882" s="12" t="s">
        <v>333</v>
      </c>
      <c r="E882" s="14" t="s">
        <v>329</v>
      </c>
      <c r="F882" s="12" t="s">
        <v>324</v>
      </c>
      <c r="G882" s="2">
        <v>4</v>
      </c>
      <c r="H882" s="3">
        <v>360</v>
      </c>
      <c r="I882" s="14" t="s">
        <v>342</v>
      </c>
      <c r="J882" s="12" t="s">
        <v>1136</v>
      </c>
      <c r="K882" s="2">
        <v>1</v>
      </c>
      <c r="L882" s="12" t="s">
        <v>369</v>
      </c>
      <c r="M882">
        <f>YEAR(VentesMagasins!$C882)</f>
        <v>2024</v>
      </c>
      <c r="N882" t="e" cm="1" vm="1">
        <f t="array" aca="1" ref="N882" ca="1">MONTH(DateVente)</f>
        <v>#VALUE!</v>
      </c>
      <c r="O882" t="str">
        <f>PROPER(VentesMagasins!$F882)</f>
        <v>Électronique</v>
      </c>
      <c r="P882">
        <f>VALUE(CLEAN(TRIM(SUBSTITUTE(VentesMagasins!$I882,".",","))))</f>
        <v>0.05</v>
      </c>
      <c r="Q882">
        <f>VALUE(TRIM(SUBSTITUTE(VentesMagasins!$J882,".",",")))</f>
        <v>1368</v>
      </c>
      <c r="R882">
        <f t="shared" si="39"/>
        <v>1299.5999999999999</v>
      </c>
      <c r="S882">
        <f>IF(VentesMagasins!$K882=1,(-1)*R882,R882)</f>
        <v>-1299.5999999999999</v>
      </c>
      <c r="T882">
        <f>IFERROR(VALUE(TRIM(SUBSTITUTE(VentesMagasins!$L882,".",","))),0)</f>
        <v>1</v>
      </c>
      <c r="U882">
        <f t="shared" si="40"/>
        <v>1</v>
      </c>
      <c r="V882" t="str">
        <f t="shared" si="41"/>
        <v>faible</v>
      </c>
      <c r="W882" t="str">
        <f>_xlfn.XLOOKUP(VentesMagasins!$B882,Clients!ClientID,Région)</f>
        <v>Centre</v>
      </c>
      <c r="X882" t="str">
        <f>INDEX(TypeClient,MATCH(VentesMagasins!$B882,Clients!ClientID))</f>
        <v>Occasionnel</v>
      </c>
      <c r="Y882" t="str">
        <v>juil</v>
      </c>
    </row>
    <row r="883" spans="1:25" x14ac:dyDescent="0.25">
      <c r="A883" s="2">
        <v>882</v>
      </c>
      <c r="B883" s="12" t="s">
        <v>141</v>
      </c>
      <c r="C883" s="13">
        <v>45535</v>
      </c>
      <c r="D883" s="12" t="s">
        <v>338</v>
      </c>
      <c r="E883" s="14" t="s">
        <v>348</v>
      </c>
      <c r="F883" s="12" t="s">
        <v>341</v>
      </c>
      <c r="G883" s="2">
        <v>2</v>
      </c>
      <c r="H883" s="3">
        <v>372</v>
      </c>
      <c r="I883" s="14" t="s">
        <v>325</v>
      </c>
      <c r="J883" s="12" t="s">
        <v>1137</v>
      </c>
      <c r="K883" s="2">
        <v>1</v>
      </c>
      <c r="L883" s="12" t="s">
        <v>369</v>
      </c>
      <c r="M883">
        <f>YEAR(VentesMagasins!$C883)</f>
        <v>2024</v>
      </c>
      <c r="N883" t="e" cm="1" vm="1">
        <f t="array" aca="1" ref="N883" ca="1">MONTH(DateVente)</f>
        <v>#VALUE!</v>
      </c>
      <c r="O883" t="str">
        <f>PROPER(VentesMagasins!$F883)</f>
        <v>Meuble</v>
      </c>
      <c r="P883">
        <f>VALUE(CLEAN(TRIM(SUBSTITUTE(VentesMagasins!$I883,".",","))))</f>
        <v>0.15</v>
      </c>
      <c r="Q883">
        <f>VALUE(TRIM(SUBSTITUTE(VentesMagasins!$J883,".",",")))</f>
        <v>632.4</v>
      </c>
      <c r="R883">
        <f t="shared" si="39"/>
        <v>537.54</v>
      </c>
      <c r="S883">
        <f>IF(VentesMagasins!$K883=1,(-1)*R883,R883)</f>
        <v>-537.54</v>
      </c>
      <c r="T883">
        <f>IFERROR(VALUE(TRIM(SUBSTITUTE(VentesMagasins!$L883,".",","))),0)</f>
        <v>1</v>
      </c>
      <c r="U883">
        <f t="shared" si="40"/>
        <v>1</v>
      </c>
      <c r="V883" t="str">
        <f t="shared" si="41"/>
        <v>faible</v>
      </c>
      <c r="W883" t="str">
        <f>_xlfn.XLOOKUP(VentesMagasins!$B883,Clients!ClientID,Région)</f>
        <v>Ouest</v>
      </c>
      <c r="X883" t="str">
        <f>INDEX(TypeClient,MATCH(VentesMagasins!$B883,Clients!ClientID))</f>
        <v>Fidèle</v>
      </c>
      <c r="Y883" t="str">
        <v>août</v>
      </c>
    </row>
    <row r="884" spans="1:25" x14ac:dyDescent="0.25">
      <c r="A884" s="2">
        <v>883</v>
      </c>
      <c r="B884" s="12" t="s">
        <v>281</v>
      </c>
      <c r="C884" s="13">
        <v>45220</v>
      </c>
      <c r="D884" s="12" t="s">
        <v>338</v>
      </c>
      <c r="E884" s="14" t="s">
        <v>334</v>
      </c>
      <c r="F884" s="12" t="s">
        <v>330</v>
      </c>
      <c r="G884" s="2">
        <v>2</v>
      </c>
      <c r="H884" s="3">
        <v>410</v>
      </c>
      <c r="I884" s="14" t="s">
        <v>325</v>
      </c>
      <c r="J884" s="12" t="s">
        <v>1138</v>
      </c>
      <c r="K884" s="2">
        <v>0</v>
      </c>
      <c r="L884" s="12" t="s">
        <v>369</v>
      </c>
      <c r="M884">
        <f>YEAR(VentesMagasins!$C884)</f>
        <v>2023</v>
      </c>
      <c r="N884" t="e" cm="1" vm="1">
        <f t="array" aca="1" ref="N884" ca="1">MONTH(DateVente)</f>
        <v>#VALUE!</v>
      </c>
      <c r="O884" t="str">
        <f>PROPER(VentesMagasins!$F884)</f>
        <v>Décoration</v>
      </c>
      <c r="P884">
        <f>VALUE(CLEAN(TRIM(SUBSTITUTE(VentesMagasins!$I884,".",","))))</f>
        <v>0.15</v>
      </c>
      <c r="Q884">
        <f>VALUE(TRIM(SUBSTITUTE(VentesMagasins!$J884,".",",")))</f>
        <v>697</v>
      </c>
      <c r="R884">
        <f t="shared" si="39"/>
        <v>592.44999999999993</v>
      </c>
      <c r="S884">
        <f>IF(VentesMagasins!$K884=1,(-1)*R884,R884)</f>
        <v>592.44999999999993</v>
      </c>
      <c r="T884">
        <f>IFERROR(VALUE(TRIM(SUBSTITUTE(VentesMagasins!$L884,".",","))),0)</f>
        <v>1</v>
      </c>
      <c r="U884">
        <f t="shared" si="40"/>
        <v>1</v>
      </c>
      <c r="V884" t="str">
        <f t="shared" si="41"/>
        <v>faible</v>
      </c>
      <c r="W884" t="str">
        <f>_xlfn.XLOOKUP(VentesMagasins!$B884,Clients!ClientID,Région)</f>
        <v>Est</v>
      </c>
      <c r="X884" t="str">
        <f>INDEX(TypeClient,MATCH(VentesMagasins!$B884,Clients!ClientID))</f>
        <v>Occasionnel</v>
      </c>
      <c r="Y884" t="str">
        <v>oct</v>
      </c>
    </row>
    <row r="885" spans="1:25" x14ac:dyDescent="0.25">
      <c r="A885" s="2">
        <v>884</v>
      </c>
      <c r="B885" s="12" t="s">
        <v>308</v>
      </c>
      <c r="C885" s="13">
        <v>45202</v>
      </c>
      <c r="D885" s="12" t="s">
        <v>328</v>
      </c>
      <c r="E885" s="14" t="s">
        <v>329</v>
      </c>
      <c r="F885" s="12" t="s">
        <v>330</v>
      </c>
      <c r="G885" s="2">
        <v>1</v>
      </c>
      <c r="H885" s="3">
        <v>120</v>
      </c>
      <c r="I885" s="14" t="s">
        <v>355</v>
      </c>
      <c r="J885" s="12" t="s">
        <v>921</v>
      </c>
      <c r="K885" s="2">
        <v>0</v>
      </c>
      <c r="L885" s="12" t="s">
        <v>337</v>
      </c>
      <c r="M885">
        <f>YEAR(VentesMagasins!$C885)</f>
        <v>2023</v>
      </c>
      <c r="N885" t="e" cm="1" vm="1">
        <f t="array" aca="1" ref="N885" ca="1">MONTH(DateVente)</f>
        <v>#VALUE!</v>
      </c>
      <c r="O885" t="str">
        <f>PROPER(VentesMagasins!$F885)</f>
        <v>Décoration</v>
      </c>
      <c r="P885">
        <f>VALUE(CLEAN(TRIM(SUBSTITUTE(VentesMagasins!$I885,".",","))))</f>
        <v>0.1</v>
      </c>
      <c r="Q885">
        <f>VALUE(TRIM(SUBSTITUTE(VentesMagasins!$J885,".",",")))</f>
        <v>108</v>
      </c>
      <c r="R885">
        <f t="shared" si="39"/>
        <v>97.2</v>
      </c>
      <c r="S885">
        <f>IF(VentesMagasins!$K885=1,(-1)*R885,R885)</f>
        <v>97.2</v>
      </c>
      <c r="T885">
        <f>IFERROR(VALUE(TRIM(SUBSTITUTE(VentesMagasins!$L885,".",","))),0)</f>
        <v>3</v>
      </c>
      <c r="U885">
        <f t="shared" si="40"/>
        <v>3</v>
      </c>
      <c r="V885" t="str">
        <f t="shared" si="41"/>
        <v>moyenne</v>
      </c>
      <c r="W885" t="str">
        <f>_xlfn.XLOOKUP(VentesMagasins!$B885,Clients!ClientID,Région)</f>
        <v>Centre</v>
      </c>
      <c r="X885" t="str">
        <f>INDEX(TypeClient,MATCH(VentesMagasins!$B885,Clients!ClientID))</f>
        <v>Fidèle</v>
      </c>
      <c r="Y885" t="str">
        <v>oct</v>
      </c>
    </row>
    <row r="886" spans="1:25" x14ac:dyDescent="0.25">
      <c r="A886" s="2">
        <v>885</v>
      </c>
      <c r="B886" s="12" t="s">
        <v>236</v>
      </c>
      <c r="C886" s="13">
        <v>45977</v>
      </c>
      <c r="D886" s="12" t="s">
        <v>333</v>
      </c>
      <c r="E886" s="14" t="s">
        <v>348</v>
      </c>
      <c r="F886" s="12" t="s">
        <v>341</v>
      </c>
      <c r="G886" s="2">
        <v>5</v>
      </c>
      <c r="H886" s="3">
        <v>186</v>
      </c>
      <c r="I886" s="14" t="s">
        <v>355</v>
      </c>
      <c r="J886" s="12" t="s">
        <v>1072</v>
      </c>
      <c r="K886" s="2">
        <v>0</v>
      </c>
      <c r="L886" s="12" t="s">
        <v>337</v>
      </c>
      <c r="M886">
        <f>YEAR(VentesMagasins!$C886)</f>
        <v>2025</v>
      </c>
      <c r="N886" t="e" cm="1" vm="1">
        <f t="array" aca="1" ref="N886" ca="1">MONTH(DateVente)</f>
        <v>#VALUE!</v>
      </c>
      <c r="O886" t="str">
        <f>PROPER(VentesMagasins!$F886)</f>
        <v>Meuble</v>
      </c>
      <c r="P886">
        <f>VALUE(CLEAN(TRIM(SUBSTITUTE(VentesMagasins!$I886,".",","))))</f>
        <v>0.1</v>
      </c>
      <c r="Q886">
        <f>VALUE(TRIM(SUBSTITUTE(VentesMagasins!$J886,".",",")))</f>
        <v>837</v>
      </c>
      <c r="R886">
        <f t="shared" si="39"/>
        <v>753.30000000000007</v>
      </c>
      <c r="S886">
        <f>IF(VentesMagasins!$K886=1,(-1)*R886,R886)</f>
        <v>753.30000000000007</v>
      </c>
      <c r="T886">
        <f>IFERROR(VALUE(TRIM(SUBSTITUTE(VentesMagasins!$L886,".",","))),0)</f>
        <v>3</v>
      </c>
      <c r="U886">
        <f t="shared" si="40"/>
        <v>3</v>
      </c>
      <c r="V886" t="str">
        <f t="shared" si="41"/>
        <v>moyenne</v>
      </c>
      <c r="W886" t="str">
        <f>_xlfn.XLOOKUP(VentesMagasins!$B886,Clients!ClientID,Région)</f>
        <v>Est</v>
      </c>
      <c r="X886" t="str">
        <f>INDEX(TypeClient,MATCH(VentesMagasins!$B886,Clients!ClientID))</f>
        <v>Nouveau</v>
      </c>
      <c r="Y886" t="str">
        <v>nov</v>
      </c>
    </row>
    <row r="887" spans="1:25" x14ac:dyDescent="0.25">
      <c r="A887" s="2">
        <v>886</v>
      </c>
      <c r="B887" s="12" t="s">
        <v>50</v>
      </c>
      <c r="C887" s="13">
        <v>45702</v>
      </c>
      <c r="D887" s="12" t="s">
        <v>328</v>
      </c>
      <c r="E887" s="14" t="s">
        <v>362</v>
      </c>
      <c r="F887" s="12" t="s">
        <v>330</v>
      </c>
      <c r="G887" s="2">
        <v>5</v>
      </c>
      <c r="H887" s="3">
        <v>450</v>
      </c>
      <c r="I887" s="14" t="s">
        <v>355</v>
      </c>
      <c r="J887" s="12" t="s">
        <v>1139</v>
      </c>
      <c r="K887" s="2">
        <v>1</v>
      </c>
      <c r="L887" s="12" t="s">
        <v>327</v>
      </c>
      <c r="M887">
        <f>YEAR(VentesMagasins!$C887)</f>
        <v>2025</v>
      </c>
      <c r="N887" t="e" cm="1" vm="1">
        <f t="array" aca="1" ref="N887" ca="1">MONTH(DateVente)</f>
        <v>#VALUE!</v>
      </c>
      <c r="O887" t="str">
        <f>PROPER(VentesMagasins!$F887)</f>
        <v>Décoration</v>
      </c>
      <c r="P887">
        <f>VALUE(CLEAN(TRIM(SUBSTITUTE(VentesMagasins!$I887,".",","))))</f>
        <v>0.1</v>
      </c>
      <c r="Q887">
        <f>VALUE(TRIM(SUBSTITUTE(VentesMagasins!$J887,".",",")))</f>
        <v>2025</v>
      </c>
      <c r="R887">
        <f t="shared" si="39"/>
        <v>1822.5</v>
      </c>
      <c r="S887">
        <f>IF(VentesMagasins!$K887=1,(-1)*R887,R887)</f>
        <v>-1822.5</v>
      </c>
      <c r="T887">
        <f>IFERROR(VALUE(TRIM(SUBSTITUTE(VentesMagasins!$L887,".",","))),0)</f>
        <v>5</v>
      </c>
      <c r="U887">
        <f t="shared" si="40"/>
        <v>5</v>
      </c>
      <c r="V887" t="str">
        <f t="shared" si="41"/>
        <v>élévé</v>
      </c>
      <c r="W887" t="str">
        <f>_xlfn.XLOOKUP(VentesMagasins!$B887,Clients!ClientID,Région)</f>
        <v>Centre</v>
      </c>
      <c r="X887" t="str">
        <f>INDEX(TypeClient,MATCH(VentesMagasins!$B887,Clients!ClientID))</f>
        <v>Nouveau</v>
      </c>
      <c r="Y887" t="str">
        <v>févr</v>
      </c>
    </row>
    <row r="888" spans="1:25" x14ac:dyDescent="0.25">
      <c r="A888" s="2">
        <v>887</v>
      </c>
      <c r="B888" s="12" t="s">
        <v>203</v>
      </c>
      <c r="C888" s="13">
        <v>45482</v>
      </c>
      <c r="D888" s="12" t="s">
        <v>350</v>
      </c>
      <c r="E888" s="14" t="s">
        <v>364</v>
      </c>
      <c r="F888" s="12" t="s">
        <v>341</v>
      </c>
      <c r="G888" s="2">
        <v>1</v>
      </c>
      <c r="H888" s="3">
        <v>279</v>
      </c>
      <c r="I888" s="14" t="s">
        <v>355</v>
      </c>
      <c r="J888" s="12" t="s">
        <v>1140</v>
      </c>
      <c r="K888" s="2">
        <v>1</v>
      </c>
      <c r="L888" s="12" t="s">
        <v>332</v>
      </c>
      <c r="M888">
        <f>YEAR(VentesMagasins!$C888)</f>
        <v>2024</v>
      </c>
      <c r="N888" t="e" cm="1" vm="1">
        <f t="array" aca="1" ref="N888" ca="1">MONTH(DateVente)</f>
        <v>#VALUE!</v>
      </c>
      <c r="O888" t="str">
        <f>PROPER(VentesMagasins!$F888)</f>
        <v>Meuble</v>
      </c>
      <c r="P888">
        <f>VALUE(CLEAN(TRIM(SUBSTITUTE(VentesMagasins!$I888,".",","))))</f>
        <v>0.1</v>
      </c>
      <c r="Q888">
        <f>VALUE(TRIM(SUBSTITUTE(VentesMagasins!$J888,".",",")))</f>
        <v>251.1</v>
      </c>
      <c r="R888">
        <f t="shared" si="39"/>
        <v>225.99</v>
      </c>
      <c r="S888">
        <f>IF(VentesMagasins!$K888=1,(-1)*R888,R888)</f>
        <v>-225.99</v>
      </c>
      <c r="T888">
        <f>IFERROR(VALUE(TRIM(SUBSTITUTE(VentesMagasins!$L888,".",","))),0)</f>
        <v>4</v>
      </c>
      <c r="U888">
        <f t="shared" si="40"/>
        <v>4</v>
      </c>
      <c r="V888" t="str">
        <f t="shared" si="41"/>
        <v>moyenne</v>
      </c>
      <c r="W888" t="str">
        <f>_xlfn.XLOOKUP(VentesMagasins!$B888,Clients!ClientID,Région)</f>
        <v>Sud</v>
      </c>
      <c r="X888" t="str">
        <f>INDEX(TypeClient,MATCH(VentesMagasins!$B888,Clients!ClientID))</f>
        <v>Occasionnel</v>
      </c>
      <c r="Y888" t="str">
        <v>juil</v>
      </c>
    </row>
    <row r="889" spans="1:25" x14ac:dyDescent="0.25">
      <c r="A889" s="2">
        <v>888</v>
      </c>
      <c r="B889" s="12" t="s">
        <v>54</v>
      </c>
      <c r="C889" s="13">
        <v>45309</v>
      </c>
      <c r="D889" s="12" t="s">
        <v>338</v>
      </c>
      <c r="E889" s="14" t="s">
        <v>329</v>
      </c>
      <c r="F889" s="12" t="s">
        <v>324</v>
      </c>
      <c r="G889" s="2">
        <v>3</v>
      </c>
      <c r="H889" s="3">
        <v>406</v>
      </c>
      <c r="I889" s="14" t="s">
        <v>355</v>
      </c>
      <c r="J889" s="12" t="s">
        <v>1141</v>
      </c>
      <c r="K889" s="2">
        <v>1</v>
      </c>
      <c r="L889" s="12" t="s">
        <v>344</v>
      </c>
      <c r="M889">
        <f>YEAR(VentesMagasins!$C889)</f>
        <v>2024</v>
      </c>
      <c r="N889" t="e" cm="1" vm="1">
        <f t="array" aca="1" ref="N889" ca="1">MONTH(DateVente)</f>
        <v>#VALUE!</v>
      </c>
      <c r="O889" t="str">
        <f>PROPER(VentesMagasins!$F889)</f>
        <v>Électronique</v>
      </c>
      <c r="P889">
        <f>VALUE(CLEAN(TRIM(SUBSTITUTE(VentesMagasins!$I889,".",","))))</f>
        <v>0.1</v>
      </c>
      <c r="Q889">
        <f>VALUE(TRIM(SUBSTITUTE(VentesMagasins!$J889,".",",")))</f>
        <v>1205.82</v>
      </c>
      <c r="R889">
        <f t="shared" si="39"/>
        <v>1085.2380000000001</v>
      </c>
      <c r="S889">
        <f>IF(VentesMagasins!$K889=1,(-1)*R889,R889)</f>
        <v>-1085.2380000000001</v>
      </c>
      <c r="T889">
        <f>IFERROR(VALUE(TRIM(SUBSTITUTE(VentesMagasins!$L889,".",","))),0)</f>
        <v>2</v>
      </c>
      <c r="U889">
        <f t="shared" si="40"/>
        <v>2</v>
      </c>
      <c r="V889" t="str">
        <f t="shared" si="41"/>
        <v>faible</v>
      </c>
      <c r="W889" t="str">
        <f>_xlfn.XLOOKUP(VentesMagasins!$B889,Clients!ClientID,Région)</f>
        <v>Centre</v>
      </c>
      <c r="X889" t="str">
        <f>INDEX(TypeClient,MATCH(VentesMagasins!$B889,Clients!ClientID))</f>
        <v>Nouveau</v>
      </c>
      <c r="Y889" t="str">
        <v>janv</v>
      </c>
    </row>
    <row r="890" spans="1:25" x14ac:dyDescent="0.25">
      <c r="A890" s="2">
        <v>889</v>
      </c>
      <c r="B890" s="12" t="s">
        <v>50</v>
      </c>
      <c r="C890" s="13">
        <v>45397</v>
      </c>
      <c r="D890" s="12" t="s">
        <v>328</v>
      </c>
      <c r="E890" s="14" t="s">
        <v>364</v>
      </c>
      <c r="F890" s="12" t="s">
        <v>330</v>
      </c>
      <c r="G890" s="2">
        <v>2</v>
      </c>
      <c r="H890" s="3">
        <v>197</v>
      </c>
      <c r="I890" s="14" t="s">
        <v>355</v>
      </c>
      <c r="J890" s="12" t="s">
        <v>1142</v>
      </c>
      <c r="K890" s="2">
        <v>0</v>
      </c>
      <c r="L890" s="12" t="s">
        <v>337</v>
      </c>
      <c r="M890">
        <f>YEAR(VentesMagasins!$C890)</f>
        <v>2024</v>
      </c>
      <c r="N890" t="e" cm="1" vm="1">
        <f t="array" aca="1" ref="N890" ca="1">MONTH(DateVente)</f>
        <v>#VALUE!</v>
      </c>
      <c r="O890" t="str">
        <f>PROPER(VentesMagasins!$F890)</f>
        <v>Décoration</v>
      </c>
      <c r="P890">
        <f>VALUE(CLEAN(TRIM(SUBSTITUTE(VentesMagasins!$I890,".",","))))</f>
        <v>0.1</v>
      </c>
      <c r="Q890">
        <f>VALUE(TRIM(SUBSTITUTE(VentesMagasins!$J890,".",",")))</f>
        <v>354.6</v>
      </c>
      <c r="R890">
        <f t="shared" si="39"/>
        <v>319.14000000000004</v>
      </c>
      <c r="S890">
        <f>IF(VentesMagasins!$K890=1,(-1)*R890,R890)</f>
        <v>319.14000000000004</v>
      </c>
      <c r="T890">
        <f>IFERROR(VALUE(TRIM(SUBSTITUTE(VentesMagasins!$L890,".",","))),0)</f>
        <v>3</v>
      </c>
      <c r="U890">
        <f t="shared" si="40"/>
        <v>3</v>
      </c>
      <c r="V890" t="str">
        <f t="shared" si="41"/>
        <v>moyenne</v>
      </c>
      <c r="W890" t="str">
        <f>_xlfn.XLOOKUP(VentesMagasins!$B890,Clients!ClientID,Région)</f>
        <v>Centre</v>
      </c>
      <c r="X890" t="str">
        <f>INDEX(TypeClient,MATCH(VentesMagasins!$B890,Clients!ClientID))</f>
        <v>Nouveau</v>
      </c>
      <c r="Y890" t="str">
        <v>avr</v>
      </c>
    </row>
    <row r="891" spans="1:25" x14ac:dyDescent="0.25">
      <c r="A891" s="2">
        <v>890</v>
      </c>
      <c r="B891" s="12" t="s">
        <v>164</v>
      </c>
      <c r="C891" s="13">
        <v>45169</v>
      </c>
      <c r="D891" s="12" t="s">
        <v>333</v>
      </c>
      <c r="E891" s="14" t="s">
        <v>323</v>
      </c>
      <c r="F891" s="12" t="s">
        <v>341</v>
      </c>
      <c r="G891" s="2">
        <v>4</v>
      </c>
      <c r="H891" s="3">
        <v>492</v>
      </c>
      <c r="I891" s="14" t="s">
        <v>335</v>
      </c>
      <c r="J891" s="12" t="s">
        <v>960</v>
      </c>
      <c r="K891" s="2">
        <v>0</v>
      </c>
      <c r="L891" s="12" t="s">
        <v>332</v>
      </c>
      <c r="M891">
        <f>YEAR(VentesMagasins!$C891)</f>
        <v>2023</v>
      </c>
      <c r="N891" t="e" cm="1" vm="1">
        <f t="array" aca="1" ref="N891" ca="1">MONTH(DateVente)</f>
        <v>#VALUE!</v>
      </c>
      <c r="O891" t="str">
        <f>PROPER(VentesMagasins!$F891)</f>
        <v>Meuble</v>
      </c>
      <c r="P891">
        <f>VALUE(CLEAN(TRIM(SUBSTITUTE(VentesMagasins!$I891,".",","))))</f>
        <v>0</v>
      </c>
      <c r="Q891">
        <f>VALUE(TRIM(SUBSTITUTE(VentesMagasins!$J891,".",",")))</f>
        <v>1968</v>
      </c>
      <c r="R891">
        <f t="shared" si="39"/>
        <v>1968</v>
      </c>
      <c r="S891">
        <f>IF(VentesMagasins!$K891=1,(-1)*R891,R891)</f>
        <v>1968</v>
      </c>
      <c r="T891">
        <f>IFERROR(VALUE(TRIM(SUBSTITUTE(VentesMagasins!$L891,".",","))),0)</f>
        <v>4</v>
      </c>
      <c r="U891">
        <f t="shared" si="40"/>
        <v>4</v>
      </c>
      <c r="V891" t="str">
        <f t="shared" si="41"/>
        <v>moyenne</v>
      </c>
      <c r="W891" t="str">
        <f>_xlfn.XLOOKUP(VentesMagasins!$B891,Clients!ClientID,Région)</f>
        <v>Est</v>
      </c>
      <c r="X891" t="str">
        <f>INDEX(TypeClient,MATCH(VentesMagasins!$B891,Clients!ClientID))</f>
        <v>Occasionnel</v>
      </c>
      <c r="Y891" t="str">
        <v>août</v>
      </c>
    </row>
    <row r="892" spans="1:25" x14ac:dyDescent="0.25">
      <c r="A892" s="2">
        <v>891</v>
      </c>
      <c r="B892" s="12" t="s">
        <v>49</v>
      </c>
      <c r="C892" s="13">
        <v>45773</v>
      </c>
      <c r="D892" s="12" t="s">
        <v>338</v>
      </c>
      <c r="E892" s="14" t="s">
        <v>345</v>
      </c>
      <c r="F892" s="12" t="s">
        <v>341</v>
      </c>
      <c r="G892" s="2">
        <v>1</v>
      </c>
      <c r="H892" s="3">
        <v>167</v>
      </c>
      <c r="I892" s="14" t="s">
        <v>355</v>
      </c>
      <c r="J892" s="12" t="s">
        <v>1143</v>
      </c>
      <c r="K892" s="2">
        <v>0</v>
      </c>
      <c r="L892" s="12" t="s">
        <v>344</v>
      </c>
      <c r="M892">
        <f>YEAR(VentesMagasins!$C892)</f>
        <v>2025</v>
      </c>
      <c r="N892" t="e" cm="1" vm="1">
        <f t="array" aca="1" ref="N892" ca="1">MONTH(DateVente)</f>
        <v>#VALUE!</v>
      </c>
      <c r="O892" t="str">
        <f>PROPER(VentesMagasins!$F892)</f>
        <v>Meuble</v>
      </c>
      <c r="P892">
        <f>VALUE(CLEAN(TRIM(SUBSTITUTE(VentesMagasins!$I892,".",","))))</f>
        <v>0.1</v>
      </c>
      <c r="Q892">
        <f>VALUE(TRIM(SUBSTITUTE(VentesMagasins!$J892,".",",")))</f>
        <v>150.30000000000001</v>
      </c>
      <c r="R892">
        <f t="shared" si="39"/>
        <v>135.27000000000001</v>
      </c>
      <c r="S892">
        <f>IF(VentesMagasins!$K892=1,(-1)*R892,R892)</f>
        <v>135.27000000000001</v>
      </c>
      <c r="T892">
        <f>IFERROR(VALUE(TRIM(SUBSTITUTE(VentesMagasins!$L892,".",","))),0)</f>
        <v>2</v>
      </c>
      <c r="U892">
        <f t="shared" si="40"/>
        <v>2</v>
      </c>
      <c r="V892" t="str">
        <f t="shared" si="41"/>
        <v>faible</v>
      </c>
      <c r="W892" t="str">
        <f>_xlfn.XLOOKUP(VentesMagasins!$B892,Clients!ClientID,Région)</f>
        <v>Nord</v>
      </c>
      <c r="X892" t="str">
        <f>INDEX(TypeClient,MATCH(VentesMagasins!$B892,Clients!ClientID))</f>
        <v>Nouveau</v>
      </c>
      <c r="Y892" t="str">
        <v>avr</v>
      </c>
    </row>
    <row r="893" spans="1:25" x14ac:dyDescent="0.25">
      <c r="A893" s="2">
        <v>892</v>
      </c>
      <c r="B893" s="12" t="s">
        <v>118</v>
      </c>
      <c r="C893" s="13">
        <v>45586</v>
      </c>
      <c r="D893" s="12" t="s">
        <v>338</v>
      </c>
      <c r="E893" s="14" t="s">
        <v>323</v>
      </c>
      <c r="F893" s="12" t="s">
        <v>330</v>
      </c>
      <c r="G893" s="2">
        <v>1</v>
      </c>
      <c r="H893" s="3">
        <v>345</v>
      </c>
      <c r="I893" s="14" t="s">
        <v>335</v>
      </c>
      <c r="J893" s="12" t="s">
        <v>1144</v>
      </c>
      <c r="K893" s="2">
        <v>0</v>
      </c>
      <c r="L893" s="12" t="s">
        <v>332</v>
      </c>
      <c r="M893">
        <f>YEAR(VentesMagasins!$C893)</f>
        <v>2024</v>
      </c>
      <c r="N893" t="e" cm="1" vm="1">
        <f t="array" aca="1" ref="N893" ca="1">MONTH(DateVente)</f>
        <v>#VALUE!</v>
      </c>
      <c r="O893" t="str">
        <f>PROPER(VentesMagasins!$F893)</f>
        <v>Décoration</v>
      </c>
      <c r="P893">
        <f>VALUE(CLEAN(TRIM(SUBSTITUTE(VentesMagasins!$I893,".",","))))</f>
        <v>0</v>
      </c>
      <c r="Q893">
        <f>VALUE(TRIM(SUBSTITUTE(VentesMagasins!$J893,".",",")))</f>
        <v>345</v>
      </c>
      <c r="R893">
        <f t="shared" si="39"/>
        <v>345</v>
      </c>
      <c r="S893">
        <f>IF(VentesMagasins!$K893=1,(-1)*R893,R893)</f>
        <v>345</v>
      </c>
      <c r="T893">
        <f>IFERROR(VALUE(TRIM(SUBSTITUTE(VentesMagasins!$L893,".",","))),0)</f>
        <v>4</v>
      </c>
      <c r="U893">
        <f t="shared" si="40"/>
        <v>4</v>
      </c>
      <c r="V893" t="str">
        <f t="shared" si="41"/>
        <v>moyenne</v>
      </c>
      <c r="W893" t="str">
        <f>_xlfn.XLOOKUP(VentesMagasins!$B893,Clients!ClientID,Région)</f>
        <v>Ouest</v>
      </c>
      <c r="X893" t="str">
        <f>INDEX(TypeClient,MATCH(VentesMagasins!$B893,Clients!ClientID))</f>
        <v>Nouveau</v>
      </c>
      <c r="Y893" t="str">
        <v>oct</v>
      </c>
    </row>
    <row r="894" spans="1:25" x14ac:dyDescent="0.25">
      <c r="A894" s="2">
        <v>893</v>
      </c>
      <c r="B894" s="12" t="s">
        <v>67</v>
      </c>
      <c r="C894" s="13">
        <v>44927</v>
      </c>
      <c r="D894" s="12" t="s">
        <v>350</v>
      </c>
      <c r="E894" s="14" t="s">
        <v>339</v>
      </c>
      <c r="F894" s="12" t="s">
        <v>330</v>
      </c>
      <c r="G894" s="2">
        <v>4</v>
      </c>
      <c r="H894" s="3">
        <v>380</v>
      </c>
      <c r="I894" s="14" t="s">
        <v>355</v>
      </c>
      <c r="J894" s="12" t="s">
        <v>1136</v>
      </c>
      <c r="K894" s="2">
        <v>0</v>
      </c>
      <c r="L894" s="12" t="s">
        <v>369</v>
      </c>
      <c r="M894">
        <f>YEAR(VentesMagasins!$C894)</f>
        <v>2023</v>
      </c>
      <c r="N894" t="e" cm="1" vm="1">
        <f t="array" aca="1" ref="N894" ca="1">MONTH(DateVente)</f>
        <v>#VALUE!</v>
      </c>
      <c r="O894" t="str">
        <f>PROPER(VentesMagasins!$F894)</f>
        <v>Décoration</v>
      </c>
      <c r="P894">
        <f>VALUE(CLEAN(TRIM(SUBSTITUTE(VentesMagasins!$I894,".",","))))</f>
        <v>0.1</v>
      </c>
      <c r="Q894">
        <f>VALUE(TRIM(SUBSTITUTE(VentesMagasins!$J894,".",",")))</f>
        <v>1368</v>
      </c>
      <c r="R894">
        <f t="shared" si="39"/>
        <v>1231.2</v>
      </c>
      <c r="S894">
        <f>IF(VentesMagasins!$K894=1,(-1)*R894,R894)</f>
        <v>1231.2</v>
      </c>
      <c r="T894">
        <f>IFERROR(VALUE(TRIM(SUBSTITUTE(VentesMagasins!$L894,".",","))),0)</f>
        <v>1</v>
      </c>
      <c r="U894">
        <f t="shared" si="40"/>
        <v>1</v>
      </c>
      <c r="V894" t="str">
        <f t="shared" si="41"/>
        <v>faible</v>
      </c>
      <c r="W894" t="str">
        <f>_xlfn.XLOOKUP(VentesMagasins!$B894,Clients!ClientID,Région)</f>
        <v>Sud</v>
      </c>
      <c r="X894" t="str">
        <f>INDEX(TypeClient,MATCH(VentesMagasins!$B894,Clients!ClientID))</f>
        <v>Nouveau</v>
      </c>
      <c r="Y894" t="str">
        <v>janv</v>
      </c>
    </row>
    <row r="895" spans="1:25" x14ac:dyDescent="0.25">
      <c r="A895" s="2">
        <v>894</v>
      </c>
      <c r="B895" s="12" t="s">
        <v>66</v>
      </c>
      <c r="C895" s="13">
        <v>45537</v>
      </c>
      <c r="D895" s="12" t="s">
        <v>338</v>
      </c>
      <c r="E895" s="14" t="s">
        <v>364</v>
      </c>
      <c r="F895" s="12" t="s">
        <v>324</v>
      </c>
      <c r="G895" s="2">
        <v>3</v>
      </c>
      <c r="H895" s="3">
        <v>114</v>
      </c>
      <c r="I895" s="14" t="s">
        <v>342</v>
      </c>
      <c r="J895" s="12" t="s">
        <v>1145</v>
      </c>
      <c r="K895" s="2">
        <v>0</v>
      </c>
      <c r="L895" s="12" t="s">
        <v>352</v>
      </c>
      <c r="M895">
        <f>YEAR(VentesMagasins!$C895)</f>
        <v>2024</v>
      </c>
      <c r="N895" t="e" cm="1" vm="1">
        <f t="array" aca="1" ref="N895" ca="1">MONTH(DateVente)</f>
        <v>#VALUE!</v>
      </c>
      <c r="O895" t="str">
        <f>PROPER(VentesMagasins!$F895)</f>
        <v>Électronique</v>
      </c>
      <c r="P895">
        <f>VALUE(CLEAN(TRIM(SUBSTITUTE(VentesMagasins!$I895,".",","))))</f>
        <v>0.05</v>
      </c>
      <c r="Q895">
        <f>VALUE(TRIM(SUBSTITUTE(VentesMagasins!$J895,".",",")))</f>
        <v>324.89999999999998</v>
      </c>
      <c r="R895">
        <f t="shared" si="39"/>
        <v>308.65499999999997</v>
      </c>
      <c r="S895">
        <f>IF(VentesMagasins!$K895=1,(-1)*R895,R895)</f>
        <v>308.65499999999997</v>
      </c>
      <c r="T895">
        <f>IFERROR(VALUE(TRIM(SUBSTITUTE(VentesMagasins!$L895,".",","))),0)</f>
        <v>0</v>
      </c>
      <c r="U895">
        <f t="shared" si="40"/>
        <v>3</v>
      </c>
      <c r="V895" t="str">
        <f t="shared" si="41"/>
        <v>moyenne</v>
      </c>
      <c r="W895" t="str">
        <f>_xlfn.XLOOKUP(VentesMagasins!$B895,Clients!ClientID,Région)</f>
        <v>Centre</v>
      </c>
      <c r="X895" t="str">
        <f>INDEX(TypeClient,MATCH(VentesMagasins!$B895,Clients!ClientID))</f>
        <v>Fidèle</v>
      </c>
      <c r="Y895" t="str">
        <v>sept</v>
      </c>
    </row>
    <row r="896" spans="1:25" x14ac:dyDescent="0.25">
      <c r="A896" s="2">
        <v>895</v>
      </c>
      <c r="B896" s="12" t="s">
        <v>294</v>
      </c>
      <c r="C896" s="13">
        <v>45699</v>
      </c>
      <c r="D896" s="12" t="s">
        <v>328</v>
      </c>
      <c r="E896" s="14" t="s">
        <v>339</v>
      </c>
      <c r="F896" s="12" t="s">
        <v>688</v>
      </c>
      <c r="G896" s="2">
        <v>2</v>
      </c>
      <c r="H896" s="3">
        <v>221</v>
      </c>
      <c r="I896" s="14" t="s">
        <v>342</v>
      </c>
      <c r="J896" s="12" t="s">
        <v>1146</v>
      </c>
      <c r="K896" s="2">
        <v>1</v>
      </c>
      <c r="L896" s="12" t="s">
        <v>352</v>
      </c>
      <c r="M896">
        <f>YEAR(VentesMagasins!$C896)</f>
        <v>2025</v>
      </c>
      <c r="N896" t="e" cm="1" vm="1">
        <f t="array" aca="1" ref="N896" ca="1">MONTH(DateVente)</f>
        <v>#VALUE!</v>
      </c>
      <c r="O896" t="str">
        <f>PROPER(VentesMagasins!$F896)</f>
        <v>Décoration</v>
      </c>
      <c r="P896">
        <f>VALUE(CLEAN(TRIM(SUBSTITUTE(VentesMagasins!$I896,".",","))))</f>
        <v>0.05</v>
      </c>
      <c r="Q896">
        <f>VALUE(TRIM(SUBSTITUTE(VentesMagasins!$J896,".",",")))</f>
        <v>461.89</v>
      </c>
      <c r="R896">
        <f t="shared" si="39"/>
        <v>438.79549999999995</v>
      </c>
      <c r="S896">
        <f>IF(VentesMagasins!$K896=1,(-1)*R896,R896)</f>
        <v>-438.79549999999995</v>
      </c>
      <c r="T896">
        <f>IFERROR(VALUE(TRIM(SUBSTITUTE(VentesMagasins!$L896,".",","))),0)</f>
        <v>0</v>
      </c>
      <c r="U896">
        <f t="shared" si="40"/>
        <v>3</v>
      </c>
      <c r="V896" t="str">
        <f t="shared" si="41"/>
        <v>moyenne</v>
      </c>
      <c r="W896" t="str">
        <f>_xlfn.XLOOKUP(VentesMagasins!$B896,Clients!ClientID,Région)</f>
        <v>Centre</v>
      </c>
      <c r="X896" t="str">
        <f>INDEX(TypeClient,MATCH(VentesMagasins!$B896,Clients!ClientID))</f>
        <v>Occasionnel</v>
      </c>
      <c r="Y896" t="str">
        <v>févr</v>
      </c>
    </row>
    <row r="897" spans="1:25" x14ac:dyDescent="0.25">
      <c r="A897" s="2">
        <v>896</v>
      </c>
      <c r="B897" s="12" t="s">
        <v>3</v>
      </c>
      <c r="C897" s="13">
        <v>45837</v>
      </c>
      <c r="D897" s="12" t="s">
        <v>350</v>
      </c>
      <c r="E897" s="14" t="s">
        <v>362</v>
      </c>
      <c r="F897" s="12" t="s">
        <v>330</v>
      </c>
      <c r="G897" s="2">
        <v>1</v>
      </c>
      <c r="H897" s="3">
        <v>264</v>
      </c>
      <c r="I897" s="14" t="s">
        <v>325</v>
      </c>
      <c r="J897" s="12" t="s">
        <v>1147</v>
      </c>
      <c r="K897" s="2">
        <v>1</v>
      </c>
      <c r="L897" s="12" t="s">
        <v>352</v>
      </c>
      <c r="M897">
        <f>YEAR(VentesMagasins!$C897)</f>
        <v>2025</v>
      </c>
      <c r="N897" t="e" cm="1" vm="1">
        <f t="array" aca="1" ref="N897" ca="1">MONTH(DateVente)</f>
        <v>#VALUE!</v>
      </c>
      <c r="O897" t="str">
        <f>PROPER(VentesMagasins!$F897)</f>
        <v>Décoration</v>
      </c>
      <c r="P897">
        <f>VALUE(CLEAN(TRIM(SUBSTITUTE(VentesMagasins!$I897,".",","))))</f>
        <v>0.15</v>
      </c>
      <c r="Q897">
        <f>VALUE(TRIM(SUBSTITUTE(VentesMagasins!$J897,".",",")))</f>
        <v>224.4</v>
      </c>
      <c r="R897">
        <f t="shared" si="39"/>
        <v>190.74</v>
      </c>
      <c r="S897">
        <f>IF(VentesMagasins!$K897=1,(-1)*R897,R897)</f>
        <v>-190.74</v>
      </c>
      <c r="T897">
        <f>IFERROR(VALUE(TRIM(SUBSTITUTE(VentesMagasins!$L897,".",","))),0)</f>
        <v>0</v>
      </c>
      <c r="U897">
        <f t="shared" si="40"/>
        <v>3</v>
      </c>
      <c r="V897" t="str">
        <f t="shared" si="41"/>
        <v>moyenne</v>
      </c>
      <c r="W897" t="str">
        <f>_xlfn.XLOOKUP(VentesMagasins!$B897,Clients!ClientID,Région)</f>
        <v>Centre</v>
      </c>
      <c r="X897" t="str">
        <f>INDEX(TypeClient,MATCH(VentesMagasins!$B897,Clients!ClientID))</f>
        <v>Occasionnel</v>
      </c>
      <c r="Y897" t="str">
        <v>juin</v>
      </c>
    </row>
    <row r="898" spans="1:25" x14ac:dyDescent="0.25">
      <c r="A898" s="2">
        <v>897</v>
      </c>
      <c r="B898" s="12" t="s">
        <v>223</v>
      </c>
      <c r="C898" s="13">
        <v>45547</v>
      </c>
      <c r="D898" s="12" t="s">
        <v>338</v>
      </c>
      <c r="E898" s="14" t="s">
        <v>334</v>
      </c>
      <c r="F898" s="12" t="s">
        <v>324</v>
      </c>
      <c r="G898" s="2">
        <v>5</v>
      </c>
      <c r="H898" s="3">
        <v>154</v>
      </c>
      <c r="I898" s="14" t="s">
        <v>342</v>
      </c>
      <c r="J898" s="12" t="s">
        <v>1148</v>
      </c>
      <c r="K898" s="2">
        <v>0</v>
      </c>
      <c r="L898" s="12" t="s">
        <v>344</v>
      </c>
      <c r="M898">
        <f>YEAR(VentesMagasins!$C898)</f>
        <v>2024</v>
      </c>
      <c r="N898" t="e" cm="1" vm="1">
        <f t="array" aca="1" ref="N898" ca="1">MONTH(DateVente)</f>
        <v>#VALUE!</v>
      </c>
      <c r="O898" t="str">
        <f>PROPER(VentesMagasins!$F898)</f>
        <v>Électronique</v>
      </c>
      <c r="P898">
        <f>VALUE(CLEAN(TRIM(SUBSTITUTE(VentesMagasins!$I898,".",","))))</f>
        <v>0.05</v>
      </c>
      <c r="Q898">
        <f>VALUE(TRIM(SUBSTITUTE(VentesMagasins!$J898,".",",")))</f>
        <v>731.5</v>
      </c>
      <c r="R898">
        <f t="shared" si="39"/>
        <v>694.92499999999995</v>
      </c>
      <c r="S898">
        <f>IF(VentesMagasins!$K898=1,(-1)*R898,R898)</f>
        <v>694.92499999999995</v>
      </c>
      <c r="T898">
        <f>IFERROR(VALUE(TRIM(SUBSTITUTE(VentesMagasins!$L898,".",","))),0)</f>
        <v>2</v>
      </c>
      <c r="U898">
        <f t="shared" si="40"/>
        <v>2</v>
      </c>
      <c r="V898" t="str">
        <f t="shared" si="41"/>
        <v>faible</v>
      </c>
      <c r="W898" t="str">
        <f>_xlfn.XLOOKUP(VentesMagasins!$B898,Clients!ClientID,Région)</f>
        <v>Nord</v>
      </c>
      <c r="X898" t="str">
        <f>INDEX(TypeClient,MATCH(VentesMagasins!$B898,Clients!ClientID))</f>
        <v>Fidèle</v>
      </c>
      <c r="Y898" t="str">
        <v>sept</v>
      </c>
    </row>
    <row r="899" spans="1:25" x14ac:dyDescent="0.25">
      <c r="A899" s="2">
        <v>898</v>
      </c>
      <c r="B899" s="12" t="s">
        <v>55</v>
      </c>
      <c r="C899" s="13">
        <v>45517</v>
      </c>
      <c r="D899" s="12" t="s">
        <v>350</v>
      </c>
      <c r="E899" s="14" t="s">
        <v>364</v>
      </c>
      <c r="F899" s="12" t="s">
        <v>330</v>
      </c>
      <c r="G899" s="2">
        <v>4</v>
      </c>
      <c r="H899" s="3">
        <v>270</v>
      </c>
      <c r="I899" s="14" t="s">
        <v>342</v>
      </c>
      <c r="J899" s="12" t="s">
        <v>871</v>
      </c>
      <c r="K899" s="2">
        <v>1</v>
      </c>
      <c r="L899" s="12" t="s">
        <v>352</v>
      </c>
      <c r="M899">
        <f>YEAR(VentesMagasins!$C899)</f>
        <v>2024</v>
      </c>
      <c r="N899" t="e" cm="1" vm="1">
        <f t="array" aca="1" ref="N899" ca="1">MONTH(DateVente)</f>
        <v>#VALUE!</v>
      </c>
      <c r="O899" t="str">
        <f>PROPER(VentesMagasins!$F899)</f>
        <v>Décoration</v>
      </c>
      <c r="P899">
        <f>VALUE(CLEAN(TRIM(SUBSTITUTE(VentesMagasins!$I899,".",","))))</f>
        <v>0.05</v>
      </c>
      <c r="Q899">
        <f>VALUE(TRIM(SUBSTITUTE(VentesMagasins!$J899,".",",")))</f>
        <v>1026</v>
      </c>
      <c r="R899">
        <f t="shared" ref="R899:R962" si="42">Q899*(1-P899)</f>
        <v>974.69999999999993</v>
      </c>
      <c r="S899">
        <f>IF(VentesMagasins!$K899=1,(-1)*R899,R899)</f>
        <v>-974.69999999999993</v>
      </c>
      <c r="T899">
        <f>IFERROR(VALUE(TRIM(SUBSTITUTE(VentesMagasins!$L899,".",","))),0)</f>
        <v>0</v>
      </c>
      <c r="U899">
        <f t="shared" ref="U899:U962" si="43">ROUND(IF(T899=0,AVERAGE(T899:T1898),T899),0)</f>
        <v>3</v>
      </c>
      <c r="V899" t="str">
        <f t="shared" ref="V899:V962" si="44">IF(AND(U899&gt;0,U899&lt;=2),"faible",IF(AND(U899&gt;=3,U899&lt;=4),"moyenne",IF(U899=5,"élévé",0)))</f>
        <v>moyenne</v>
      </c>
      <c r="W899" t="str">
        <f>_xlfn.XLOOKUP(VentesMagasins!$B899,Clients!ClientID,Région)</f>
        <v>Nord</v>
      </c>
      <c r="X899" t="str">
        <f>INDEX(TypeClient,MATCH(VentesMagasins!$B899,Clients!ClientID))</f>
        <v>Fidèle</v>
      </c>
      <c r="Y899" t="str">
        <v>août</v>
      </c>
    </row>
    <row r="900" spans="1:25" x14ac:dyDescent="0.25">
      <c r="A900" s="2">
        <v>899</v>
      </c>
      <c r="B900" s="12" t="s">
        <v>71</v>
      </c>
      <c r="C900" s="13">
        <v>45847</v>
      </c>
      <c r="D900" s="12" t="s">
        <v>328</v>
      </c>
      <c r="E900" s="14" t="s">
        <v>364</v>
      </c>
      <c r="F900" s="12" t="s">
        <v>341</v>
      </c>
      <c r="G900" s="2">
        <v>3</v>
      </c>
      <c r="H900" s="3">
        <v>102</v>
      </c>
      <c r="I900" s="14" t="s">
        <v>325</v>
      </c>
      <c r="J900" s="12" t="s">
        <v>1149</v>
      </c>
      <c r="K900" s="2">
        <v>0</v>
      </c>
      <c r="L900" s="12" t="s">
        <v>352</v>
      </c>
      <c r="M900">
        <f>YEAR(VentesMagasins!$C900)</f>
        <v>2025</v>
      </c>
      <c r="N900" t="e" cm="1" vm="1">
        <f t="array" aca="1" ref="N900" ca="1">MONTH(DateVente)</f>
        <v>#VALUE!</v>
      </c>
      <c r="O900" t="str">
        <f>PROPER(VentesMagasins!$F900)</f>
        <v>Meuble</v>
      </c>
      <c r="P900">
        <f>VALUE(CLEAN(TRIM(SUBSTITUTE(VentesMagasins!$I900,".",","))))</f>
        <v>0.15</v>
      </c>
      <c r="Q900">
        <f>VALUE(TRIM(SUBSTITUTE(VentesMagasins!$J900,".",",")))</f>
        <v>286.11</v>
      </c>
      <c r="R900">
        <f t="shared" si="42"/>
        <v>243.1935</v>
      </c>
      <c r="S900">
        <f>IF(VentesMagasins!$K900=1,(-1)*R900,R900)</f>
        <v>243.1935</v>
      </c>
      <c r="T900">
        <f>IFERROR(VALUE(TRIM(SUBSTITUTE(VentesMagasins!$L900,".",","))),0)</f>
        <v>0</v>
      </c>
      <c r="U900">
        <f t="shared" si="43"/>
        <v>3</v>
      </c>
      <c r="V900" t="str">
        <f t="shared" si="44"/>
        <v>moyenne</v>
      </c>
      <c r="W900" t="str">
        <f>_xlfn.XLOOKUP(VentesMagasins!$B900,Clients!ClientID,Région)</f>
        <v>Sud</v>
      </c>
      <c r="X900" t="str">
        <f>INDEX(TypeClient,MATCH(VentesMagasins!$B900,Clients!ClientID))</f>
        <v>Nouveau</v>
      </c>
      <c r="Y900" t="str">
        <v>juil</v>
      </c>
    </row>
    <row r="901" spans="1:25" x14ac:dyDescent="0.25">
      <c r="A901" s="2">
        <v>900</v>
      </c>
      <c r="B901" s="12" t="s">
        <v>55</v>
      </c>
      <c r="C901" s="13">
        <v>45899</v>
      </c>
      <c r="D901" s="12" t="s">
        <v>328</v>
      </c>
      <c r="E901" s="14" t="s">
        <v>339</v>
      </c>
      <c r="F901" s="12" t="s">
        <v>324</v>
      </c>
      <c r="G901" s="2">
        <v>3</v>
      </c>
      <c r="H901" s="3">
        <v>402</v>
      </c>
      <c r="I901" s="14" t="s">
        <v>342</v>
      </c>
      <c r="J901" s="12" t="s">
        <v>1150</v>
      </c>
      <c r="K901" s="2">
        <v>0</v>
      </c>
      <c r="L901" s="12" t="s">
        <v>332</v>
      </c>
      <c r="M901">
        <f>YEAR(VentesMagasins!$C901)</f>
        <v>2025</v>
      </c>
      <c r="N901" t="e" cm="1" vm="1">
        <f t="array" aca="1" ref="N901" ca="1">MONTH(DateVente)</f>
        <v>#VALUE!</v>
      </c>
      <c r="O901" t="str">
        <f>PROPER(VentesMagasins!$F901)</f>
        <v>Électronique</v>
      </c>
      <c r="P901">
        <f>VALUE(CLEAN(TRIM(SUBSTITUTE(VentesMagasins!$I901,".",","))))</f>
        <v>0.05</v>
      </c>
      <c r="Q901">
        <f>VALUE(TRIM(SUBSTITUTE(VentesMagasins!$J901,".",",")))</f>
        <v>1145.7</v>
      </c>
      <c r="R901">
        <f t="shared" si="42"/>
        <v>1088.415</v>
      </c>
      <c r="S901">
        <f>IF(VentesMagasins!$K901=1,(-1)*R901,R901)</f>
        <v>1088.415</v>
      </c>
      <c r="T901">
        <f>IFERROR(VALUE(TRIM(SUBSTITUTE(VentesMagasins!$L901,".",","))),0)</f>
        <v>4</v>
      </c>
      <c r="U901">
        <f t="shared" si="43"/>
        <v>4</v>
      </c>
      <c r="V901" t="str">
        <f t="shared" si="44"/>
        <v>moyenne</v>
      </c>
      <c r="W901" t="str">
        <f>_xlfn.XLOOKUP(VentesMagasins!$B901,Clients!ClientID,Région)</f>
        <v>Nord</v>
      </c>
      <c r="X901" t="str">
        <f>INDEX(TypeClient,MATCH(VentesMagasins!$B901,Clients!ClientID))</f>
        <v>Fidèle</v>
      </c>
      <c r="Y901" t="str">
        <v>août</v>
      </c>
    </row>
    <row r="902" spans="1:25" x14ac:dyDescent="0.25">
      <c r="A902" s="2">
        <v>901</v>
      </c>
      <c r="B902" s="12" t="s">
        <v>53</v>
      </c>
      <c r="C902" s="13">
        <v>45857</v>
      </c>
      <c r="D902" s="12" t="s">
        <v>333</v>
      </c>
      <c r="E902" s="14" t="s">
        <v>345</v>
      </c>
      <c r="F902" s="12" t="s">
        <v>324</v>
      </c>
      <c r="G902" s="2">
        <v>3</v>
      </c>
      <c r="H902" s="3">
        <v>55</v>
      </c>
      <c r="I902" s="14" t="s">
        <v>335</v>
      </c>
      <c r="J902" s="12" t="s">
        <v>1151</v>
      </c>
      <c r="K902" s="2">
        <v>1</v>
      </c>
      <c r="L902" s="12" t="s">
        <v>344</v>
      </c>
      <c r="M902">
        <f>YEAR(VentesMagasins!$C902)</f>
        <v>2025</v>
      </c>
      <c r="N902" t="e" cm="1" vm="1">
        <f t="array" aca="1" ref="N902" ca="1">MONTH(DateVente)</f>
        <v>#VALUE!</v>
      </c>
      <c r="O902" t="str">
        <f>PROPER(VentesMagasins!$F902)</f>
        <v>Électronique</v>
      </c>
      <c r="P902">
        <f>VALUE(CLEAN(TRIM(SUBSTITUTE(VentesMagasins!$I902,".",","))))</f>
        <v>0</v>
      </c>
      <c r="Q902">
        <f>VALUE(TRIM(SUBSTITUTE(VentesMagasins!$J902,".",",")))</f>
        <v>165</v>
      </c>
      <c r="R902">
        <f t="shared" si="42"/>
        <v>165</v>
      </c>
      <c r="S902">
        <f>IF(VentesMagasins!$K902=1,(-1)*R902,R902)</f>
        <v>-165</v>
      </c>
      <c r="T902">
        <f>IFERROR(VALUE(TRIM(SUBSTITUTE(VentesMagasins!$L902,".",","))),0)</f>
        <v>2</v>
      </c>
      <c r="U902">
        <f t="shared" si="43"/>
        <v>2</v>
      </c>
      <c r="V902" t="str">
        <f t="shared" si="44"/>
        <v>faible</v>
      </c>
      <c r="W902" t="str">
        <f>_xlfn.XLOOKUP(VentesMagasins!$B902,Clients!ClientID,Région)</f>
        <v>Ouest</v>
      </c>
      <c r="X902" t="str">
        <f>INDEX(TypeClient,MATCH(VentesMagasins!$B902,Clients!ClientID))</f>
        <v>Occasionnel</v>
      </c>
      <c r="Y902" t="str">
        <v>juil</v>
      </c>
    </row>
    <row r="903" spans="1:25" x14ac:dyDescent="0.25">
      <c r="A903" s="2">
        <v>902</v>
      </c>
      <c r="B903" s="12" t="s">
        <v>240</v>
      </c>
      <c r="C903" s="13">
        <v>45913</v>
      </c>
      <c r="D903" s="12" t="s">
        <v>333</v>
      </c>
      <c r="E903" s="14" t="s">
        <v>334</v>
      </c>
      <c r="F903" s="12" t="s">
        <v>341</v>
      </c>
      <c r="G903" s="2">
        <v>1</v>
      </c>
      <c r="H903" s="3">
        <v>493</v>
      </c>
      <c r="I903" s="14" t="s">
        <v>342</v>
      </c>
      <c r="J903" s="12" t="s">
        <v>1152</v>
      </c>
      <c r="K903" s="2">
        <v>1</v>
      </c>
      <c r="L903" s="12" t="s">
        <v>344</v>
      </c>
      <c r="M903">
        <f>YEAR(VentesMagasins!$C903)</f>
        <v>2025</v>
      </c>
      <c r="N903" t="e" cm="1" vm="1">
        <f t="array" aca="1" ref="N903" ca="1">MONTH(DateVente)</f>
        <v>#VALUE!</v>
      </c>
      <c r="O903" t="str">
        <f>PROPER(VentesMagasins!$F903)</f>
        <v>Meuble</v>
      </c>
      <c r="P903">
        <f>VALUE(CLEAN(TRIM(SUBSTITUTE(VentesMagasins!$I903,".",","))))</f>
        <v>0.05</v>
      </c>
      <c r="Q903">
        <f>VALUE(TRIM(SUBSTITUTE(VentesMagasins!$J903,".",",")))</f>
        <v>468.349999999999</v>
      </c>
      <c r="R903">
        <f t="shared" si="42"/>
        <v>444.93249999999904</v>
      </c>
      <c r="S903">
        <f>IF(VentesMagasins!$K903=1,(-1)*R903,R903)</f>
        <v>-444.93249999999904</v>
      </c>
      <c r="T903">
        <f>IFERROR(VALUE(TRIM(SUBSTITUTE(VentesMagasins!$L903,".",","))),0)</f>
        <v>2</v>
      </c>
      <c r="U903">
        <f t="shared" si="43"/>
        <v>2</v>
      </c>
      <c r="V903" t="str">
        <f t="shared" si="44"/>
        <v>faible</v>
      </c>
      <c r="W903" t="str">
        <f>_xlfn.XLOOKUP(VentesMagasins!$B903,Clients!ClientID,Région)</f>
        <v>Est</v>
      </c>
      <c r="X903" t="str">
        <f>INDEX(TypeClient,MATCH(VentesMagasins!$B903,Clients!ClientID))</f>
        <v>Nouveau</v>
      </c>
      <c r="Y903" t="str">
        <v>sept</v>
      </c>
    </row>
    <row r="904" spans="1:25" x14ac:dyDescent="0.25">
      <c r="A904" s="2">
        <v>903</v>
      </c>
      <c r="B904" s="12" t="s">
        <v>235</v>
      </c>
      <c r="C904" s="13">
        <v>45246</v>
      </c>
      <c r="D904" s="12" t="s">
        <v>338</v>
      </c>
      <c r="E904" s="14" t="s">
        <v>362</v>
      </c>
      <c r="F904" s="12" t="s">
        <v>341</v>
      </c>
      <c r="G904" s="2">
        <v>4</v>
      </c>
      <c r="H904" s="3">
        <v>313</v>
      </c>
      <c r="I904" s="14" t="s">
        <v>342</v>
      </c>
      <c r="J904" s="12" t="s">
        <v>1153</v>
      </c>
      <c r="K904" s="2">
        <v>0</v>
      </c>
      <c r="L904" s="12" t="s">
        <v>327</v>
      </c>
      <c r="M904">
        <f>YEAR(VentesMagasins!$C904)</f>
        <v>2023</v>
      </c>
      <c r="N904" t="e" cm="1" vm="1">
        <f t="array" aca="1" ref="N904" ca="1">MONTH(DateVente)</f>
        <v>#VALUE!</v>
      </c>
      <c r="O904" t="str">
        <f>PROPER(VentesMagasins!$F904)</f>
        <v>Meuble</v>
      </c>
      <c r="P904">
        <f>VALUE(CLEAN(TRIM(SUBSTITUTE(VentesMagasins!$I904,".",","))))</f>
        <v>0.05</v>
      </c>
      <c r="Q904">
        <f>VALUE(TRIM(SUBSTITUTE(VentesMagasins!$J904,".",",")))</f>
        <v>1189.3999999999901</v>
      </c>
      <c r="R904">
        <f t="shared" si="42"/>
        <v>1129.9299999999905</v>
      </c>
      <c r="S904">
        <f>IF(VentesMagasins!$K904=1,(-1)*R904,R904)</f>
        <v>1129.9299999999905</v>
      </c>
      <c r="T904">
        <f>IFERROR(VALUE(TRIM(SUBSTITUTE(VentesMagasins!$L904,".",","))),0)</f>
        <v>5</v>
      </c>
      <c r="U904">
        <f t="shared" si="43"/>
        <v>5</v>
      </c>
      <c r="V904" t="str">
        <f t="shared" si="44"/>
        <v>élévé</v>
      </c>
      <c r="W904" t="str">
        <f>_xlfn.XLOOKUP(VentesMagasins!$B904,Clients!ClientID,Région)</f>
        <v>Sud</v>
      </c>
      <c r="X904" t="str">
        <f>INDEX(TypeClient,MATCH(VentesMagasins!$B904,Clients!ClientID))</f>
        <v>Fidèle</v>
      </c>
      <c r="Y904" t="str">
        <v>nov</v>
      </c>
    </row>
    <row r="905" spans="1:25" x14ac:dyDescent="0.25">
      <c r="A905" s="2">
        <v>904</v>
      </c>
      <c r="B905" s="12" t="s">
        <v>75</v>
      </c>
      <c r="C905" s="13">
        <v>45901</v>
      </c>
      <c r="D905" s="12" t="s">
        <v>322</v>
      </c>
      <c r="E905" s="14" t="s">
        <v>348</v>
      </c>
      <c r="F905" s="12" t="s">
        <v>330</v>
      </c>
      <c r="G905" s="2">
        <v>5</v>
      </c>
      <c r="H905" s="3">
        <v>352</v>
      </c>
      <c r="I905" s="14" t="s">
        <v>325</v>
      </c>
      <c r="J905" s="12" t="s">
        <v>1154</v>
      </c>
      <c r="K905" s="2">
        <v>0</v>
      </c>
      <c r="L905" s="12" t="s">
        <v>337</v>
      </c>
      <c r="M905">
        <f>YEAR(VentesMagasins!$C905)</f>
        <v>2025</v>
      </c>
      <c r="N905" t="e" cm="1" vm="1">
        <f t="array" aca="1" ref="N905" ca="1">MONTH(DateVente)</f>
        <v>#VALUE!</v>
      </c>
      <c r="O905" t="str">
        <f>PROPER(VentesMagasins!$F905)</f>
        <v>Décoration</v>
      </c>
      <c r="P905">
        <f>VALUE(CLEAN(TRIM(SUBSTITUTE(VentesMagasins!$I905,".",","))))</f>
        <v>0.15</v>
      </c>
      <c r="Q905">
        <f>VALUE(TRIM(SUBSTITUTE(VentesMagasins!$J905,".",",")))</f>
        <v>1496</v>
      </c>
      <c r="R905">
        <f t="shared" si="42"/>
        <v>1271.5999999999999</v>
      </c>
      <c r="S905">
        <f>IF(VentesMagasins!$K905=1,(-1)*R905,R905)</f>
        <v>1271.5999999999999</v>
      </c>
      <c r="T905">
        <f>IFERROR(VALUE(TRIM(SUBSTITUTE(VentesMagasins!$L905,".",","))),0)</f>
        <v>3</v>
      </c>
      <c r="U905">
        <f t="shared" si="43"/>
        <v>3</v>
      </c>
      <c r="V905" t="str">
        <f t="shared" si="44"/>
        <v>moyenne</v>
      </c>
      <c r="W905" t="str">
        <f>_xlfn.XLOOKUP(VentesMagasins!$B905,Clients!ClientID,Région)</f>
        <v>Est</v>
      </c>
      <c r="X905" t="str">
        <f>INDEX(TypeClient,MATCH(VentesMagasins!$B905,Clients!ClientID))</f>
        <v>Nouveau</v>
      </c>
      <c r="Y905" t="str">
        <v>sept</v>
      </c>
    </row>
    <row r="906" spans="1:25" x14ac:dyDescent="0.25">
      <c r="A906" s="2">
        <v>905</v>
      </c>
      <c r="B906" s="12" t="s">
        <v>279</v>
      </c>
      <c r="C906" s="13">
        <v>45973</v>
      </c>
      <c r="D906" s="12" t="s">
        <v>322</v>
      </c>
      <c r="E906" s="14" t="s">
        <v>323</v>
      </c>
      <c r="F906" s="12" t="s">
        <v>330</v>
      </c>
      <c r="G906" s="2">
        <v>1</v>
      </c>
      <c r="H906" s="3">
        <v>378</v>
      </c>
      <c r="I906" s="14" t="s">
        <v>355</v>
      </c>
      <c r="J906" s="12" t="s">
        <v>977</v>
      </c>
      <c r="K906" s="2">
        <v>0</v>
      </c>
      <c r="L906" s="12" t="s">
        <v>332</v>
      </c>
      <c r="M906">
        <f>YEAR(VentesMagasins!$C906)</f>
        <v>2025</v>
      </c>
      <c r="N906" t="e" cm="1" vm="1">
        <f t="array" aca="1" ref="N906" ca="1">MONTH(DateVente)</f>
        <v>#VALUE!</v>
      </c>
      <c r="O906" t="str">
        <f>PROPER(VentesMagasins!$F906)</f>
        <v>Décoration</v>
      </c>
      <c r="P906">
        <f>VALUE(CLEAN(TRIM(SUBSTITUTE(VentesMagasins!$I906,".",","))))</f>
        <v>0.1</v>
      </c>
      <c r="Q906">
        <f>VALUE(TRIM(SUBSTITUTE(VentesMagasins!$J906,".",",")))</f>
        <v>340.2</v>
      </c>
      <c r="R906">
        <f t="shared" si="42"/>
        <v>306.18</v>
      </c>
      <c r="S906">
        <f>IF(VentesMagasins!$K906=1,(-1)*R906,R906)</f>
        <v>306.18</v>
      </c>
      <c r="T906">
        <f>IFERROR(VALUE(TRIM(SUBSTITUTE(VentesMagasins!$L906,".",","))),0)</f>
        <v>4</v>
      </c>
      <c r="U906">
        <f t="shared" si="43"/>
        <v>4</v>
      </c>
      <c r="V906" t="str">
        <f t="shared" si="44"/>
        <v>moyenne</v>
      </c>
      <c r="W906" t="str">
        <f>_xlfn.XLOOKUP(VentesMagasins!$B906,Clients!ClientID,Région)</f>
        <v>Sud</v>
      </c>
      <c r="X906" t="str">
        <f>INDEX(TypeClient,MATCH(VentesMagasins!$B906,Clients!ClientID))</f>
        <v>Nouveau</v>
      </c>
      <c r="Y906" t="str">
        <v>nov</v>
      </c>
    </row>
    <row r="907" spans="1:25" x14ac:dyDescent="0.25">
      <c r="A907" s="2">
        <v>906</v>
      </c>
      <c r="B907" s="12" t="s">
        <v>114</v>
      </c>
      <c r="C907" s="13">
        <v>45443</v>
      </c>
      <c r="D907" s="12" t="s">
        <v>401</v>
      </c>
      <c r="E907" s="14" t="s">
        <v>345</v>
      </c>
      <c r="F907" s="12" t="s">
        <v>341</v>
      </c>
      <c r="G907" s="2">
        <v>5</v>
      </c>
      <c r="H907" s="3">
        <v>476</v>
      </c>
      <c r="I907" s="14" t="s">
        <v>342</v>
      </c>
      <c r="J907" s="12" t="s">
        <v>1155</v>
      </c>
      <c r="K907" s="2">
        <v>1</v>
      </c>
      <c r="L907" s="12" t="s">
        <v>369</v>
      </c>
      <c r="M907">
        <f>YEAR(VentesMagasins!$C907)</f>
        <v>2024</v>
      </c>
      <c r="N907" t="e" cm="1" vm="1">
        <f t="array" aca="1" ref="N907" ca="1">MONTH(DateVente)</f>
        <v>#VALUE!</v>
      </c>
      <c r="O907" t="str">
        <f>PROPER(VentesMagasins!$F907)</f>
        <v>Meuble</v>
      </c>
      <c r="P907">
        <f>VALUE(CLEAN(TRIM(SUBSTITUTE(VentesMagasins!$I907,".",","))))</f>
        <v>0.05</v>
      </c>
      <c r="Q907">
        <f>VALUE(TRIM(SUBSTITUTE(VentesMagasins!$J907,".",",")))</f>
        <v>2261</v>
      </c>
      <c r="R907">
        <f t="shared" si="42"/>
        <v>2147.9499999999998</v>
      </c>
      <c r="S907">
        <f>IF(VentesMagasins!$K907=1,(-1)*R907,R907)</f>
        <v>-2147.9499999999998</v>
      </c>
      <c r="T907">
        <f>IFERROR(VALUE(TRIM(SUBSTITUTE(VentesMagasins!$L907,".",","))),0)</f>
        <v>1</v>
      </c>
      <c r="U907">
        <f t="shared" si="43"/>
        <v>1</v>
      </c>
      <c r="V907" t="str">
        <f t="shared" si="44"/>
        <v>faible</v>
      </c>
      <c r="W907" t="str">
        <f>_xlfn.XLOOKUP(VentesMagasins!$B907,Clients!ClientID,Région)</f>
        <v>Nord</v>
      </c>
      <c r="X907" t="str">
        <f>INDEX(TypeClient,MATCH(VentesMagasins!$B907,Clients!ClientID))</f>
        <v>Fidèle</v>
      </c>
      <c r="Y907" t="str">
        <v>mai</v>
      </c>
    </row>
    <row r="908" spans="1:25" x14ac:dyDescent="0.25">
      <c r="A908" s="2">
        <v>907</v>
      </c>
      <c r="B908" s="12" t="s">
        <v>105</v>
      </c>
      <c r="C908" s="13">
        <v>45647</v>
      </c>
      <c r="D908" s="12" t="s">
        <v>338</v>
      </c>
      <c r="E908" s="14" t="s">
        <v>334</v>
      </c>
      <c r="F908" s="12" t="s">
        <v>324</v>
      </c>
      <c r="G908" s="2">
        <v>3</v>
      </c>
      <c r="H908" s="3">
        <v>368</v>
      </c>
      <c r="I908" s="14" t="s">
        <v>335</v>
      </c>
      <c r="J908" s="12" t="s">
        <v>1156</v>
      </c>
      <c r="K908" s="2">
        <v>1</v>
      </c>
      <c r="L908" s="12" t="s">
        <v>369</v>
      </c>
      <c r="M908">
        <f>YEAR(VentesMagasins!$C908)</f>
        <v>2024</v>
      </c>
      <c r="N908" t="e" cm="1" vm="1">
        <f t="array" aca="1" ref="N908" ca="1">MONTH(DateVente)</f>
        <v>#VALUE!</v>
      </c>
      <c r="O908" t="str">
        <f>PROPER(VentesMagasins!$F908)</f>
        <v>Électronique</v>
      </c>
      <c r="P908">
        <f>VALUE(CLEAN(TRIM(SUBSTITUTE(VentesMagasins!$I908,".",","))))</f>
        <v>0</v>
      </c>
      <c r="Q908">
        <f>VALUE(TRIM(SUBSTITUTE(VentesMagasins!$J908,".",",")))</f>
        <v>1104</v>
      </c>
      <c r="R908">
        <f t="shared" si="42"/>
        <v>1104</v>
      </c>
      <c r="S908">
        <f>IF(VentesMagasins!$K908=1,(-1)*R908,R908)</f>
        <v>-1104</v>
      </c>
      <c r="T908">
        <f>IFERROR(VALUE(TRIM(SUBSTITUTE(VentesMagasins!$L908,".",","))),0)</f>
        <v>1</v>
      </c>
      <c r="U908">
        <f t="shared" si="43"/>
        <v>1</v>
      </c>
      <c r="V908" t="str">
        <f t="shared" si="44"/>
        <v>faible</v>
      </c>
      <c r="W908" t="str">
        <f>_xlfn.XLOOKUP(VentesMagasins!$B908,Clients!ClientID,Région)</f>
        <v>Centre</v>
      </c>
      <c r="X908" t="str">
        <f>INDEX(TypeClient,MATCH(VentesMagasins!$B908,Clients!ClientID))</f>
        <v>Nouveau</v>
      </c>
      <c r="Y908" t="str">
        <v>déc</v>
      </c>
    </row>
    <row r="909" spans="1:25" x14ac:dyDescent="0.25">
      <c r="A909" s="2">
        <v>908</v>
      </c>
      <c r="B909" s="12" t="s">
        <v>216</v>
      </c>
      <c r="C909" s="13">
        <v>46013</v>
      </c>
      <c r="D909" s="12" t="s">
        <v>322</v>
      </c>
      <c r="E909" s="14" t="s">
        <v>348</v>
      </c>
      <c r="F909" s="12" t="s">
        <v>341</v>
      </c>
      <c r="G909" s="2">
        <v>5</v>
      </c>
      <c r="H909" s="3">
        <v>41</v>
      </c>
      <c r="I909" s="14" t="s">
        <v>335</v>
      </c>
      <c r="J909" s="12" t="s">
        <v>1157</v>
      </c>
      <c r="K909" s="2">
        <v>0</v>
      </c>
      <c r="L909" s="12" t="s">
        <v>327</v>
      </c>
      <c r="M909">
        <f>YEAR(VentesMagasins!$C909)</f>
        <v>2025</v>
      </c>
      <c r="N909" t="e" cm="1" vm="1">
        <f t="array" aca="1" ref="N909" ca="1">MONTH(DateVente)</f>
        <v>#VALUE!</v>
      </c>
      <c r="O909" t="str">
        <f>PROPER(VentesMagasins!$F909)</f>
        <v>Meuble</v>
      </c>
      <c r="P909">
        <f>VALUE(CLEAN(TRIM(SUBSTITUTE(VentesMagasins!$I909,".",","))))</f>
        <v>0</v>
      </c>
      <c r="Q909">
        <f>VALUE(TRIM(SUBSTITUTE(VentesMagasins!$J909,".",",")))</f>
        <v>205</v>
      </c>
      <c r="R909">
        <f t="shared" si="42"/>
        <v>205</v>
      </c>
      <c r="S909">
        <f>IF(VentesMagasins!$K909=1,(-1)*R909,R909)</f>
        <v>205</v>
      </c>
      <c r="T909">
        <f>IFERROR(VALUE(TRIM(SUBSTITUTE(VentesMagasins!$L909,".",","))),0)</f>
        <v>5</v>
      </c>
      <c r="U909">
        <f t="shared" si="43"/>
        <v>5</v>
      </c>
      <c r="V909" t="str">
        <f t="shared" si="44"/>
        <v>élévé</v>
      </c>
      <c r="W909" t="str">
        <f>_xlfn.XLOOKUP(VentesMagasins!$B909,Clients!ClientID,Région)</f>
        <v>Est</v>
      </c>
      <c r="X909" t="str">
        <f>INDEX(TypeClient,MATCH(VentesMagasins!$B909,Clients!ClientID))</f>
        <v>Fidèle</v>
      </c>
      <c r="Y909" t="str">
        <v>déc</v>
      </c>
    </row>
    <row r="910" spans="1:25" x14ac:dyDescent="0.25">
      <c r="A910" s="2">
        <v>909</v>
      </c>
      <c r="B910" s="12" t="s">
        <v>124</v>
      </c>
      <c r="C910" s="13">
        <v>45460</v>
      </c>
      <c r="D910" s="12" t="s">
        <v>350</v>
      </c>
      <c r="E910" s="14" t="s">
        <v>323</v>
      </c>
      <c r="F910" s="12" t="s">
        <v>341</v>
      </c>
      <c r="G910" s="2">
        <v>5</v>
      </c>
      <c r="H910" s="3">
        <v>298</v>
      </c>
      <c r="I910" s="14" t="s">
        <v>342</v>
      </c>
      <c r="J910" s="12" t="s">
        <v>1158</v>
      </c>
      <c r="K910" s="2">
        <v>0</v>
      </c>
      <c r="L910" s="12" t="s">
        <v>344</v>
      </c>
      <c r="M910">
        <f>YEAR(VentesMagasins!$C910)</f>
        <v>2024</v>
      </c>
      <c r="N910" t="e" cm="1" vm="1">
        <f t="array" aca="1" ref="N910" ca="1">MONTH(DateVente)</f>
        <v>#VALUE!</v>
      </c>
      <c r="O910" t="str">
        <f>PROPER(VentesMagasins!$F910)</f>
        <v>Meuble</v>
      </c>
      <c r="P910">
        <f>VALUE(CLEAN(TRIM(SUBSTITUTE(VentesMagasins!$I910,".",","))))</f>
        <v>0.05</v>
      </c>
      <c r="Q910">
        <f>VALUE(TRIM(SUBSTITUTE(VentesMagasins!$J910,".",",")))</f>
        <v>1415.5</v>
      </c>
      <c r="R910">
        <f t="shared" si="42"/>
        <v>1344.7249999999999</v>
      </c>
      <c r="S910">
        <f>IF(VentesMagasins!$K910=1,(-1)*R910,R910)</f>
        <v>1344.7249999999999</v>
      </c>
      <c r="T910">
        <f>IFERROR(VALUE(TRIM(SUBSTITUTE(VentesMagasins!$L910,".",","))),0)</f>
        <v>2</v>
      </c>
      <c r="U910">
        <f t="shared" si="43"/>
        <v>2</v>
      </c>
      <c r="V910" t="str">
        <f t="shared" si="44"/>
        <v>faible</v>
      </c>
      <c r="W910" t="str">
        <f>_xlfn.XLOOKUP(VentesMagasins!$B910,Clients!ClientID,Région)</f>
        <v>Ouest</v>
      </c>
      <c r="X910" t="str">
        <f>INDEX(TypeClient,MATCH(VentesMagasins!$B910,Clients!ClientID))</f>
        <v>Occasionnel</v>
      </c>
      <c r="Y910" t="str">
        <v>juin</v>
      </c>
    </row>
    <row r="911" spans="1:25" x14ac:dyDescent="0.25">
      <c r="A911" s="2">
        <v>910</v>
      </c>
      <c r="B911" s="12" t="s">
        <v>83</v>
      </c>
      <c r="C911" s="13">
        <v>45412</v>
      </c>
      <c r="D911" s="12" t="s">
        <v>333</v>
      </c>
      <c r="E911" s="14" t="s">
        <v>345</v>
      </c>
      <c r="F911" s="12" t="s">
        <v>324</v>
      </c>
      <c r="G911" s="2">
        <v>2</v>
      </c>
      <c r="H911" s="3">
        <v>280</v>
      </c>
      <c r="I911" s="14" t="s">
        <v>342</v>
      </c>
      <c r="J911" s="12" t="s">
        <v>1159</v>
      </c>
      <c r="K911" s="2">
        <v>0</v>
      </c>
      <c r="L911" s="12" t="s">
        <v>337</v>
      </c>
      <c r="M911">
        <f>YEAR(VentesMagasins!$C911)</f>
        <v>2024</v>
      </c>
      <c r="N911" t="e" cm="1" vm="1">
        <f t="array" aca="1" ref="N911" ca="1">MONTH(DateVente)</f>
        <v>#VALUE!</v>
      </c>
      <c r="O911" t="str">
        <f>PROPER(VentesMagasins!$F911)</f>
        <v>Électronique</v>
      </c>
      <c r="P911">
        <f>VALUE(CLEAN(TRIM(SUBSTITUTE(VentesMagasins!$I911,".",","))))</f>
        <v>0.05</v>
      </c>
      <c r="Q911">
        <f>VALUE(TRIM(SUBSTITUTE(VentesMagasins!$J911,".",",")))</f>
        <v>532</v>
      </c>
      <c r="R911">
        <f t="shared" si="42"/>
        <v>505.4</v>
      </c>
      <c r="S911">
        <f>IF(VentesMagasins!$K911=1,(-1)*R911,R911)</f>
        <v>505.4</v>
      </c>
      <c r="T911">
        <f>IFERROR(VALUE(TRIM(SUBSTITUTE(VentesMagasins!$L911,".",","))),0)</f>
        <v>3</v>
      </c>
      <c r="U911">
        <f t="shared" si="43"/>
        <v>3</v>
      </c>
      <c r="V911" t="str">
        <f t="shared" si="44"/>
        <v>moyenne</v>
      </c>
      <c r="W911" t="str">
        <f>_xlfn.XLOOKUP(VentesMagasins!$B911,Clients!ClientID,Région)</f>
        <v>Sud</v>
      </c>
      <c r="X911" t="str">
        <f>INDEX(TypeClient,MATCH(VentesMagasins!$B911,Clients!ClientID))</f>
        <v>Fidèle</v>
      </c>
      <c r="Y911" t="str">
        <v>avr</v>
      </c>
    </row>
    <row r="912" spans="1:25" x14ac:dyDescent="0.25">
      <c r="A912" s="2">
        <v>911</v>
      </c>
      <c r="B912" s="12" t="s">
        <v>288</v>
      </c>
      <c r="C912" s="13">
        <v>45062</v>
      </c>
      <c r="D912" s="12" t="s">
        <v>322</v>
      </c>
      <c r="E912" s="14" t="s">
        <v>334</v>
      </c>
      <c r="F912" s="12" t="s">
        <v>330</v>
      </c>
      <c r="G912" s="2">
        <v>3</v>
      </c>
      <c r="H912" s="3">
        <v>376</v>
      </c>
      <c r="I912" s="14" t="s">
        <v>342</v>
      </c>
      <c r="J912" s="12" t="s">
        <v>1160</v>
      </c>
      <c r="K912" s="2">
        <v>0</v>
      </c>
      <c r="L912" s="12" t="s">
        <v>327</v>
      </c>
      <c r="M912">
        <f>YEAR(VentesMagasins!$C912)</f>
        <v>2023</v>
      </c>
      <c r="N912" t="e" cm="1" vm="1">
        <f t="array" aca="1" ref="N912" ca="1">MONTH(DateVente)</f>
        <v>#VALUE!</v>
      </c>
      <c r="O912" t="str">
        <f>PROPER(VentesMagasins!$F912)</f>
        <v>Décoration</v>
      </c>
      <c r="P912">
        <f>VALUE(CLEAN(TRIM(SUBSTITUTE(VentesMagasins!$I912,".",","))))</f>
        <v>0.05</v>
      </c>
      <c r="Q912">
        <f>VALUE(TRIM(SUBSTITUTE(VentesMagasins!$J912,".",",")))</f>
        <v>1071.5999999999999</v>
      </c>
      <c r="R912">
        <f t="shared" si="42"/>
        <v>1018.0199999999999</v>
      </c>
      <c r="S912">
        <f>IF(VentesMagasins!$K912=1,(-1)*R912,R912)</f>
        <v>1018.0199999999999</v>
      </c>
      <c r="T912">
        <f>IFERROR(VALUE(TRIM(SUBSTITUTE(VentesMagasins!$L912,".",","))),0)</f>
        <v>5</v>
      </c>
      <c r="U912">
        <f t="shared" si="43"/>
        <v>5</v>
      </c>
      <c r="V912" t="str">
        <f t="shared" si="44"/>
        <v>élévé</v>
      </c>
      <c r="W912" t="str">
        <f>_xlfn.XLOOKUP(VentesMagasins!$B912,Clients!ClientID,Région)</f>
        <v>Nord</v>
      </c>
      <c r="X912" t="str">
        <f>INDEX(TypeClient,MATCH(VentesMagasins!$B912,Clients!ClientID))</f>
        <v>Fidèle</v>
      </c>
      <c r="Y912" t="str">
        <v>mai</v>
      </c>
    </row>
    <row r="913" spans="1:25" x14ac:dyDescent="0.25">
      <c r="A913" s="2">
        <v>912</v>
      </c>
      <c r="B913" s="12" t="s">
        <v>105</v>
      </c>
      <c r="C913" s="13">
        <v>45023</v>
      </c>
      <c r="D913" s="12" t="s">
        <v>328</v>
      </c>
      <c r="E913" s="14" t="s">
        <v>339</v>
      </c>
      <c r="F913" s="12" t="s">
        <v>330</v>
      </c>
      <c r="G913" s="2">
        <v>5</v>
      </c>
      <c r="H913" s="3">
        <v>486</v>
      </c>
      <c r="I913" s="14" t="s">
        <v>325</v>
      </c>
      <c r="J913" s="12" t="s">
        <v>1161</v>
      </c>
      <c r="K913" s="2">
        <v>0</v>
      </c>
      <c r="L913" s="12" t="s">
        <v>332</v>
      </c>
      <c r="M913">
        <f>YEAR(VentesMagasins!$C913)</f>
        <v>2023</v>
      </c>
      <c r="N913" t="e" cm="1" vm="1">
        <f t="array" aca="1" ref="N913" ca="1">MONTH(DateVente)</f>
        <v>#VALUE!</v>
      </c>
      <c r="O913" t="str">
        <f>PROPER(VentesMagasins!$F913)</f>
        <v>Décoration</v>
      </c>
      <c r="P913">
        <f>VALUE(CLEAN(TRIM(SUBSTITUTE(VentesMagasins!$I913,".",","))))</f>
        <v>0.15</v>
      </c>
      <c r="Q913">
        <f>VALUE(TRIM(SUBSTITUTE(VentesMagasins!$J913,".",",")))</f>
        <v>2065.5</v>
      </c>
      <c r="R913">
        <f t="shared" si="42"/>
        <v>1755.675</v>
      </c>
      <c r="S913">
        <f>IF(VentesMagasins!$K913=1,(-1)*R913,R913)</f>
        <v>1755.675</v>
      </c>
      <c r="T913">
        <f>IFERROR(VALUE(TRIM(SUBSTITUTE(VentesMagasins!$L913,".",","))),0)</f>
        <v>4</v>
      </c>
      <c r="U913">
        <f t="shared" si="43"/>
        <v>4</v>
      </c>
      <c r="V913" t="str">
        <f t="shared" si="44"/>
        <v>moyenne</v>
      </c>
      <c r="W913" t="str">
        <f>_xlfn.XLOOKUP(VentesMagasins!$B913,Clients!ClientID,Région)</f>
        <v>Centre</v>
      </c>
      <c r="X913" t="str">
        <f>INDEX(TypeClient,MATCH(VentesMagasins!$B913,Clients!ClientID))</f>
        <v>Nouveau</v>
      </c>
      <c r="Y913" t="str">
        <v>avr</v>
      </c>
    </row>
    <row r="914" spans="1:25" x14ac:dyDescent="0.25">
      <c r="A914" s="2">
        <v>913</v>
      </c>
      <c r="B914" s="12" t="s">
        <v>273</v>
      </c>
      <c r="C914" s="13">
        <v>44988</v>
      </c>
      <c r="D914" s="12" t="s">
        <v>333</v>
      </c>
      <c r="E914" s="14" t="s">
        <v>348</v>
      </c>
      <c r="F914" s="12" t="s">
        <v>341</v>
      </c>
      <c r="G914" s="2">
        <v>5</v>
      </c>
      <c r="H914" s="3">
        <v>65</v>
      </c>
      <c r="I914" s="14" t="s">
        <v>325</v>
      </c>
      <c r="J914" s="12" t="s">
        <v>1162</v>
      </c>
      <c r="K914" s="2">
        <v>0</v>
      </c>
      <c r="L914" s="12" t="s">
        <v>344</v>
      </c>
      <c r="M914">
        <f>YEAR(VentesMagasins!$C914)</f>
        <v>2023</v>
      </c>
      <c r="N914" t="e" cm="1" vm="1">
        <f t="array" aca="1" ref="N914" ca="1">MONTH(DateVente)</f>
        <v>#VALUE!</v>
      </c>
      <c r="O914" t="str">
        <f>PROPER(VentesMagasins!$F914)</f>
        <v>Meuble</v>
      </c>
      <c r="P914">
        <f>VALUE(CLEAN(TRIM(SUBSTITUTE(VentesMagasins!$I914,".",","))))</f>
        <v>0.15</v>
      </c>
      <c r="Q914">
        <f>VALUE(TRIM(SUBSTITUTE(VentesMagasins!$J914,".",",")))</f>
        <v>276.25</v>
      </c>
      <c r="R914">
        <f t="shared" si="42"/>
        <v>234.8125</v>
      </c>
      <c r="S914">
        <f>IF(VentesMagasins!$K914=1,(-1)*R914,R914)</f>
        <v>234.8125</v>
      </c>
      <c r="T914">
        <f>IFERROR(VALUE(TRIM(SUBSTITUTE(VentesMagasins!$L914,".",","))),0)</f>
        <v>2</v>
      </c>
      <c r="U914">
        <f t="shared" si="43"/>
        <v>2</v>
      </c>
      <c r="V914" t="str">
        <f t="shared" si="44"/>
        <v>faible</v>
      </c>
      <c r="W914" t="str">
        <f>_xlfn.XLOOKUP(VentesMagasins!$B914,Clients!ClientID,Région)</f>
        <v>Nord</v>
      </c>
      <c r="X914" t="str">
        <f>INDEX(TypeClient,MATCH(VentesMagasins!$B914,Clients!ClientID))</f>
        <v>Occasionnel</v>
      </c>
      <c r="Y914" t="str">
        <v>mars</v>
      </c>
    </row>
    <row r="915" spans="1:25" x14ac:dyDescent="0.25">
      <c r="A915" s="2">
        <v>914</v>
      </c>
      <c r="B915" s="12" t="s">
        <v>184</v>
      </c>
      <c r="C915" s="13">
        <v>45190</v>
      </c>
      <c r="D915" s="12" t="s">
        <v>322</v>
      </c>
      <c r="E915" s="14" t="s">
        <v>364</v>
      </c>
      <c r="F915" s="12" t="s">
        <v>330</v>
      </c>
      <c r="G915" s="2">
        <v>1</v>
      </c>
      <c r="H915" s="3">
        <v>463</v>
      </c>
      <c r="I915" s="14" t="s">
        <v>335</v>
      </c>
      <c r="J915" s="12" t="s">
        <v>1163</v>
      </c>
      <c r="K915" s="2">
        <v>0</v>
      </c>
      <c r="L915" s="12" t="s">
        <v>344</v>
      </c>
      <c r="M915">
        <f>YEAR(VentesMagasins!$C915)</f>
        <v>2023</v>
      </c>
      <c r="N915" t="e" cm="1" vm="1">
        <f t="array" aca="1" ref="N915" ca="1">MONTH(DateVente)</f>
        <v>#VALUE!</v>
      </c>
      <c r="O915" t="str">
        <f>PROPER(VentesMagasins!$F915)</f>
        <v>Décoration</v>
      </c>
      <c r="P915">
        <f>VALUE(CLEAN(TRIM(SUBSTITUTE(VentesMagasins!$I915,".",","))))</f>
        <v>0</v>
      </c>
      <c r="Q915">
        <f>VALUE(TRIM(SUBSTITUTE(VentesMagasins!$J915,".",",")))</f>
        <v>463</v>
      </c>
      <c r="R915">
        <f t="shared" si="42"/>
        <v>463</v>
      </c>
      <c r="S915">
        <f>IF(VentesMagasins!$K915=1,(-1)*R915,R915)</f>
        <v>463</v>
      </c>
      <c r="T915">
        <f>IFERROR(VALUE(TRIM(SUBSTITUTE(VentesMagasins!$L915,".",","))),0)</f>
        <v>2</v>
      </c>
      <c r="U915">
        <f t="shared" si="43"/>
        <v>2</v>
      </c>
      <c r="V915" t="str">
        <f t="shared" si="44"/>
        <v>faible</v>
      </c>
      <c r="W915" t="str">
        <f>_xlfn.XLOOKUP(VentesMagasins!$B915,Clients!ClientID,Région)</f>
        <v>Sud</v>
      </c>
      <c r="X915" t="str">
        <f>INDEX(TypeClient,MATCH(VentesMagasins!$B915,Clients!ClientID))</f>
        <v>Nouveau</v>
      </c>
      <c r="Y915" t="str">
        <v>sept</v>
      </c>
    </row>
    <row r="916" spans="1:25" x14ac:dyDescent="0.25">
      <c r="A916" s="2">
        <v>915</v>
      </c>
      <c r="B916" s="12" t="s">
        <v>80</v>
      </c>
      <c r="C916" s="13">
        <v>45940</v>
      </c>
      <c r="D916" s="12" t="s">
        <v>350</v>
      </c>
      <c r="E916" s="14" t="s">
        <v>339</v>
      </c>
      <c r="F916" s="12" t="s">
        <v>324</v>
      </c>
      <c r="G916" s="2">
        <v>5</v>
      </c>
      <c r="H916" s="3">
        <v>318</v>
      </c>
      <c r="I916" s="14" t="s">
        <v>335</v>
      </c>
      <c r="J916" s="12" t="s">
        <v>1164</v>
      </c>
      <c r="K916" s="2">
        <v>0</v>
      </c>
      <c r="L916" s="12" t="s">
        <v>369</v>
      </c>
      <c r="M916">
        <f>YEAR(VentesMagasins!$C916)</f>
        <v>2025</v>
      </c>
      <c r="N916" t="e" cm="1" vm="1">
        <f t="array" aca="1" ref="N916" ca="1">MONTH(DateVente)</f>
        <v>#VALUE!</v>
      </c>
      <c r="O916" t="str">
        <f>PROPER(VentesMagasins!$F916)</f>
        <v>Électronique</v>
      </c>
      <c r="P916">
        <f>VALUE(CLEAN(TRIM(SUBSTITUTE(VentesMagasins!$I916,".",","))))</f>
        <v>0</v>
      </c>
      <c r="Q916">
        <f>VALUE(TRIM(SUBSTITUTE(VentesMagasins!$J916,".",",")))</f>
        <v>1590</v>
      </c>
      <c r="R916">
        <f t="shared" si="42"/>
        <v>1590</v>
      </c>
      <c r="S916">
        <f>IF(VentesMagasins!$K916=1,(-1)*R916,R916)</f>
        <v>1590</v>
      </c>
      <c r="T916">
        <f>IFERROR(VALUE(TRIM(SUBSTITUTE(VentesMagasins!$L916,".",","))),0)</f>
        <v>1</v>
      </c>
      <c r="U916">
        <f t="shared" si="43"/>
        <v>1</v>
      </c>
      <c r="V916" t="str">
        <f t="shared" si="44"/>
        <v>faible</v>
      </c>
      <c r="W916" t="str">
        <f>_xlfn.XLOOKUP(VentesMagasins!$B916,Clients!ClientID,Région)</f>
        <v>Centre</v>
      </c>
      <c r="X916" t="str">
        <f>INDEX(TypeClient,MATCH(VentesMagasins!$B916,Clients!ClientID))</f>
        <v>Occasionnel</v>
      </c>
      <c r="Y916" t="str">
        <v>oct</v>
      </c>
    </row>
    <row r="917" spans="1:25" x14ac:dyDescent="0.25">
      <c r="A917" s="2">
        <v>916</v>
      </c>
      <c r="B917" s="12" t="s">
        <v>235</v>
      </c>
      <c r="C917" s="13">
        <v>45773</v>
      </c>
      <c r="D917" s="12" t="s">
        <v>328</v>
      </c>
      <c r="E917" s="14" t="s">
        <v>362</v>
      </c>
      <c r="F917" s="12" t="s">
        <v>324</v>
      </c>
      <c r="G917" s="2">
        <v>5</v>
      </c>
      <c r="H917" s="3">
        <v>236</v>
      </c>
      <c r="I917" s="14" t="s">
        <v>355</v>
      </c>
      <c r="J917" s="12" t="s">
        <v>1165</v>
      </c>
      <c r="K917" s="2">
        <v>1</v>
      </c>
      <c r="L917" s="12" t="s">
        <v>332</v>
      </c>
      <c r="M917">
        <f>YEAR(VentesMagasins!$C917)</f>
        <v>2025</v>
      </c>
      <c r="N917" t="e" cm="1" vm="1">
        <f t="array" aca="1" ref="N917" ca="1">MONTH(DateVente)</f>
        <v>#VALUE!</v>
      </c>
      <c r="O917" t="str">
        <f>PROPER(VentesMagasins!$F917)</f>
        <v>Électronique</v>
      </c>
      <c r="P917">
        <f>VALUE(CLEAN(TRIM(SUBSTITUTE(VentesMagasins!$I917,".",","))))</f>
        <v>0.1</v>
      </c>
      <c r="Q917">
        <f>VALUE(TRIM(SUBSTITUTE(VentesMagasins!$J917,".",",")))</f>
        <v>1062</v>
      </c>
      <c r="R917">
        <f t="shared" si="42"/>
        <v>955.80000000000007</v>
      </c>
      <c r="S917">
        <f>IF(VentesMagasins!$K917=1,(-1)*R917,R917)</f>
        <v>-955.80000000000007</v>
      </c>
      <c r="T917">
        <f>IFERROR(VALUE(TRIM(SUBSTITUTE(VentesMagasins!$L917,".",","))),0)</f>
        <v>4</v>
      </c>
      <c r="U917">
        <f t="shared" si="43"/>
        <v>4</v>
      </c>
      <c r="V917" t="str">
        <f t="shared" si="44"/>
        <v>moyenne</v>
      </c>
      <c r="W917" t="str">
        <f>_xlfn.XLOOKUP(VentesMagasins!$B917,Clients!ClientID,Région)</f>
        <v>Sud</v>
      </c>
      <c r="X917" t="str">
        <f>INDEX(TypeClient,MATCH(VentesMagasins!$B917,Clients!ClientID))</f>
        <v>Fidèle</v>
      </c>
      <c r="Y917" t="str">
        <v>avr</v>
      </c>
    </row>
    <row r="918" spans="1:25" x14ac:dyDescent="0.25">
      <c r="A918" s="2">
        <v>917</v>
      </c>
      <c r="B918" s="12" t="s">
        <v>180</v>
      </c>
      <c r="C918" s="13">
        <v>45682</v>
      </c>
      <c r="D918" s="12" t="s">
        <v>328</v>
      </c>
      <c r="E918" s="14" t="s">
        <v>364</v>
      </c>
      <c r="F918" s="12" t="s">
        <v>341</v>
      </c>
      <c r="G918" s="2">
        <v>3</v>
      </c>
      <c r="H918" s="3">
        <v>165</v>
      </c>
      <c r="I918" s="14" t="s">
        <v>325</v>
      </c>
      <c r="J918" s="12" t="s">
        <v>1166</v>
      </c>
      <c r="K918" s="2">
        <v>0</v>
      </c>
      <c r="L918" s="12" t="s">
        <v>332</v>
      </c>
      <c r="M918">
        <f>YEAR(VentesMagasins!$C918)</f>
        <v>2025</v>
      </c>
      <c r="N918" t="e" cm="1" vm="1">
        <f t="array" aca="1" ref="N918" ca="1">MONTH(DateVente)</f>
        <v>#VALUE!</v>
      </c>
      <c r="O918" t="str">
        <f>PROPER(VentesMagasins!$F918)</f>
        <v>Meuble</v>
      </c>
      <c r="P918">
        <f>VALUE(CLEAN(TRIM(SUBSTITUTE(VentesMagasins!$I918,".",","))))</f>
        <v>0.15</v>
      </c>
      <c r="Q918">
        <f>VALUE(TRIM(SUBSTITUTE(VentesMagasins!$J918,".",",")))</f>
        <v>420.75</v>
      </c>
      <c r="R918">
        <f t="shared" si="42"/>
        <v>357.63749999999999</v>
      </c>
      <c r="S918">
        <f>IF(VentesMagasins!$K918=1,(-1)*R918,R918)</f>
        <v>357.63749999999999</v>
      </c>
      <c r="T918">
        <f>IFERROR(VALUE(TRIM(SUBSTITUTE(VentesMagasins!$L918,".",","))),0)</f>
        <v>4</v>
      </c>
      <c r="U918">
        <f t="shared" si="43"/>
        <v>4</v>
      </c>
      <c r="V918" t="str">
        <f t="shared" si="44"/>
        <v>moyenne</v>
      </c>
      <c r="W918" t="str">
        <f>_xlfn.XLOOKUP(VentesMagasins!$B918,Clients!ClientID,Région)</f>
        <v>Centre</v>
      </c>
      <c r="X918" t="str">
        <f>INDEX(TypeClient,MATCH(VentesMagasins!$B918,Clients!ClientID))</f>
        <v>Nouveau</v>
      </c>
      <c r="Y918" t="str">
        <v>janv</v>
      </c>
    </row>
    <row r="919" spans="1:25" x14ac:dyDescent="0.25">
      <c r="A919" s="2">
        <v>918</v>
      </c>
      <c r="B919" s="12" t="s">
        <v>20</v>
      </c>
      <c r="C919" s="13">
        <v>45051</v>
      </c>
      <c r="D919" s="12" t="s">
        <v>350</v>
      </c>
      <c r="E919" s="14" t="s">
        <v>334</v>
      </c>
      <c r="F919" s="12" t="s">
        <v>324</v>
      </c>
      <c r="G919" s="2">
        <v>4</v>
      </c>
      <c r="H919" s="3">
        <v>118</v>
      </c>
      <c r="I919" s="14" t="s">
        <v>335</v>
      </c>
      <c r="J919" s="12" t="s">
        <v>1167</v>
      </c>
      <c r="K919" s="2">
        <v>0</v>
      </c>
      <c r="L919" s="12" t="s">
        <v>337</v>
      </c>
      <c r="M919">
        <f>YEAR(VentesMagasins!$C919)</f>
        <v>2023</v>
      </c>
      <c r="N919" t="e" cm="1" vm="1">
        <f t="array" aca="1" ref="N919" ca="1">MONTH(DateVente)</f>
        <v>#VALUE!</v>
      </c>
      <c r="O919" t="str">
        <f>PROPER(VentesMagasins!$F919)</f>
        <v>Électronique</v>
      </c>
      <c r="P919">
        <f>VALUE(CLEAN(TRIM(SUBSTITUTE(VentesMagasins!$I919,".",","))))</f>
        <v>0</v>
      </c>
      <c r="Q919">
        <f>VALUE(TRIM(SUBSTITUTE(VentesMagasins!$J919,".",",")))</f>
        <v>472</v>
      </c>
      <c r="R919">
        <f t="shared" si="42"/>
        <v>472</v>
      </c>
      <c r="S919">
        <f>IF(VentesMagasins!$K919=1,(-1)*R919,R919)</f>
        <v>472</v>
      </c>
      <c r="T919">
        <f>IFERROR(VALUE(TRIM(SUBSTITUTE(VentesMagasins!$L919,".",","))),0)</f>
        <v>3</v>
      </c>
      <c r="U919">
        <f t="shared" si="43"/>
        <v>3</v>
      </c>
      <c r="V919" t="str">
        <f t="shared" si="44"/>
        <v>moyenne</v>
      </c>
      <c r="W919" t="str">
        <f>_xlfn.XLOOKUP(VentesMagasins!$B919,Clients!ClientID,Région)</f>
        <v>Centre</v>
      </c>
      <c r="X919" t="str">
        <f>INDEX(TypeClient,MATCH(VentesMagasins!$B919,Clients!ClientID))</f>
        <v>Nouveau</v>
      </c>
      <c r="Y919" t="str">
        <v>mai</v>
      </c>
    </row>
    <row r="920" spans="1:25" x14ac:dyDescent="0.25">
      <c r="A920" s="2">
        <v>919</v>
      </c>
      <c r="B920" s="12" t="s">
        <v>286</v>
      </c>
      <c r="C920" s="13">
        <v>45101</v>
      </c>
      <c r="D920" s="12" t="s">
        <v>338</v>
      </c>
      <c r="E920" s="14" t="s">
        <v>339</v>
      </c>
      <c r="F920" s="12" t="s">
        <v>330</v>
      </c>
      <c r="G920" s="2">
        <v>1</v>
      </c>
      <c r="H920" s="3">
        <v>338</v>
      </c>
      <c r="I920" s="14" t="s">
        <v>325</v>
      </c>
      <c r="J920" s="12" t="s">
        <v>541</v>
      </c>
      <c r="K920" s="2">
        <v>0</v>
      </c>
      <c r="L920" s="12" t="s">
        <v>352</v>
      </c>
      <c r="M920">
        <f>YEAR(VentesMagasins!$C920)</f>
        <v>2023</v>
      </c>
      <c r="N920" t="e" cm="1" vm="1">
        <f t="array" aca="1" ref="N920" ca="1">MONTH(DateVente)</f>
        <v>#VALUE!</v>
      </c>
      <c r="O920" t="str">
        <f>PROPER(VentesMagasins!$F920)</f>
        <v>Décoration</v>
      </c>
      <c r="P920">
        <f>VALUE(CLEAN(TRIM(SUBSTITUTE(VentesMagasins!$I920,".",","))))</f>
        <v>0.15</v>
      </c>
      <c r="Q920">
        <f>VALUE(TRIM(SUBSTITUTE(VentesMagasins!$J920,".",",")))</f>
        <v>287.3</v>
      </c>
      <c r="R920">
        <f t="shared" si="42"/>
        <v>244.20500000000001</v>
      </c>
      <c r="S920">
        <f>IF(VentesMagasins!$K920=1,(-1)*R920,R920)</f>
        <v>244.20500000000001</v>
      </c>
      <c r="T920">
        <f>IFERROR(VALUE(TRIM(SUBSTITUTE(VentesMagasins!$L920,".",","))),0)</f>
        <v>0</v>
      </c>
      <c r="U920">
        <f t="shared" si="43"/>
        <v>3</v>
      </c>
      <c r="V920" t="str">
        <f t="shared" si="44"/>
        <v>moyenne</v>
      </c>
      <c r="W920" t="str">
        <f>_xlfn.XLOOKUP(VentesMagasins!$B920,Clients!ClientID,Région)</f>
        <v>Ouest</v>
      </c>
      <c r="X920" t="str">
        <f>INDEX(TypeClient,MATCH(VentesMagasins!$B920,Clients!ClientID))</f>
        <v>Nouveau</v>
      </c>
      <c r="Y920" t="str">
        <v>juin</v>
      </c>
    </row>
    <row r="921" spans="1:25" x14ac:dyDescent="0.25">
      <c r="A921" s="2">
        <v>920</v>
      </c>
      <c r="B921" s="12" t="s">
        <v>47</v>
      </c>
      <c r="C921" s="13">
        <v>45305</v>
      </c>
      <c r="D921" s="12" t="s">
        <v>322</v>
      </c>
      <c r="E921" s="14" t="s">
        <v>364</v>
      </c>
      <c r="F921" s="12" t="s">
        <v>324</v>
      </c>
      <c r="G921" s="2">
        <v>2</v>
      </c>
      <c r="H921" s="3">
        <v>30</v>
      </c>
      <c r="I921" s="14" t="s">
        <v>325</v>
      </c>
      <c r="J921" s="12" t="s">
        <v>1168</v>
      </c>
      <c r="K921" s="2">
        <v>0</v>
      </c>
      <c r="L921" s="12" t="s">
        <v>332</v>
      </c>
      <c r="M921">
        <f>YEAR(VentesMagasins!$C921)</f>
        <v>2024</v>
      </c>
      <c r="N921" t="e" cm="1" vm="1">
        <f t="array" aca="1" ref="N921" ca="1">MONTH(DateVente)</f>
        <v>#VALUE!</v>
      </c>
      <c r="O921" t="str">
        <f>PROPER(VentesMagasins!$F921)</f>
        <v>Électronique</v>
      </c>
      <c r="P921">
        <f>VALUE(CLEAN(TRIM(SUBSTITUTE(VentesMagasins!$I921,".",","))))</f>
        <v>0.15</v>
      </c>
      <c r="Q921">
        <f>VALUE(TRIM(SUBSTITUTE(VentesMagasins!$J921,".",",")))</f>
        <v>51</v>
      </c>
      <c r="R921">
        <f t="shared" si="42"/>
        <v>43.35</v>
      </c>
      <c r="S921">
        <f>IF(VentesMagasins!$K921=1,(-1)*R921,R921)</f>
        <v>43.35</v>
      </c>
      <c r="T921">
        <f>IFERROR(VALUE(TRIM(SUBSTITUTE(VentesMagasins!$L921,".",","))),0)</f>
        <v>4</v>
      </c>
      <c r="U921">
        <f t="shared" si="43"/>
        <v>4</v>
      </c>
      <c r="V921" t="str">
        <f t="shared" si="44"/>
        <v>moyenne</v>
      </c>
      <c r="W921" t="str">
        <f>_xlfn.XLOOKUP(VentesMagasins!$B921,Clients!ClientID,Région)</f>
        <v>Centre</v>
      </c>
      <c r="X921" t="str">
        <f>INDEX(TypeClient,MATCH(VentesMagasins!$B921,Clients!ClientID))</f>
        <v>Fidèle</v>
      </c>
      <c r="Y921" t="str">
        <v>janv</v>
      </c>
    </row>
    <row r="922" spans="1:25" x14ac:dyDescent="0.25">
      <c r="A922" s="2">
        <v>921</v>
      </c>
      <c r="B922" s="12" t="s">
        <v>77</v>
      </c>
      <c r="C922" s="13">
        <v>45033</v>
      </c>
      <c r="D922" s="12" t="s">
        <v>350</v>
      </c>
      <c r="E922" s="14" t="s">
        <v>348</v>
      </c>
      <c r="F922" s="12" t="s">
        <v>324</v>
      </c>
      <c r="G922" s="2">
        <v>5</v>
      </c>
      <c r="H922" s="3">
        <v>355</v>
      </c>
      <c r="I922" s="14" t="s">
        <v>355</v>
      </c>
      <c r="J922" s="12" t="s">
        <v>1169</v>
      </c>
      <c r="K922" s="2">
        <v>0</v>
      </c>
      <c r="L922" s="12" t="s">
        <v>369</v>
      </c>
      <c r="M922">
        <f>YEAR(VentesMagasins!$C922)</f>
        <v>2023</v>
      </c>
      <c r="N922" t="e" cm="1" vm="1">
        <f t="array" aca="1" ref="N922" ca="1">MONTH(DateVente)</f>
        <v>#VALUE!</v>
      </c>
      <c r="O922" t="str">
        <f>PROPER(VentesMagasins!$F922)</f>
        <v>Électronique</v>
      </c>
      <c r="P922">
        <f>VALUE(CLEAN(TRIM(SUBSTITUTE(VentesMagasins!$I922,".",","))))</f>
        <v>0.1</v>
      </c>
      <c r="Q922">
        <f>VALUE(TRIM(SUBSTITUTE(VentesMagasins!$J922,".",",")))</f>
        <v>1597.5</v>
      </c>
      <c r="R922">
        <f t="shared" si="42"/>
        <v>1437.75</v>
      </c>
      <c r="S922">
        <f>IF(VentesMagasins!$K922=1,(-1)*R922,R922)</f>
        <v>1437.75</v>
      </c>
      <c r="T922">
        <f>IFERROR(VALUE(TRIM(SUBSTITUTE(VentesMagasins!$L922,".",","))),0)</f>
        <v>1</v>
      </c>
      <c r="U922">
        <f t="shared" si="43"/>
        <v>1</v>
      </c>
      <c r="V922" t="str">
        <f t="shared" si="44"/>
        <v>faible</v>
      </c>
      <c r="W922" t="str">
        <f>_xlfn.XLOOKUP(VentesMagasins!$B922,Clients!ClientID,Région)</f>
        <v>Nord</v>
      </c>
      <c r="X922" t="str">
        <f>INDEX(TypeClient,MATCH(VentesMagasins!$B922,Clients!ClientID))</f>
        <v>Occasionnel</v>
      </c>
      <c r="Y922" t="str">
        <v>avr</v>
      </c>
    </row>
    <row r="923" spans="1:25" x14ac:dyDescent="0.25">
      <c r="A923" s="2">
        <v>922</v>
      </c>
      <c r="B923" s="12" t="s">
        <v>265</v>
      </c>
      <c r="C923" s="13">
        <v>44979</v>
      </c>
      <c r="D923" s="12" t="s">
        <v>350</v>
      </c>
      <c r="E923" s="14" t="s">
        <v>345</v>
      </c>
      <c r="F923" s="12" t="s">
        <v>341</v>
      </c>
      <c r="G923" s="2">
        <v>4</v>
      </c>
      <c r="H923" s="3">
        <v>357</v>
      </c>
      <c r="I923" s="14" t="s">
        <v>355</v>
      </c>
      <c r="J923" s="12" t="s">
        <v>431</v>
      </c>
      <c r="K923" s="2">
        <v>1</v>
      </c>
      <c r="L923" s="12" t="s">
        <v>369</v>
      </c>
      <c r="M923">
        <f>YEAR(VentesMagasins!$C923)</f>
        <v>2023</v>
      </c>
      <c r="N923" t="e" cm="1" vm="1">
        <f t="array" aca="1" ref="N923" ca="1">MONTH(DateVente)</f>
        <v>#VALUE!</v>
      </c>
      <c r="O923" t="str">
        <f>PROPER(VentesMagasins!$F923)</f>
        <v>Meuble</v>
      </c>
      <c r="P923">
        <f>VALUE(CLEAN(TRIM(SUBSTITUTE(VentesMagasins!$I923,".",","))))</f>
        <v>0.1</v>
      </c>
      <c r="Q923">
        <f>VALUE(TRIM(SUBSTITUTE(VentesMagasins!$J923,".",",")))</f>
        <v>1285.2</v>
      </c>
      <c r="R923">
        <f t="shared" si="42"/>
        <v>1156.68</v>
      </c>
      <c r="S923">
        <f>IF(VentesMagasins!$K923=1,(-1)*R923,R923)</f>
        <v>-1156.68</v>
      </c>
      <c r="T923">
        <f>IFERROR(VALUE(TRIM(SUBSTITUTE(VentesMagasins!$L923,".",","))),0)</f>
        <v>1</v>
      </c>
      <c r="U923">
        <f t="shared" si="43"/>
        <v>1</v>
      </c>
      <c r="V923" t="str">
        <f t="shared" si="44"/>
        <v>faible</v>
      </c>
      <c r="W923" t="str">
        <f>_xlfn.XLOOKUP(VentesMagasins!$B923,Clients!ClientID,Région)</f>
        <v>Ouest</v>
      </c>
      <c r="X923" t="str">
        <f>INDEX(TypeClient,MATCH(VentesMagasins!$B923,Clients!ClientID))</f>
        <v>Fidèle</v>
      </c>
      <c r="Y923" t="str">
        <v>févr</v>
      </c>
    </row>
    <row r="924" spans="1:25" x14ac:dyDescent="0.25">
      <c r="A924" s="2">
        <v>923</v>
      </c>
      <c r="B924" s="12" t="s">
        <v>24</v>
      </c>
      <c r="C924" s="13">
        <v>44935</v>
      </c>
      <c r="D924" s="12" t="s">
        <v>322</v>
      </c>
      <c r="E924" s="14" t="s">
        <v>345</v>
      </c>
      <c r="F924" s="12" t="s">
        <v>341</v>
      </c>
      <c r="G924" s="2">
        <v>4</v>
      </c>
      <c r="H924" s="3">
        <v>172</v>
      </c>
      <c r="I924" s="14" t="s">
        <v>355</v>
      </c>
      <c r="J924" s="12" t="s">
        <v>1170</v>
      </c>
      <c r="K924" s="2">
        <v>0</v>
      </c>
      <c r="L924" s="12" t="s">
        <v>369</v>
      </c>
      <c r="M924">
        <f>YEAR(VentesMagasins!$C924)</f>
        <v>2023</v>
      </c>
      <c r="N924" t="e" cm="1" vm="1">
        <f t="array" aca="1" ref="N924" ca="1">MONTH(DateVente)</f>
        <v>#VALUE!</v>
      </c>
      <c r="O924" t="str">
        <f>PROPER(VentesMagasins!$F924)</f>
        <v>Meuble</v>
      </c>
      <c r="P924">
        <f>VALUE(CLEAN(TRIM(SUBSTITUTE(VentesMagasins!$I924,".",","))))</f>
        <v>0.1</v>
      </c>
      <c r="Q924">
        <f>VALUE(TRIM(SUBSTITUTE(VentesMagasins!$J924,".",",")))</f>
        <v>619.20000000000005</v>
      </c>
      <c r="R924">
        <f t="shared" si="42"/>
        <v>557.28000000000009</v>
      </c>
      <c r="S924">
        <f>IF(VentesMagasins!$K924=1,(-1)*R924,R924)</f>
        <v>557.28000000000009</v>
      </c>
      <c r="T924">
        <f>IFERROR(VALUE(TRIM(SUBSTITUTE(VentesMagasins!$L924,".",","))),0)</f>
        <v>1</v>
      </c>
      <c r="U924">
        <f t="shared" si="43"/>
        <v>1</v>
      </c>
      <c r="V924" t="str">
        <f t="shared" si="44"/>
        <v>faible</v>
      </c>
      <c r="W924" t="str">
        <f>_xlfn.XLOOKUP(VentesMagasins!$B924,Clients!ClientID,Région)</f>
        <v>Est</v>
      </c>
      <c r="X924" t="str">
        <f>INDEX(TypeClient,MATCH(VentesMagasins!$B924,Clients!ClientID))</f>
        <v>Fidèle</v>
      </c>
      <c r="Y924" t="str">
        <v>janv</v>
      </c>
    </row>
    <row r="925" spans="1:25" x14ac:dyDescent="0.25">
      <c r="A925" s="2">
        <v>924</v>
      </c>
      <c r="B925" s="12" t="s">
        <v>173</v>
      </c>
      <c r="C925" s="13">
        <v>45040</v>
      </c>
      <c r="D925" s="12" t="s">
        <v>322</v>
      </c>
      <c r="E925" s="14" t="s">
        <v>339</v>
      </c>
      <c r="F925" s="12" t="s">
        <v>330</v>
      </c>
      <c r="G925" s="2">
        <v>4</v>
      </c>
      <c r="H925" s="3">
        <v>272</v>
      </c>
      <c r="I925" s="14" t="s">
        <v>335</v>
      </c>
      <c r="J925" s="12" t="s">
        <v>1171</v>
      </c>
      <c r="K925" s="2">
        <v>0</v>
      </c>
      <c r="L925" s="12" t="s">
        <v>332</v>
      </c>
      <c r="M925">
        <f>YEAR(VentesMagasins!$C925)</f>
        <v>2023</v>
      </c>
      <c r="N925" t="e" cm="1" vm="1">
        <f t="array" aca="1" ref="N925" ca="1">MONTH(DateVente)</f>
        <v>#VALUE!</v>
      </c>
      <c r="O925" t="str">
        <f>PROPER(VentesMagasins!$F925)</f>
        <v>Décoration</v>
      </c>
      <c r="P925">
        <f>VALUE(CLEAN(TRIM(SUBSTITUTE(VentesMagasins!$I925,".",","))))</f>
        <v>0</v>
      </c>
      <c r="Q925">
        <f>VALUE(TRIM(SUBSTITUTE(VentesMagasins!$J925,".",",")))</f>
        <v>1088</v>
      </c>
      <c r="R925">
        <f t="shared" si="42"/>
        <v>1088</v>
      </c>
      <c r="S925">
        <f>IF(VentesMagasins!$K925=1,(-1)*R925,R925)</f>
        <v>1088</v>
      </c>
      <c r="T925">
        <f>IFERROR(VALUE(TRIM(SUBSTITUTE(VentesMagasins!$L925,".",","))),0)</f>
        <v>4</v>
      </c>
      <c r="U925">
        <f t="shared" si="43"/>
        <v>4</v>
      </c>
      <c r="V925" t="str">
        <f t="shared" si="44"/>
        <v>moyenne</v>
      </c>
      <c r="W925" t="str">
        <f>_xlfn.XLOOKUP(VentesMagasins!$B925,Clients!ClientID,Région)</f>
        <v>Sud</v>
      </c>
      <c r="X925" t="str">
        <f>INDEX(TypeClient,MATCH(VentesMagasins!$B925,Clients!ClientID))</f>
        <v>Occasionnel</v>
      </c>
      <c r="Y925" t="str">
        <v>avr</v>
      </c>
    </row>
    <row r="926" spans="1:25" x14ac:dyDescent="0.25">
      <c r="A926" s="2">
        <v>925</v>
      </c>
      <c r="B926" s="12" t="s">
        <v>15</v>
      </c>
      <c r="C926" s="13">
        <v>45596</v>
      </c>
      <c r="D926" s="12" t="s">
        <v>322</v>
      </c>
      <c r="E926" s="14" t="s">
        <v>348</v>
      </c>
      <c r="F926" s="12" t="s">
        <v>330</v>
      </c>
      <c r="G926" s="2">
        <v>4</v>
      </c>
      <c r="H926" s="3">
        <v>306</v>
      </c>
      <c r="I926" s="14" t="s">
        <v>342</v>
      </c>
      <c r="J926" s="12" t="s">
        <v>1172</v>
      </c>
      <c r="K926" s="2">
        <v>1</v>
      </c>
      <c r="L926" s="12" t="s">
        <v>327</v>
      </c>
      <c r="M926">
        <f>YEAR(VentesMagasins!$C926)</f>
        <v>2024</v>
      </c>
      <c r="N926" t="e" cm="1" vm="1">
        <f t="array" aca="1" ref="N926" ca="1">MONTH(DateVente)</f>
        <v>#VALUE!</v>
      </c>
      <c r="O926" t="str">
        <f>PROPER(VentesMagasins!$F926)</f>
        <v>Décoration</v>
      </c>
      <c r="P926">
        <f>VALUE(CLEAN(TRIM(SUBSTITUTE(VentesMagasins!$I926,".",","))))</f>
        <v>0.05</v>
      </c>
      <c r="Q926">
        <f>VALUE(TRIM(SUBSTITUTE(VentesMagasins!$J926,".",",")))</f>
        <v>1162.8</v>
      </c>
      <c r="R926">
        <f t="shared" si="42"/>
        <v>1104.6599999999999</v>
      </c>
      <c r="S926">
        <f>IF(VentesMagasins!$K926=1,(-1)*R926,R926)</f>
        <v>-1104.6599999999999</v>
      </c>
      <c r="T926">
        <f>IFERROR(VALUE(TRIM(SUBSTITUTE(VentesMagasins!$L926,".",","))),0)</f>
        <v>5</v>
      </c>
      <c r="U926">
        <f t="shared" si="43"/>
        <v>5</v>
      </c>
      <c r="V926" t="str">
        <f t="shared" si="44"/>
        <v>élévé</v>
      </c>
      <c r="W926" t="str">
        <f>_xlfn.XLOOKUP(VentesMagasins!$B926,Clients!ClientID,Région)</f>
        <v>Ouest</v>
      </c>
      <c r="X926" t="str">
        <f>INDEX(TypeClient,MATCH(VentesMagasins!$B926,Clients!ClientID))</f>
        <v>Occasionnel</v>
      </c>
      <c r="Y926" t="str">
        <v>oct</v>
      </c>
    </row>
    <row r="927" spans="1:25" x14ac:dyDescent="0.25">
      <c r="A927" s="2">
        <v>926</v>
      </c>
      <c r="B927" s="12" t="s">
        <v>60</v>
      </c>
      <c r="C927" s="13">
        <v>45536</v>
      </c>
      <c r="D927" s="12" t="s">
        <v>328</v>
      </c>
      <c r="E927" s="14" t="s">
        <v>345</v>
      </c>
      <c r="F927" s="12" t="s">
        <v>324</v>
      </c>
      <c r="G927" s="2">
        <v>3</v>
      </c>
      <c r="H927" s="3">
        <v>240</v>
      </c>
      <c r="I927" s="14" t="s">
        <v>325</v>
      </c>
      <c r="J927" s="12" t="s">
        <v>538</v>
      </c>
      <c r="K927" s="2">
        <v>0</v>
      </c>
      <c r="L927" s="12" t="s">
        <v>332</v>
      </c>
      <c r="M927">
        <f>YEAR(VentesMagasins!$C927)</f>
        <v>2024</v>
      </c>
      <c r="N927" t="e" cm="1" vm="1">
        <f t="array" aca="1" ref="N927" ca="1">MONTH(DateVente)</f>
        <v>#VALUE!</v>
      </c>
      <c r="O927" t="str">
        <f>PROPER(VentesMagasins!$F927)</f>
        <v>Électronique</v>
      </c>
      <c r="P927">
        <f>VALUE(CLEAN(TRIM(SUBSTITUTE(VentesMagasins!$I927,".",","))))</f>
        <v>0.15</v>
      </c>
      <c r="Q927">
        <f>VALUE(TRIM(SUBSTITUTE(VentesMagasins!$J927,".",",")))</f>
        <v>612</v>
      </c>
      <c r="R927">
        <f t="shared" si="42"/>
        <v>520.19999999999993</v>
      </c>
      <c r="S927">
        <f>IF(VentesMagasins!$K927=1,(-1)*R927,R927)</f>
        <v>520.19999999999993</v>
      </c>
      <c r="T927">
        <f>IFERROR(VALUE(TRIM(SUBSTITUTE(VentesMagasins!$L927,".",","))),0)</f>
        <v>4</v>
      </c>
      <c r="U927">
        <f t="shared" si="43"/>
        <v>4</v>
      </c>
      <c r="V927" t="str">
        <f t="shared" si="44"/>
        <v>moyenne</v>
      </c>
      <c r="W927" t="str">
        <f>_xlfn.XLOOKUP(VentesMagasins!$B927,Clients!ClientID,Région)</f>
        <v>Centre</v>
      </c>
      <c r="X927" t="str">
        <f>INDEX(TypeClient,MATCH(VentesMagasins!$B927,Clients!ClientID))</f>
        <v>Fidèle</v>
      </c>
      <c r="Y927" t="str">
        <v>sept</v>
      </c>
    </row>
    <row r="928" spans="1:25" x14ac:dyDescent="0.25">
      <c r="A928" s="2">
        <v>927</v>
      </c>
      <c r="B928" s="12" t="s">
        <v>207</v>
      </c>
      <c r="C928" s="13">
        <v>45106</v>
      </c>
      <c r="D928" s="12" t="s">
        <v>338</v>
      </c>
      <c r="E928" s="14" t="s">
        <v>345</v>
      </c>
      <c r="F928" s="12" t="s">
        <v>341</v>
      </c>
      <c r="G928" s="2">
        <v>5</v>
      </c>
      <c r="H928" s="3">
        <v>92</v>
      </c>
      <c r="I928" s="14" t="s">
        <v>325</v>
      </c>
      <c r="J928" s="12" t="s">
        <v>1173</v>
      </c>
      <c r="K928" s="2">
        <v>0</v>
      </c>
      <c r="L928" s="12" t="s">
        <v>327</v>
      </c>
      <c r="M928">
        <f>YEAR(VentesMagasins!$C928)</f>
        <v>2023</v>
      </c>
      <c r="N928" t="e" cm="1" vm="1">
        <f t="array" aca="1" ref="N928" ca="1">MONTH(DateVente)</f>
        <v>#VALUE!</v>
      </c>
      <c r="O928" t="str">
        <f>PROPER(VentesMagasins!$F928)</f>
        <v>Meuble</v>
      </c>
      <c r="P928">
        <f>VALUE(CLEAN(TRIM(SUBSTITUTE(VentesMagasins!$I928,".",","))))</f>
        <v>0.15</v>
      </c>
      <c r="Q928">
        <f>VALUE(TRIM(SUBSTITUTE(VentesMagasins!$J928,".",",")))</f>
        <v>391</v>
      </c>
      <c r="R928">
        <f t="shared" si="42"/>
        <v>332.34999999999997</v>
      </c>
      <c r="S928">
        <f>IF(VentesMagasins!$K928=1,(-1)*R928,R928)</f>
        <v>332.34999999999997</v>
      </c>
      <c r="T928">
        <f>IFERROR(VALUE(TRIM(SUBSTITUTE(VentesMagasins!$L928,".",","))),0)</f>
        <v>5</v>
      </c>
      <c r="U928">
        <f t="shared" si="43"/>
        <v>5</v>
      </c>
      <c r="V928" t="str">
        <f t="shared" si="44"/>
        <v>élévé</v>
      </c>
      <c r="W928" t="str">
        <f>_xlfn.XLOOKUP(VentesMagasins!$B928,Clients!ClientID,Région)</f>
        <v>Ouest</v>
      </c>
      <c r="X928" t="str">
        <f>INDEX(TypeClient,MATCH(VentesMagasins!$B928,Clients!ClientID))</f>
        <v>Nouveau</v>
      </c>
      <c r="Y928" t="str">
        <v>juin</v>
      </c>
    </row>
    <row r="929" spans="1:25" x14ac:dyDescent="0.25">
      <c r="A929" s="2">
        <v>928</v>
      </c>
      <c r="B929" s="12" t="s">
        <v>132</v>
      </c>
      <c r="C929" s="13">
        <v>45920</v>
      </c>
      <c r="D929" s="12" t="s">
        <v>350</v>
      </c>
      <c r="E929" s="14" t="s">
        <v>334</v>
      </c>
      <c r="F929" s="12" t="s">
        <v>341</v>
      </c>
      <c r="G929" s="2">
        <v>2</v>
      </c>
      <c r="H929" s="3">
        <v>115</v>
      </c>
      <c r="I929" s="14" t="s">
        <v>355</v>
      </c>
      <c r="J929" s="12" t="s">
        <v>1174</v>
      </c>
      <c r="K929" s="2">
        <v>1</v>
      </c>
      <c r="L929" s="12" t="s">
        <v>327</v>
      </c>
      <c r="M929">
        <f>YEAR(VentesMagasins!$C929)</f>
        <v>2025</v>
      </c>
      <c r="N929" t="e" cm="1" vm="1">
        <f t="array" aca="1" ref="N929" ca="1">MONTH(DateVente)</f>
        <v>#VALUE!</v>
      </c>
      <c r="O929" t="str">
        <f>PROPER(VentesMagasins!$F929)</f>
        <v>Meuble</v>
      </c>
      <c r="P929">
        <f>VALUE(CLEAN(TRIM(SUBSTITUTE(VentesMagasins!$I929,".",","))))</f>
        <v>0.1</v>
      </c>
      <c r="Q929">
        <f>VALUE(TRIM(SUBSTITUTE(VentesMagasins!$J929,".",",")))</f>
        <v>207</v>
      </c>
      <c r="R929">
        <f t="shared" si="42"/>
        <v>186.3</v>
      </c>
      <c r="S929">
        <f>IF(VentesMagasins!$K929=1,(-1)*R929,R929)</f>
        <v>-186.3</v>
      </c>
      <c r="T929">
        <f>IFERROR(VALUE(TRIM(SUBSTITUTE(VentesMagasins!$L929,".",","))),0)</f>
        <v>5</v>
      </c>
      <c r="U929">
        <f t="shared" si="43"/>
        <v>5</v>
      </c>
      <c r="V929" t="str">
        <f t="shared" si="44"/>
        <v>élévé</v>
      </c>
      <c r="W929" t="str">
        <f>_xlfn.XLOOKUP(VentesMagasins!$B929,Clients!ClientID,Région)</f>
        <v>Ouest</v>
      </c>
      <c r="X929" t="str">
        <f>INDEX(TypeClient,MATCH(VentesMagasins!$B929,Clients!ClientID))</f>
        <v>Fidèle</v>
      </c>
      <c r="Y929" t="str">
        <v>sept</v>
      </c>
    </row>
    <row r="930" spans="1:25" x14ac:dyDescent="0.25">
      <c r="A930" s="2">
        <v>929</v>
      </c>
      <c r="B930" s="12" t="s">
        <v>48</v>
      </c>
      <c r="C930" s="13">
        <v>45401</v>
      </c>
      <c r="D930" s="12" t="s">
        <v>333</v>
      </c>
      <c r="E930" s="14" t="s">
        <v>329</v>
      </c>
      <c r="F930" s="12" t="s">
        <v>324</v>
      </c>
      <c r="G930" s="2">
        <v>2</v>
      </c>
      <c r="H930" s="3">
        <v>380</v>
      </c>
      <c r="I930" s="14" t="s">
        <v>335</v>
      </c>
      <c r="J930" s="12" t="s">
        <v>1175</v>
      </c>
      <c r="K930" s="2">
        <v>1</v>
      </c>
      <c r="L930" s="12" t="s">
        <v>369</v>
      </c>
      <c r="M930">
        <f>YEAR(VentesMagasins!$C930)</f>
        <v>2024</v>
      </c>
      <c r="N930" t="e" cm="1" vm="1">
        <f t="array" aca="1" ref="N930" ca="1">MONTH(DateVente)</f>
        <v>#VALUE!</v>
      </c>
      <c r="O930" t="str">
        <f>PROPER(VentesMagasins!$F930)</f>
        <v>Électronique</v>
      </c>
      <c r="P930">
        <f>VALUE(CLEAN(TRIM(SUBSTITUTE(VentesMagasins!$I930,".",","))))</f>
        <v>0</v>
      </c>
      <c r="Q930">
        <f>VALUE(TRIM(SUBSTITUTE(VentesMagasins!$J930,".",",")))</f>
        <v>760</v>
      </c>
      <c r="R930">
        <f t="shared" si="42"/>
        <v>760</v>
      </c>
      <c r="S930">
        <f>IF(VentesMagasins!$K930=1,(-1)*R930,R930)</f>
        <v>-760</v>
      </c>
      <c r="T930">
        <f>IFERROR(VALUE(TRIM(SUBSTITUTE(VentesMagasins!$L930,".",","))),0)</f>
        <v>1</v>
      </c>
      <c r="U930">
        <f t="shared" si="43"/>
        <v>1</v>
      </c>
      <c r="V930" t="str">
        <f t="shared" si="44"/>
        <v>faible</v>
      </c>
      <c r="W930" t="str">
        <f>_xlfn.XLOOKUP(VentesMagasins!$B930,Clients!ClientID,Région)</f>
        <v>Sud</v>
      </c>
      <c r="X930" t="str">
        <f>INDEX(TypeClient,MATCH(VentesMagasins!$B930,Clients!ClientID))</f>
        <v>Fidèle</v>
      </c>
      <c r="Y930" t="str">
        <v>avr</v>
      </c>
    </row>
    <row r="931" spans="1:25" x14ac:dyDescent="0.25">
      <c r="A931" s="2">
        <v>930</v>
      </c>
      <c r="B931" s="12" t="s">
        <v>59</v>
      </c>
      <c r="C931" s="13">
        <v>44995</v>
      </c>
      <c r="D931" s="12" t="s">
        <v>360</v>
      </c>
      <c r="E931" s="14" t="s">
        <v>345</v>
      </c>
      <c r="F931" s="12" t="s">
        <v>341</v>
      </c>
      <c r="G931" s="2">
        <v>2</v>
      </c>
      <c r="H931" s="3">
        <v>346</v>
      </c>
      <c r="I931" s="14" t="s">
        <v>355</v>
      </c>
      <c r="J931" s="12" t="s">
        <v>987</v>
      </c>
      <c r="K931" s="2">
        <v>1</v>
      </c>
      <c r="L931" s="12" t="s">
        <v>352</v>
      </c>
      <c r="M931">
        <f>YEAR(VentesMagasins!$C931)</f>
        <v>2023</v>
      </c>
      <c r="N931" t="e" cm="1" vm="1">
        <f t="array" aca="1" ref="N931" ca="1">MONTH(DateVente)</f>
        <v>#VALUE!</v>
      </c>
      <c r="O931" t="str">
        <f>PROPER(VentesMagasins!$F931)</f>
        <v>Meuble</v>
      </c>
      <c r="P931">
        <f>VALUE(CLEAN(TRIM(SUBSTITUTE(VentesMagasins!$I931,".",","))))</f>
        <v>0.1</v>
      </c>
      <c r="Q931">
        <f>VALUE(TRIM(SUBSTITUTE(VentesMagasins!$J931,".",",")))</f>
        <v>622.79999999999995</v>
      </c>
      <c r="R931">
        <f t="shared" si="42"/>
        <v>560.52</v>
      </c>
      <c r="S931">
        <f>IF(VentesMagasins!$K931=1,(-1)*R931,R931)</f>
        <v>-560.52</v>
      </c>
      <c r="T931">
        <f>IFERROR(VALUE(TRIM(SUBSTITUTE(VentesMagasins!$L931,".",","))),0)</f>
        <v>0</v>
      </c>
      <c r="U931">
        <f t="shared" si="43"/>
        <v>3</v>
      </c>
      <c r="V931" t="str">
        <f t="shared" si="44"/>
        <v>moyenne</v>
      </c>
      <c r="W931" t="str">
        <f>_xlfn.XLOOKUP(VentesMagasins!$B931,Clients!ClientID,Région)</f>
        <v>Sud</v>
      </c>
      <c r="X931" t="str">
        <f>INDEX(TypeClient,MATCH(VentesMagasins!$B931,Clients!ClientID))</f>
        <v>Occasionnel</v>
      </c>
      <c r="Y931" t="str">
        <v>mars</v>
      </c>
    </row>
    <row r="932" spans="1:25" x14ac:dyDescent="0.25">
      <c r="A932" s="2">
        <v>931</v>
      </c>
      <c r="B932" s="12" t="s">
        <v>282</v>
      </c>
      <c r="C932" s="13">
        <v>45711</v>
      </c>
      <c r="D932" s="12" t="s">
        <v>328</v>
      </c>
      <c r="E932" s="14" t="s">
        <v>339</v>
      </c>
      <c r="F932" s="12" t="s">
        <v>324</v>
      </c>
      <c r="G932" s="2">
        <v>4</v>
      </c>
      <c r="H932" s="3">
        <v>102</v>
      </c>
      <c r="I932" s="14" t="s">
        <v>335</v>
      </c>
      <c r="J932" s="12" t="s">
        <v>1176</v>
      </c>
      <c r="K932" s="2">
        <v>0</v>
      </c>
      <c r="L932" s="12" t="s">
        <v>332</v>
      </c>
      <c r="M932">
        <f>YEAR(VentesMagasins!$C932)</f>
        <v>2025</v>
      </c>
      <c r="N932" t="e" cm="1" vm="1">
        <f t="array" aca="1" ref="N932" ca="1">MONTH(DateVente)</f>
        <v>#VALUE!</v>
      </c>
      <c r="O932" t="str">
        <f>PROPER(VentesMagasins!$F932)</f>
        <v>Électronique</v>
      </c>
      <c r="P932">
        <f>VALUE(CLEAN(TRIM(SUBSTITUTE(VentesMagasins!$I932,".",","))))</f>
        <v>0</v>
      </c>
      <c r="Q932">
        <f>VALUE(TRIM(SUBSTITUTE(VentesMagasins!$J932,".",",")))</f>
        <v>408</v>
      </c>
      <c r="R932">
        <f t="shared" si="42"/>
        <v>408</v>
      </c>
      <c r="S932">
        <f>IF(VentesMagasins!$K932=1,(-1)*R932,R932)</f>
        <v>408</v>
      </c>
      <c r="T932">
        <f>IFERROR(VALUE(TRIM(SUBSTITUTE(VentesMagasins!$L932,".",","))),0)</f>
        <v>4</v>
      </c>
      <c r="U932">
        <f t="shared" si="43"/>
        <v>4</v>
      </c>
      <c r="V932" t="str">
        <f t="shared" si="44"/>
        <v>moyenne</v>
      </c>
      <c r="W932" t="str">
        <f>_xlfn.XLOOKUP(VentesMagasins!$B932,Clients!ClientID,Région)</f>
        <v>Nord</v>
      </c>
      <c r="X932" t="str">
        <f>INDEX(TypeClient,MATCH(VentesMagasins!$B932,Clients!ClientID))</f>
        <v>Nouveau</v>
      </c>
      <c r="Y932" t="str">
        <v>févr</v>
      </c>
    </row>
    <row r="933" spans="1:25" x14ac:dyDescent="0.25">
      <c r="A933" s="2">
        <v>932</v>
      </c>
      <c r="B933" s="12" t="s">
        <v>157</v>
      </c>
      <c r="C933" s="13">
        <v>45712</v>
      </c>
      <c r="D933" s="12" t="s">
        <v>333</v>
      </c>
      <c r="E933" s="14" t="s">
        <v>345</v>
      </c>
      <c r="F933" s="12" t="s">
        <v>330</v>
      </c>
      <c r="G933" s="2">
        <v>1</v>
      </c>
      <c r="H933" s="3">
        <v>141</v>
      </c>
      <c r="I933" s="14" t="s">
        <v>342</v>
      </c>
      <c r="J933" s="12" t="s">
        <v>901</v>
      </c>
      <c r="K933" s="2">
        <v>0</v>
      </c>
      <c r="L933" s="12" t="s">
        <v>344</v>
      </c>
      <c r="M933">
        <f>YEAR(VentesMagasins!$C933)</f>
        <v>2025</v>
      </c>
      <c r="N933" t="e" cm="1" vm="1">
        <f t="array" aca="1" ref="N933" ca="1">MONTH(DateVente)</f>
        <v>#VALUE!</v>
      </c>
      <c r="O933" t="str">
        <f>PROPER(VentesMagasins!$F933)</f>
        <v>Décoration</v>
      </c>
      <c r="P933">
        <f>VALUE(CLEAN(TRIM(SUBSTITUTE(VentesMagasins!$I933,".",","))))</f>
        <v>0.05</v>
      </c>
      <c r="Q933">
        <f>VALUE(TRIM(SUBSTITUTE(VentesMagasins!$J933,".",",")))</f>
        <v>133.94999999999999</v>
      </c>
      <c r="R933">
        <f t="shared" si="42"/>
        <v>127.25249999999998</v>
      </c>
      <c r="S933">
        <f>IF(VentesMagasins!$K933=1,(-1)*R933,R933)</f>
        <v>127.25249999999998</v>
      </c>
      <c r="T933">
        <f>IFERROR(VALUE(TRIM(SUBSTITUTE(VentesMagasins!$L933,".",","))),0)</f>
        <v>2</v>
      </c>
      <c r="U933">
        <f t="shared" si="43"/>
        <v>2</v>
      </c>
      <c r="V933" t="str">
        <f t="shared" si="44"/>
        <v>faible</v>
      </c>
      <c r="W933" t="str">
        <f>_xlfn.XLOOKUP(VentesMagasins!$B933,Clients!ClientID,Région)</f>
        <v>Nord</v>
      </c>
      <c r="X933" t="str">
        <f>INDEX(TypeClient,MATCH(VentesMagasins!$B933,Clients!ClientID))</f>
        <v>Occasionnel</v>
      </c>
      <c r="Y933" t="str">
        <v>févr</v>
      </c>
    </row>
    <row r="934" spans="1:25" x14ac:dyDescent="0.25">
      <c r="A934" s="2">
        <v>933</v>
      </c>
      <c r="B934" s="12" t="s">
        <v>212</v>
      </c>
      <c r="C934" s="13">
        <v>45220</v>
      </c>
      <c r="D934" s="12" t="s">
        <v>328</v>
      </c>
      <c r="E934" s="14" t="s">
        <v>323</v>
      </c>
      <c r="F934" s="12" t="s">
        <v>330</v>
      </c>
      <c r="G934" s="2">
        <v>5</v>
      </c>
      <c r="H934" s="3">
        <v>455</v>
      </c>
      <c r="I934" s="14" t="s">
        <v>342</v>
      </c>
      <c r="J934" s="12" t="s">
        <v>476</v>
      </c>
      <c r="K934" s="2">
        <v>0</v>
      </c>
      <c r="L934" s="12" t="s">
        <v>337</v>
      </c>
      <c r="M934">
        <f>YEAR(VentesMagasins!$C934)</f>
        <v>2023</v>
      </c>
      <c r="N934" t="e" cm="1" vm="1">
        <f t="array" aca="1" ref="N934" ca="1">MONTH(DateVente)</f>
        <v>#VALUE!</v>
      </c>
      <c r="O934" t="str">
        <f>PROPER(VentesMagasins!$F934)</f>
        <v>Décoration</v>
      </c>
      <c r="P934">
        <f>VALUE(CLEAN(TRIM(SUBSTITUTE(VentesMagasins!$I934,".",","))))</f>
        <v>0.05</v>
      </c>
      <c r="Q934">
        <f>VALUE(TRIM(SUBSTITUTE(VentesMagasins!$J934,".",",")))</f>
        <v>2161.25</v>
      </c>
      <c r="R934">
        <f t="shared" si="42"/>
        <v>2053.1875</v>
      </c>
      <c r="S934">
        <f>IF(VentesMagasins!$K934=1,(-1)*R934,R934)</f>
        <v>2053.1875</v>
      </c>
      <c r="T934">
        <f>IFERROR(VALUE(TRIM(SUBSTITUTE(VentesMagasins!$L934,".",","))),0)</f>
        <v>3</v>
      </c>
      <c r="U934">
        <f t="shared" si="43"/>
        <v>3</v>
      </c>
      <c r="V934" t="str">
        <f t="shared" si="44"/>
        <v>moyenne</v>
      </c>
      <c r="W934" t="str">
        <f>_xlfn.XLOOKUP(VentesMagasins!$B934,Clients!ClientID,Région)</f>
        <v>Sud</v>
      </c>
      <c r="X934" t="str">
        <f>INDEX(TypeClient,MATCH(VentesMagasins!$B934,Clients!ClientID))</f>
        <v>Fidèle</v>
      </c>
      <c r="Y934" t="str">
        <v>oct</v>
      </c>
    </row>
    <row r="935" spans="1:25" x14ac:dyDescent="0.25">
      <c r="A935" s="2">
        <v>934</v>
      </c>
      <c r="B935" s="12" t="s">
        <v>171</v>
      </c>
      <c r="C935" s="13">
        <v>45302</v>
      </c>
      <c r="D935" s="12" t="s">
        <v>322</v>
      </c>
      <c r="E935" s="14" t="s">
        <v>334</v>
      </c>
      <c r="F935" s="12" t="s">
        <v>341</v>
      </c>
      <c r="G935" s="2">
        <v>2</v>
      </c>
      <c r="H935" s="3">
        <v>411</v>
      </c>
      <c r="I935" s="14" t="s">
        <v>342</v>
      </c>
      <c r="J935" s="12" t="s">
        <v>1177</v>
      </c>
      <c r="K935" s="2">
        <v>1</v>
      </c>
      <c r="L935" s="12" t="s">
        <v>344</v>
      </c>
      <c r="M935">
        <f>YEAR(VentesMagasins!$C935)</f>
        <v>2024</v>
      </c>
      <c r="N935" t="e" cm="1" vm="1">
        <f t="array" aca="1" ref="N935" ca="1">MONTH(DateVente)</f>
        <v>#VALUE!</v>
      </c>
      <c r="O935" t="str">
        <f>PROPER(VentesMagasins!$F935)</f>
        <v>Meuble</v>
      </c>
      <c r="P935">
        <f>VALUE(CLEAN(TRIM(SUBSTITUTE(VentesMagasins!$I935,".",","))))</f>
        <v>0.05</v>
      </c>
      <c r="Q935">
        <f>VALUE(TRIM(SUBSTITUTE(VentesMagasins!$J935,".",",")))</f>
        <v>780.9</v>
      </c>
      <c r="R935">
        <f t="shared" si="42"/>
        <v>741.8549999999999</v>
      </c>
      <c r="S935">
        <f>IF(VentesMagasins!$K935=1,(-1)*R935,R935)</f>
        <v>-741.8549999999999</v>
      </c>
      <c r="T935">
        <f>IFERROR(VALUE(TRIM(SUBSTITUTE(VentesMagasins!$L935,".",","))),0)</f>
        <v>2</v>
      </c>
      <c r="U935">
        <f t="shared" si="43"/>
        <v>2</v>
      </c>
      <c r="V935" t="str">
        <f t="shared" si="44"/>
        <v>faible</v>
      </c>
      <c r="W935" t="str">
        <f>_xlfn.XLOOKUP(VentesMagasins!$B935,Clients!ClientID,Région)</f>
        <v>Nord</v>
      </c>
      <c r="X935" t="str">
        <f>INDEX(TypeClient,MATCH(VentesMagasins!$B935,Clients!ClientID))</f>
        <v>Fidèle</v>
      </c>
      <c r="Y935" t="str">
        <v>janv</v>
      </c>
    </row>
    <row r="936" spans="1:25" x14ac:dyDescent="0.25">
      <c r="A936" s="2">
        <v>935</v>
      </c>
      <c r="B936" s="12" t="s">
        <v>168</v>
      </c>
      <c r="C936" s="13">
        <v>45633</v>
      </c>
      <c r="D936" s="12" t="s">
        <v>322</v>
      </c>
      <c r="E936" s="14" t="s">
        <v>339</v>
      </c>
      <c r="F936" s="12" t="s">
        <v>330</v>
      </c>
      <c r="G936" s="2">
        <v>5</v>
      </c>
      <c r="H936" s="3">
        <v>342</v>
      </c>
      <c r="I936" s="14" t="s">
        <v>342</v>
      </c>
      <c r="J936" s="12" t="s">
        <v>1178</v>
      </c>
      <c r="K936" s="2">
        <v>1</v>
      </c>
      <c r="L936" s="12" t="s">
        <v>337</v>
      </c>
      <c r="M936">
        <f>YEAR(VentesMagasins!$C936)</f>
        <v>2024</v>
      </c>
      <c r="N936" t="e" cm="1" vm="1">
        <f t="array" aca="1" ref="N936" ca="1">MONTH(DateVente)</f>
        <v>#VALUE!</v>
      </c>
      <c r="O936" t="str">
        <f>PROPER(VentesMagasins!$F936)</f>
        <v>Décoration</v>
      </c>
      <c r="P936">
        <f>VALUE(CLEAN(TRIM(SUBSTITUTE(VentesMagasins!$I936,".",","))))</f>
        <v>0.05</v>
      </c>
      <c r="Q936">
        <f>VALUE(TRIM(SUBSTITUTE(VentesMagasins!$J936,".",",")))</f>
        <v>1624.5</v>
      </c>
      <c r="R936">
        <f t="shared" si="42"/>
        <v>1543.2749999999999</v>
      </c>
      <c r="S936">
        <f>IF(VentesMagasins!$K936=1,(-1)*R936,R936)</f>
        <v>-1543.2749999999999</v>
      </c>
      <c r="T936">
        <f>IFERROR(VALUE(TRIM(SUBSTITUTE(VentesMagasins!$L936,".",","))),0)</f>
        <v>3</v>
      </c>
      <c r="U936">
        <f t="shared" si="43"/>
        <v>3</v>
      </c>
      <c r="V936" t="str">
        <f t="shared" si="44"/>
        <v>moyenne</v>
      </c>
      <c r="W936" t="str">
        <f>_xlfn.XLOOKUP(VentesMagasins!$B936,Clients!ClientID,Région)</f>
        <v>Est</v>
      </c>
      <c r="X936" t="str">
        <f>INDEX(TypeClient,MATCH(VentesMagasins!$B936,Clients!ClientID))</f>
        <v>Occasionnel</v>
      </c>
      <c r="Y936" t="str">
        <v>déc</v>
      </c>
    </row>
    <row r="937" spans="1:25" x14ac:dyDescent="0.25">
      <c r="A937" s="2">
        <v>936</v>
      </c>
      <c r="B937" s="12" t="s">
        <v>282</v>
      </c>
      <c r="C937" s="13">
        <v>45015</v>
      </c>
      <c r="D937" s="12" t="s">
        <v>328</v>
      </c>
      <c r="E937" s="14" t="s">
        <v>348</v>
      </c>
      <c r="F937" s="12" t="s">
        <v>341</v>
      </c>
      <c r="G937" s="2">
        <v>3</v>
      </c>
      <c r="H937" s="3">
        <v>61</v>
      </c>
      <c r="I937" s="14" t="s">
        <v>355</v>
      </c>
      <c r="J937" s="12" t="s">
        <v>1179</v>
      </c>
      <c r="K937" s="2">
        <v>0</v>
      </c>
      <c r="L937" s="12" t="s">
        <v>369</v>
      </c>
      <c r="M937">
        <f>YEAR(VentesMagasins!$C937)</f>
        <v>2023</v>
      </c>
      <c r="N937" t="e" cm="1" vm="1">
        <f t="array" aca="1" ref="N937" ca="1">MONTH(DateVente)</f>
        <v>#VALUE!</v>
      </c>
      <c r="O937" t="str">
        <f>PROPER(VentesMagasins!$F937)</f>
        <v>Meuble</v>
      </c>
      <c r="P937">
        <f>VALUE(CLEAN(TRIM(SUBSTITUTE(VentesMagasins!$I937,".",","))))</f>
        <v>0.1</v>
      </c>
      <c r="Q937">
        <f>VALUE(TRIM(SUBSTITUTE(VentesMagasins!$J937,".",",")))</f>
        <v>164.7</v>
      </c>
      <c r="R937">
        <f t="shared" si="42"/>
        <v>148.22999999999999</v>
      </c>
      <c r="S937">
        <f>IF(VentesMagasins!$K937=1,(-1)*R937,R937)</f>
        <v>148.22999999999999</v>
      </c>
      <c r="T937">
        <f>IFERROR(VALUE(TRIM(SUBSTITUTE(VentesMagasins!$L937,".",","))),0)</f>
        <v>1</v>
      </c>
      <c r="U937">
        <f t="shared" si="43"/>
        <v>1</v>
      </c>
      <c r="V937" t="str">
        <f t="shared" si="44"/>
        <v>faible</v>
      </c>
      <c r="W937" t="str">
        <f>_xlfn.XLOOKUP(VentesMagasins!$B937,Clients!ClientID,Région)</f>
        <v>Nord</v>
      </c>
      <c r="X937" t="str">
        <f>INDEX(TypeClient,MATCH(VentesMagasins!$B937,Clients!ClientID))</f>
        <v>Nouveau</v>
      </c>
      <c r="Y937" t="str">
        <v>mars</v>
      </c>
    </row>
    <row r="938" spans="1:25" x14ac:dyDescent="0.25">
      <c r="A938" s="2">
        <v>937</v>
      </c>
      <c r="B938" s="12" t="s">
        <v>69</v>
      </c>
      <c r="C938" s="13">
        <v>45596</v>
      </c>
      <c r="D938" s="12" t="s">
        <v>338</v>
      </c>
      <c r="E938" s="14" t="s">
        <v>345</v>
      </c>
      <c r="F938" s="12" t="s">
        <v>341</v>
      </c>
      <c r="G938" s="2">
        <v>1</v>
      </c>
      <c r="H938" s="3">
        <v>41</v>
      </c>
      <c r="I938" s="14" t="s">
        <v>355</v>
      </c>
      <c r="J938" s="12" t="s">
        <v>1180</v>
      </c>
      <c r="K938" s="2">
        <v>1</v>
      </c>
      <c r="L938" s="12" t="s">
        <v>369</v>
      </c>
      <c r="M938">
        <f>YEAR(VentesMagasins!$C938)</f>
        <v>2024</v>
      </c>
      <c r="N938" t="e" cm="1" vm="1">
        <f t="array" aca="1" ref="N938" ca="1">MONTH(DateVente)</f>
        <v>#VALUE!</v>
      </c>
      <c r="O938" t="str">
        <f>PROPER(VentesMagasins!$F938)</f>
        <v>Meuble</v>
      </c>
      <c r="P938">
        <f>VALUE(CLEAN(TRIM(SUBSTITUTE(VentesMagasins!$I938,".",","))))</f>
        <v>0.1</v>
      </c>
      <c r="Q938">
        <f>VALUE(TRIM(SUBSTITUTE(VentesMagasins!$J938,".",",")))</f>
        <v>36.9</v>
      </c>
      <c r="R938">
        <f t="shared" si="42"/>
        <v>33.21</v>
      </c>
      <c r="S938">
        <f>IF(VentesMagasins!$K938=1,(-1)*R938,R938)</f>
        <v>-33.21</v>
      </c>
      <c r="T938">
        <f>IFERROR(VALUE(TRIM(SUBSTITUTE(VentesMagasins!$L938,".",","))),0)</f>
        <v>1</v>
      </c>
      <c r="U938">
        <f t="shared" si="43"/>
        <v>1</v>
      </c>
      <c r="V938" t="str">
        <f t="shared" si="44"/>
        <v>faible</v>
      </c>
      <c r="W938" t="str">
        <f>_xlfn.XLOOKUP(VentesMagasins!$B938,Clients!ClientID,Région)</f>
        <v>Centre</v>
      </c>
      <c r="X938" t="str">
        <f>INDEX(TypeClient,MATCH(VentesMagasins!$B938,Clients!ClientID))</f>
        <v>Nouveau</v>
      </c>
      <c r="Y938" t="str">
        <v>oct</v>
      </c>
    </row>
    <row r="939" spans="1:25" x14ac:dyDescent="0.25">
      <c r="A939" s="2">
        <v>938</v>
      </c>
      <c r="B939" s="12" t="s">
        <v>78</v>
      </c>
      <c r="C939" s="13">
        <v>45955</v>
      </c>
      <c r="D939" s="12" t="s">
        <v>333</v>
      </c>
      <c r="E939" s="14" t="s">
        <v>362</v>
      </c>
      <c r="F939" s="12" t="s">
        <v>341</v>
      </c>
      <c r="G939" s="2">
        <v>4</v>
      </c>
      <c r="H939" s="3">
        <v>335</v>
      </c>
      <c r="I939" s="14" t="s">
        <v>335</v>
      </c>
      <c r="J939" s="12" t="s">
        <v>1181</v>
      </c>
      <c r="K939" s="2">
        <v>1</v>
      </c>
      <c r="L939" s="12" t="s">
        <v>332</v>
      </c>
      <c r="M939">
        <f>YEAR(VentesMagasins!$C939)</f>
        <v>2025</v>
      </c>
      <c r="N939" t="e" cm="1" vm="1">
        <f t="array" aca="1" ref="N939" ca="1">MONTH(DateVente)</f>
        <v>#VALUE!</v>
      </c>
      <c r="O939" t="str">
        <f>PROPER(VentesMagasins!$F939)</f>
        <v>Meuble</v>
      </c>
      <c r="P939">
        <f>VALUE(CLEAN(TRIM(SUBSTITUTE(VentesMagasins!$I939,".",","))))</f>
        <v>0</v>
      </c>
      <c r="Q939">
        <f>VALUE(TRIM(SUBSTITUTE(VentesMagasins!$J939,".",",")))</f>
        <v>1340</v>
      </c>
      <c r="R939">
        <f t="shared" si="42"/>
        <v>1340</v>
      </c>
      <c r="S939">
        <f>IF(VentesMagasins!$K939=1,(-1)*R939,R939)</f>
        <v>-1340</v>
      </c>
      <c r="T939">
        <f>IFERROR(VALUE(TRIM(SUBSTITUTE(VentesMagasins!$L939,".",","))),0)</f>
        <v>4</v>
      </c>
      <c r="U939">
        <f t="shared" si="43"/>
        <v>4</v>
      </c>
      <c r="V939" t="str">
        <f t="shared" si="44"/>
        <v>moyenne</v>
      </c>
      <c r="W939" t="str">
        <f>_xlfn.XLOOKUP(VentesMagasins!$B939,Clients!ClientID,Région)</f>
        <v>Centre</v>
      </c>
      <c r="X939" t="str">
        <f>INDEX(TypeClient,MATCH(VentesMagasins!$B939,Clients!ClientID))</f>
        <v>Nouveau</v>
      </c>
      <c r="Y939" t="str">
        <v>oct</v>
      </c>
    </row>
    <row r="940" spans="1:25" x14ac:dyDescent="0.25">
      <c r="A940" s="2">
        <v>939</v>
      </c>
      <c r="B940" s="12" t="s">
        <v>114</v>
      </c>
      <c r="C940" s="13">
        <v>45035</v>
      </c>
      <c r="D940" s="12" t="s">
        <v>449</v>
      </c>
      <c r="E940" s="14" t="s">
        <v>348</v>
      </c>
      <c r="F940" s="12" t="s">
        <v>341</v>
      </c>
      <c r="G940" s="2">
        <v>5</v>
      </c>
      <c r="H940" s="3">
        <v>450</v>
      </c>
      <c r="I940" s="14" t="s">
        <v>342</v>
      </c>
      <c r="J940" s="12" t="s">
        <v>457</v>
      </c>
      <c r="K940" s="2">
        <v>0</v>
      </c>
      <c r="L940" s="12" t="s">
        <v>369</v>
      </c>
      <c r="M940">
        <f>YEAR(VentesMagasins!$C940)</f>
        <v>2023</v>
      </c>
      <c r="N940" t="e" cm="1" vm="1">
        <f t="array" aca="1" ref="N940" ca="1">MONTH(DateVente)</f>
        <v>#VALUE!</v>
      </c>
      <c r="O940" t="str">
        <f>PROPER(VentesMagasins!$F940)</f>
        <v>Meuble</v>
      </c>
      <c r="P940">
        <f>VALUE(CLEAN(TRIM(SUBSTITUTE(VentesMagasins!$I940,".",","))))</f>
        <v>0.05</v>
      </c>
      <c r="Q940">
        <f>VALUE(TRIM(SUBSTITUTE(VentesMagasins!$J940,".",",")))</f>
        <v>2137.5</v>
      </c>
      <c r="R940">
        <f t="shared" si="42"/>
        <v>2030.625</v>
      </c>
      <c r="S940">
        <f>IF(VentesMagasins!$K940=1,(-1)*R940,R940)</f>
        <v>2030.625</v>
      </c>
      <c r="T940">
        <f>IFERROR(VALUE(TRIM(SUBSTITUTE(VentesMagasins!$L940,".",","))),0)</f>
        <v>1</v>
      </c>
      <c r="U940">
        <f t="shared" si="43"/>
        <v>1</v>
      </c>
      <c r="V940" t="str">
        <f t="shared" si="44"/>
        <v>faible</v>
      </c>
      <c r="W940" t="str">
        <f>_xlfn.XLOOKUP(VentesMagasins!$B940,Clients!ClientID,Région)</f>
        <v>Nord</v>
      </c>
      <c r="X940" t="str">
        <f>INDEX(TypeClient,MATCH(VentesMagasins!$B940,Clients!ClientID))</f>
        <v>Fidèle</v>
      </c>
      <c r="Y940" t="str">
        <v>avr</v>
      </c>
    </row>
    <row r="941" spans="1:25" x14ac:dyDescent="0.25">
      <c r="A941" s="2">
        <v>940</v>
      </c>
      <c r="B941" s="12" t="s">
        <v>268</v>
      </c>
      <c r="C941" s="13">
        <v>44957</v>
      </c>
      <c r="D941" s="12" t="s">
        <v>338</v>
      </c>
      <c r="E941" s="14" t="s">
        <v>348</v>
      </c>
      <c r="F941" s="12" t="s">
        <v>341</v>
      </c>
      <c r="G941" s="2">
        <v>2</v>
      </c>
      <c r="H941" s="3">
        <v>309</v>
      </c>
      <c r="I941" s="14" t="s">
        <v>325</v>
      </c>
      <c r="J941" s="12" t="s">
        <v>1182</v>
      </c>
      <c r="K941" s="2">
        <v>0</v>
      </c>
      <c r="L941" s="12" t="s">
        <v>344</v>
      </c>
      <c r="M941">
        <f>YEAR(VentesMagasins!$C941)</f>
        <v>2023</v>
      </c>
      <c r="N941" t="e" cm="1" vm="1">
        <f t="array" aca="1" ref="N941" ca="1">MONTH(DateVente)</f>
        <v>#VALUE!</v>
      </c>
      <c r="O941" t="str">
        <f>PROPER(VentesMagasins!$F941)</f>
        <v>Meuble</v>
      </c>
      <c r="P941">
        <f>VALUE(CLEAN(TRIM(SUBSTITUTE(VentesMagasins!$I941,".",","))))</f>
        <v>0.15</v>
      </c>
      <c r="Q941">
        <f>VALUE(TRIM(SUBSTITUTE(VentesMagasins!$J941,".",",")))</f>
        <v>525.29999999999995</v>
      </c>
      <c r="R941">
        <f t="shared" si="42"/>
        <v>446.50499999999994</v>
      </c>
      <c r="S941">
        <f>IF(VentesMagasins!$K941=1,(-1)*R941,R941)</f>
        <v>446.50499999999994</v>
      </c>
      <c r="T941">
        <f>IFERROR(VALUE(TRIM(SUBSTITUTE(VentesMagasins!$L941,".",","))),0)</f>
        <v>2</v>
      </c>
      <c r="U941">
        <f t="shared" si="43"/>
        <v>2</v>
      </c>
      <c r="V941" t="str">
        <f t="shared" si="44"/>
        <v>faible</v>
      </c>
      <c r="W941" t="str">
        <f>_xlfn.XLOOKUP(VentesMagasins!$B941,Clients!ClientID,Région)</f>
        <v>Est</v>
      </c>
      <c r="X941" t="str">
        <f>INDEX(TypeClient,MATCH(VentesMagasins!$B941,Clients!ClientID))</f>
        <v>Nouveau</v>
      </c>
      <c r="Y941" t="str">
        <v>janv</v>
      </c>
    </row>
    <row r="942" spans="1:25" x14ac:dyDescent="0.25">
      <c r="A942" s="2">
        <v>941</v>
      </c>
      <c r="B942" s="12" t="s">
        <v>149</v>
      </c>
      <c r="C942" s="13">
        <v>45797</v>
      </c>
      <c r="D942" s="12" t="s">
        <v>328</v>
      </c>
      <c r="E942" s="14" t="s">
        <v>323</v>
      </c>
      <c r="F942" s="12" t="s">
        <v>341</v>
      </c>
      <c r="G942" s="2">
        <v>2</v>
      </c>
      <c r="H942" s="3">
        <v>23</v>
      </c>
      <c r="I942" s="14" t="s">
        <v>342</v>
      </c>
      <c r="J942" s="12" t="s">
        <v>1183</v>
      </c>
      <c r="K942" s="2">
        <v>0</v>
      </c>
      <c r="L942" s="12" t="s">
        <v>352</v>
      </c>
      <c r="M942">
        <f>YEAR(VentesMagasins!$C942)</f>
        <v>2025</v>
      </c>
      <c r="N942" t="e" cm="1" vm="1">
        <f t="array" aca="1" ref="N942" ca="1">MONTH(DateVente)</f>
        <v>#VALUE!</v>
      </c>
      <c r="O942" t="str">
        <f>PROPER(VentesMagasins!$F942)</f>
        <v>Meuble</v>
      </c>
      <c r="P942">
        <f>VALUE(CLEAN(TRIM(SUBSTITUTE(VentesMagasins!$I942,".",","))))</f>
        <v>0.05</v>
      </c>
      <c r="Q942">
        <f>VALUE(TRIM(SUBSTITUTE(VentesMagasins!$J942,".",",")))</f>
        <v>43.699999999999903</v>
      </c>
      <c r="R942">
        <f t="shared" si="42"/>
        <v>41.514999999999908</v>
      </c>
      <c r="S942">
        <f>IF(VentesMagasins!$K942=1,(-1)*R942,R942)</f>
        <v>41.514999999999908</v>
      </c>
      <c r="T942">
        <f>IFERROR(VALUE(TRIM(SUBSTITUTE(VentesMagasins!$L942,".",","))),0)</f>
        <v>0</v>
      </c>
      <c r="U942">
        <f t="shared" si="43"/>
        <v>3</v>
      </c>
      <c r="V942" t="str">
        <f t="shared" si="44"/>
        <v>moyenne</v>
      </c>
      <c r="W942" t="str">
        <f>_xlfn.XLOOKUP(VentesMagasins!$B942,Clients!ClientID,Région)</f>
        <v>Centre</v>
      </c>
      <c r="X942" t="str">
        <f>INDEX(TypeClient,MATCH(VentesMagasins!$B942,Clients!ClientID))</f>
        <v>Nouveau</v>
      </c>
      <c r="Y942" t="str">
        <v>mai</v>
      </c>
    </row>
    <row r="943" spans="1:25" x14ac:dyDescent="0.25">
      <c r="A943" s="2">
        <v>942</v>
      </c>
      <c r="B943" s="12" t="s">
        <v>114</v>
      </c>
      <c r="C943" s="13">
        <v>45464</v>
      </c>
      <c r="D943" s="12" t="s">
        <v>350</v>
      </c>
      <c r="E943" s="14" t="s">
        <v>345</v>
      </c>
      <c r="F943" s="12" t="s">
        <v>341</v>
      </c>
      <c r="G943" s="2">
        <v>3</v>
      </c>
      <c r="H943" s="3">
        <v>70</v>
      </c>
      <c r="I943" s="14" t="s">
        <v>335</v>
      </c>
      <c r="J943" s="12" t="s">
        <v>1184</v>
      </c>
      <c r="K943" s="2">
        <v>1</v>
      </c>
      <c r="L943" s="12" t="s">
        <v>352</v>
      </c>
      <c r="M943">
        <f>YEAR(VentesMagasins!$C943)</f>
        <v>2024</v>
      </c>
      <c r="N943" t="e" cm="1" vm="1">
        <f t="array" aca="1" ref="N943" ca="1">MONTH(DateVente)</f>
        <v>#VALUE!</v>
      </c>
      <c r="O943" t="str">
        <f>PROPER(VentesMagasins!$F943)</f>
        <v>Meuble</v>
      </c>
      <c r="P943">
        <f>VALUE(CLEAN(TRIM(SUBSTITUTE(VentesMagasins!$I943,".",","))))</f>
        <v>0</v>
      </c>
      <c r="Q943">
        <f>VALUE(TRIM(SUBSTITUTE(VentesMagasins!$J943,".",",")))</f>
        <v>210</v>
      </c>
      <c r="R943">
        <f t="shared" si="42"/>
        <v>210</v>
      </c>
      <c r="S943">
        <f>IF(VentesMagasins!$K943=1,(-1)*R943,R943)</f>
        <v>-210</v>
      </c>
      <c r="T943">
        <f>IFERROR(VALUE(TRIM(SUBSTITUTE(VentesMagasins!$L943,".",","))),0)</f>
        <v>0</v>
      </c>
      <c r="U943">
        <f t="shared" si="43"/>
        <v>3</v>
      </c>
      <c r="V943" t="str">
        <f t="shared" si="44"/>
        <v>moyenne</v>
      </c>
      <c r="W943" t="str">
        <f>_xlfn.XLOOKUP(VentesMagasins!$B943,Clients!ClientID,Région)</f>
        <v>Nord</v>
      </c>
      <c r="X943" t="str">
        <f>INDEX(TypeClient,MATCH(VentesMagasins!$B943,Clients!ClientID))</f>
        <v>Fidèle</v>
      </c>
      <c r="Y943" t="str">
        <v>juin</v>
      </c>
    </row>
    <row r="944" spans="1:25" x14ac:dyDescent="0.25">
      <c r="A944" s="2">
        <v>943</v>
      </c>
      <c r="B944" s="12" t="s">
        <v>235</v>
      </c>
      <c r="C944" s="13">
        <v>45422</v>
      </c>
      <c r="D944" s="12" t="s">
        <v>328</v>
      </c>
      <c r="E944" s="14" t="s">
        <v>329</v>
      </c>
      <c r="F944" s="12" t="s">
        <v>324</v>
      </c>
      <c r="G944" s="2">
        <v>3</v>
      </c>
      <c r="H944" s="3">
        <v>144</v>
      </c>
      <c r="I944" s="14" t="s">
        <v>335</v>
      </c>
      <c r="J944" s="12" t="s">
        <v>1185</v>
      </c>
      <c r="K944" s="2">
        <v>0</v>
      </c>
      <c r="L944" s="12" t="s">
        <v>369</v>
      </c>
      <c r="M944">
        <f>YEAR(VentesMagasins!$C944)</f>
        <v>2024</v>
      </c>
      <c r="N944" t="e" cm="1" vm="1">
        <f t="array" aca="1" ref="N944" ca="1">MONTH(DateVente)</f>
        <v>#VALUE!</v>
      </c>
      <c r="O944" t="str">
        <f>PROPER(VentesMagasins!$F944)</f>
        <v>Électronique</v>
      </c>
      <c r="P944">
        <f>VALUE(CLEAN(TRIM(SUBSTITUTE(VentesMagasins!$I944,".",","))))</f>
        <v>0</v>
      </c>
      <c r="Q944">
        <f>VALUE(TRIM(SUBSTITUTE(VentesMagasins!$J944,".",",")))</f>
        <v>432</v>
      </c>
      <c r="R944">
        <f t="shared" si="42"/>
        <v>432</v>
      </c>
      <c r="S944">
        <f>IF(VentesMagasins!$K944=1,(-1)*R944,R944)</f>
        <v>432</v>
      </c>
      <c r="T944">
        <f>IFERROR(VALUE(TRIM(SUBSTITUTE(VentesMagasins!$L944,".",","))),0)</f>
        <v>1</v>
      </c>
      <c r="U944">
        <f t="shared" si="43"/>
        <v>1</v>
      </c>
      <c r="V944" t="str">
        <f t="shared" si="44"/>
        <v>faible</v>
      </c>
      <c r="W944" t="str">
        <f>_xlfn.XLOOKUP(VentesMagasins!$B944,Clients!ClientID,Région)</f>
        <v>Sud</v>
      </c>
      <c r="X944" t="str">
        <f>INDEX(TypeClient,MATCH(VentesMagasins!$B944,Clients!ClientID))</f>
        <v>Fidèle</v>
      </c>
      <c r="Y944" t="str">
        <v>mai</v>
      </c>
    </row>
    <row r="945" spans="1:25" x14ac:dyDescent="0.25">
      <c r="A945" s="2">
        <v>944</v>
      </c>
      <c r="B945" s="12" t="s">
        <v>162</v>
      </c>
      <c r="C945" s="13">
        <v>45472</v>
      </c>
      <c r="D945" s="12" t="s">
        <v>333</v>
      </c>
      <c r="E945" s="14" t="s">
        <v>364</v>
      </c>
      <c r="F945" s="12" t="s">
        <v>330</v>
      </c>
      <c r="G945" s="2">
        <v>4</v>
      </c>
      <c r="H945" s="3">
        <v>434</v>
      </c>
      <c r="I945" s="14" t="s">
        <v>335</v>
      </c>
      <c r="J945" s="12" t="s">
        <v>1186</v>
      </c>
      <c r="K945" s="2">
        <v>0</v>
      </c>
      <c r="L945" s="12" t="s">
        <v>369</v>
      </c>
      <c r="M945">
        <f>YEAR(VentesMagasins!$C945)</f>
        <v>2024</v>
      </c>
      <c r="N945" t="e" cm="1" vm="1">
        <f t="array" aca="1" ref="N945" ca="1">MONTH(DateVente)</f>
        <v>#VALUE!</v>
      </c>
      <c r="O945" t="str">
        <f>PROPER(VentesMagasins!$F945)</f>
        <v>Décoration</v>
      </c>
      <c r="P945">
        <f>VALUE(CLEAN(TRIM(SUBSTITUTE(VentesMagasins!$I945,".",","))))</f>
        <v>0</v>
      </c>
      <c r="Q945">
        <f>VALUE(TRIM(SUBSTITUTE(VentesMagasins!$J945,".",",")))</f>
        <v>1736</v>
      </c>
      <c r="R945">
        <f t="shared" si="42"/>
        <v>1736</v>
      </c>
      <c r="S945">
        <f>IF(VentesMagasins!$K945=1,(-1)*R945,R945)</f>
        <v>1736</v>
      </c>
      <c r="T945">
        <f>IFERROR(VALUE(TRIM(SUBSTITUTE(VentesMagasins!$L945,".",","))),0)</f>
        <v>1</v>
      </c>
      <c r="U945">
        <f t="shared" si="43"/>
        <v>1</v>
      </c>
      <c r="V945" t="str">
        <f t="shared" si="44"/>
        <v>faible</v>
      </c>
      <c r="W945" t="str">
        <f>_xlfn.XLOOKUP(VentesMagasins!$B945,Clients!ClientID,Région)</f>
        <v>Sud</v>
      </c>
      <c r="X945" t="str">
        <f>INDEX(TypeClient,MATCH(VentesMagasins!$B945,Clients!ClientID))</f>
        <v>Fidèle</v>
      </c>
      <c r="Y945" t="str">
        <v>juin</v>
      </c>
    </row>
    <row r="946" spans="1:25" x14ac:dyDescent="0.25">
      <c r="A946" s="2">
        <v>945</v>
      </c>
      <c r="B946" s="12" t="s">
        <v>27</v>
      </c>
      <c r="C946" s="13">
        <v>45654</v>
      </c>
      <c r="D946" s="12" t="s">
        <v>333</v>
      </c>
      <c r="E946" s="14" t="s">
        <v>339</v>
      </c>
      <c r="F946" s="12" t="s">
        <v>324</v>
      </c>
      <c r="G946" s="2">
        <v>1</v>
      </c>
      <c r="H946" s="3">
        <v>316</v>
      </c>
      <c r="I946" s="14" t="s">
        <v>325</v>
      </c>
      <c r="J946" s="12" t="s">
        <v>1187</v>
      </c>
      <c r="K946" s="2">
        <v>0</v>
      </c>
      <c r="L946" s="12" t="s">
        <v>332</v>
      </c>
      <c r="M946">
        <f>YEAR(VentesMagasins!$C946)</f>
        <v>2024</v>
      </c>
      <c r="N946" t="e" cm="1" vm="1">
        <f t="array" aca="1" ref="N946" ca="1">MONTH(DateVente)</f>
        <v>#VALUE!</v>
      </c>
      <c r="O946" t="str">
        <f>PROPER(VentesMagasins!$F946)</f>
        <v>Électronique</v>
      </c>
      <c r="P946">
        <f>VALUE(CLEAN(TRIM(SUBSTITUTE(VentesMagasins!$I946,".",","))))</f>
        <v>0.15</v>
      </c>
      <c r="Q946">
        <f>VALUE(TRIM(SUBSTITUTE(VentesMagasins!$J946,".",",")))</f>
        <v>268.599999999999</v>
      </c>
      <c r="R946">
        <f t="shared" si="42"/>
        <v>228.30999999999915</v>
      </c>
      <c r="S946">
        <f>IF(VentesMagasins!$K946=1,(-1)*R946,R946)</f>
        <v>228.30999999999915</v>
      </c>
      <c r="T946">
        <f>IFERROR(VALUE(TRIM(SUBSTITUTE(VentesMagasins!$L946,".",","))),0)</f>
        <v>4</v>
      </c>
      <c r="U946">
        <f t="shared" si="43"/>
        <v>4</v>
      </c>
      <c r="V946" t="str">
        <f t="shared" si="44"/>
        <v>moyenne</v>
      </c>
      <c r="W946" t="str">
        <f>_xlfn.XLOOKUP(VentesMagasins!$B946,Clients!ClientID,Région)</f>
        <v>Sud</v>
      </c>
      <c r="X946" t="str">
        <f>INDEX(TypeClient,MATCH(VentesMagasins!$B946,Clients!ClientID))</f>
        <v>Occasionnel</v>
      </c>
      <c r="Y946" t="str">
        <v>déc</v>
      </c>
    </row>
    <row r="947" spans="1:25" x14ac:dyDescent="0.25">
      <c r="A947" s="2">
        <v>946</v>
      </c>
      <c r="B947" s="12" t="s">
        <v>245</v>
      </c>
      <c r="C947" s="13">
        <v>45891</v>
      </c>
      <c r="D947" s="12" t="s">
        <v>328</v>
      </c>
      <c r="E947" s="14" t="s">
        <v>345</v>
      </c>
      <c r="F947" s="12" t="s">
        <v>330</v>
      </c>
      <c r="G947" s="2">
        <v>1</v>
      </c>
      <c r="H947" s="3">
        <v>446</v>
      </c>
      <c r="I947" s="14" t="s">
        <v>335</v>
      </c>
      <c r="J947" s="12" t="s">
        <v>1188</v>
      </c>
      <c r="K947" s="2">
        <v>0</v>
      </c>
      <c r="L947" s="12" t="s">
        <v>344</v>
      </c>
      <c r="M947">
        <f>YEAR(VentesMagasins!$C947)</f>
        <v>2025</v>
      </c>
      <c r="N947" t="e" cm="1" vm="1">
        <f t="array" aca="1" ref="N947" ca="1">MONTH(DateVente)</f>
        <v>#VALUE!</v>
      </c>
      <c r="O947" t="str">
        <f>PROPER(VentesMagasins!$F947)</f>
        <v>Décoration</v>
      </c>
      <c r="P947">
        <f>VALUE(CLEAN(TRIM(SUBSTITUTE(VentesMagasins!$I947,".",","))))</f>
        <v>0</v>
      </c>
      <c r="Q947">
        <f>VALUE(TRIM(SUBSTITUTE(VentesMagasins!$J947,".",",")))</f>
        <v>446</v>
      </c>
      <c r="R947">
        <f t="shared" si="42"/>
        <v>446</v>
      </c>
      <c r="S947">
        <f>IF(VentesMagasins!$K947=1,(-1)*R947,R947)</f>
        <v>446</v>
      </c>
      <c r="T947">
        <f>IFERROR(VALUE(TRIM(SUBSTITUTE(VentesMagasins!$L947,".",","))),0)</f>
        <v>2</v>
      </c>
      <c r="U947">
        <f t="shared" si="43"/>
        <v>2</v>
      </c>
      <c r="V947" t="str">
        <f t="shared" si="44"/>
        <v>faible</v>
      </c>
      <c r="W947" t="str">
        <f>_xlfn.XLOOKUP(VentesMagasins!$B947,Clients!ClientID,Région)</f>
        <v>Nord</v>
      </c>
      <c r="X947" t="str">
        <f>INDEX(TypeClient,MATCH(VentesMagasins!$B947,Clients!ClientID))</f>
        <v>Occasionnel</v>
      </c>
      <c r="Y947" t="str">
        <v>août</v>
      </c>
    </row>
    <row r="948" spans="1:25" x14ac:dyDescent="0.25">
      <c r="A948" s="2">
        <v>947</v>
      </c>
      <c r="B948" s="12" t="s">
        <v>285</v>
      </c>
      <c r="C948" s="13">
        <v>46014</v>
      </c>
      <c r="D948" s="12" t="s">
        <v>333</v>
      </c>
      <c r="E948" s="14" t="s">
        <v>329</v>
      </c>
      <c r="F948" s="12" t="s">
        <v>341</v>
      </c>
      <c r="G948" s="2">
        <v>4</v>
      </c>
      <c r="H948" s="3">
        <v>382</v>
      </c>
      <c r="I948" s="14" t="s">
        <v>342</v>
      </c>
      <c r="J948" s="12" t="s">
        <v>1189</v>
      </c>
      <c r="K948" s="2">
        <v>0</v>
      </c>
      <c r="L948" s="12" t="s">
        <v>332</v>
      </c>
      <c r="M948">
        <f>YEAR(VentesMagasins!$C948)</f>
        <v>2025</v>
      </c>
      <c r="N948" t="e" cm="1" vm="1">
        <f t="array" aca="1" ref="N948" ca="1">MONTH(DateVente)</f>
        <v>#VALUE!</v>
      </c>
      <c r="O948" t="str">
        <f>PROPER(VentesMagasins!$F948)</f>
        <v>Meuble</v>
      </c>
      <c r="P948">
        <f>VALUE(CLEAN(TRIM(SUBSTITUTE(VentesMagasins!$I948,".",","))))</f>
        <v>0.05</v>
      </c>
      <c r="Q948">
        <f>VALUE(TRIM(SUBSTITUTE(VentesMagasins!$J948,".",",")))</f>
        <v>1596.76</v>
      </c>
      <c r="R948">
        <f t="shared" si="42"/>
        <v>1516.922</v>
      </c>
      <c r="S948">
        <f>IF(VentesMagasins!$K948=1,(-1)*R948,R948)</f>
        <v>1516.922</v>
      </c>
      <c r="T948">
        <f>IFERROR(VALUE(TRIM(SUBSTITUTE(VentesMagasins!$L948,".",","))),0)</f>
        <v>4</v>
      </c>
      <c r="U948">
        <f t="shared" si="43"/>
        <v>4</v>
      </c>
      <c r="V948" t="str">
        <f t="shared" si="44"/>
        <v>moyenne</v>
      </c>
      <c r="W948" t="str">
        <f>_xlfn.XLOOKUP(VentesMagasins!$B948,Clients!ClientID,Région)</f>
        <v>Ouest</v>
      </c>
      <c r="X948" t="str">
        <f>INDEX(TypeClient,MATCH(VentesMagasins!$B948,Clients!ClientID))</f>
        <v>Fidèle</v>
      </c>
      <c r="Y948" t="str">
        <v>déc</v>
      </c>
    </row>
    <row r="949" spans="1:25" x14ac:dyDescent="0.25">
      <c r="A949" s="2">
        <v>948</v>
      </c>
      <c r="B949" s="12" t="s">
        <v>257</v>
      </c>
      <c r="C949" s="13">
        <v>45151</v>
      </c>
      <c r="D949" s="12" t="s">
        <v>333</v>
      </c>
      <c r="E949" s="14" t="s">
        <v>348</v>
      </c>
      <c r="F949" s="12" t="s">
        <v>341</v>
      </c>
      <c r="G949" s="2">
        <v>5</v>
      </c>
      <c r="H949" s="3">
        <v>436</v>
      </c>
      <c r="I949" s="14" t="s">
        <v>325</v>
      </c>
      <c r="J949" s="12" t="s">
        <v>1190</v>
      </c>
      <c r="K949" s="2">
        <v>1</v>
      </c>
      <c r="L949" s="12" t="s">
        <v>337</v>
      </c>
      <c r="M949">
        <f>YEAR(VentesMagasins!$C949)</f>
        <v>2023</v>
      </c>
      <c r="N949" t="e" cm="1" vm="1">
        <f t="array" aca="1" ref="N949" ca="1">MONTH(DateVente)</f>
        <v>#VALUE!</v>
      </c>
      <c r="O949" t="str">
        <f>PROPER(VentesMagasins!$F949)</f>
        <v>Meuble</v>
      </c>
      <c r="P949">
        <f>VALUE(CLEAN(TRIM(SUBSTITUTE(VentesMagasins!$I949,".",","))))</f>
        <v>0.15</v>
      </c>
      <c r="Q949">
        <f>VALUE(TRIM(SUBSTITUTE(VentesMagasins!$J949,".",",")))</f>
        <v>1853</v>
      </c>
      <c r="R949">
        <f t="shared" si="42"/>
        <v>1575.05</v>
      </c>
      <c r="S949">
        <f>IF(VentesMagasins!$K949=1,(-1)*R949,R949)</f>
        <v>-1575.05</v>
      </c>
      <c r="T949">
        <f>IFERROR(VALUE(TRIM(SUBSTITUTE(VentesMagasins!$L949,".",","))),0)</f>
        <v>3</v>
      </c>
      <c r="U949">
        <f t="shared" si="43"/>
        <v>3</v>
      </c>
      <c r="V949" t="str">
        <f t="shared" si="44"/>
        <v>moyenne</v>
      </c>
      <c r="W949" t="str">
        <f>_xlfn.XLOOKUP(VentesMagasins!$B949,Clients!ClientID,Région)</f>
        <v>Nord</v>
      </c>
      <c r="X949" t="str">
        <f>INDEX(TypeClient,MATCH(VentesMagasins!$B949,Clients!ClientID))</f>
        <v>Occasionnel</v>
      </c>
      <c r="Y949" t="str">
        <v>août</v>
      </c>
    </row>
    <row r="950" spans="1:25" x14ac:dyDescent="0.25">
      <c r="A950" s="2">
        <v>949</v>
      </c>
      <c r="B950" s="12" t="s">
        <v>36</v>
      </c>
      <c r="C950" s="13">
        <v>45761</v>
      </c>
      <c r="D950" s="12" t="s">
        <v>338</v>
      </c>
      <c r="E950" s="14" t="s">
        <v>348</v>
      </c>
      <c r="F950" s="12" t="s">
        <v>341</v>
      </c>
      <c r="G950" s="2">
        <v>2</v>
      </c>
      <c r="H950" s="3">
        <v>448</v>
      </c>
      <c r="I950" s="14" t="s">
        <v>342</v>
      </c>
      <c r="J950" s="12" t="s">
        <v>1191</v>
      </c>
      <c r="K950" s="2">
        <v>0</v>
      </c>
      <c r="L950" s="12" t="s">
        <v>344</v>
      </c>
      <c r="M950">
        <f>YEAR(VentesMagasins!$C950)</f>
        <v>2025</v>
      </c>
      <c r="N950" t="e" cm="1" vm="1">
        <f t="array" aca="1" ref="N950" ca="1">MONTH(DateVente)</f>
        <v>#VALUE!</v>
      </c>
      <c r="O950" t="str">
        <f>PROPER(VentesMagasins!$F950)</f>
        <v>Meuble</v>
      </c>
      <c r="P950">
        <f>VALUE(CLEAN(TRIM(SUBSTITUTE(VentesMagasins!$I950,".",","))))</f>
        <v>0.05</v>
      </c>
      <c r="Q950">
        <f>VALUE(TRIM(SUBSTITUTE(VentesMagasins!$J950,".",",")))</f>
        <v>851.19999999999902</v>
      </c>
      <c r="R950">
        <f t="shared" si="42"/>
        <v>808.63999999999908</v>
      </c>
      <c r="S950">
        <f>IF(VentesMagasins!$K950=1,(-1)*R950,R950)</f>
        <v>808.63999999999908</v>
      </c>
      <c r="T950">
        <f>IFERROR(VALUE(TRIM(SUBSTITUTE(VentesMagasins!$L950,".",","))),0)</f>
        <v>2</v>
      </c>
      <c r="U950">
        <f t="shared" si="43"/>
        <v>2</v>
      </c>
      <c r="V950" t="str">
        <f t="shared" si="44"/>
        <v>faible</v>
      </c>
      <c r="W950" t="str">
        <f>_xlfn.XLOOKUP(VentesMagasins!$B950,Clients!ClientID,Région)</f>
        <v>Est</v>
      </c>
      <c r="X950" t="str">
        <f>INDEX(TypeClient,MATCH(VentesMagasins!$B950,Clients!ClientID))</f>
        <v>Fidèle</v>
      </c>
      <c r="Y950" t="str">
        <v>avr</v>
      </c>
    </row>
    <row r="951" spans="1:25" x14ac:dyDescent="0.25">
      <c r="A951" s="2">
        <v>950</v>
      </c>
      <c r="B951" s="12" t="s">
        <v>202</v>
      </c>
      <c r="C951" s="13">
        <v>45363</v>
      </c>
      <c r="D951" s="12" t="s">
        <v>333</v>
      </c>
      <c r="E951" s="14" t="s">
        <v>339</v>
      </c>
      <c r="F951" s="12" t="s">
        <v>324</v>
      </c>
      <c r="G951" s="2">
        <v>4</v>
      </c>
      <c r="H951" s="3">
        <v>356</v>
      </c>
      <c r="I951" s="14" t="s">
        <v>335</v>
      </c>
      <c r="J951" s="12" t="s">
        <v>1192</v>
      </c>
      <c r="K951" s="2">
        <v>0</v>
      </c>
      <c r="L951" s="12" t="s">
        <v>337</v>
      </c>
      <c r="M951">
        <f>YEAR(VentesMagasins!$C951)</f>
        <v>2024</v>
      </c>
      <c r="N951" t="e" cm="1" vm="1">
        <f t="array" aca="1" ref="N951" ca="1">MONTH(DateVente)</f>
        <v>#VALUE!</v>
      </c>
      <c r="O951" t="str">
        <f>PROPER(VentesMagasins!$F951)</f>
        <v>Électronique</v>
      </c>
      <c r="P951">
        <f>VALUE(CLEAN(TRIM(SUBSTITUTE(VentesMagasins!$I951,".",","))))</f>
        <v>0</v>
      </c>
      <c r="Q951">
        <f>VALUE(TRIM(SUBSTITUTE(VentesMagasins!$J951,".",",")))</f>
        <v>1424</v>
      </c>
      <c r="R951">
        <f t="shared" si="42"/>
        <v>1424</v>
      </c>
      <c r="S951">
        <f>IF(VentesMagasins!$K951=1,(-1)*R951,R951)</f>
        <v>1424</v>
      </c>
      <c r="T951">
        <f>IFERROR(VALUE(TRIM(SUBSTITUTE(VentesMagasins!$L951,".",","))),0)</f>
        <v>3</v>
      </c>
      <c r="U951">
        <f t="shared" si="43"/>
        <v>3</v>
      </c>
      <c r="V951" t="str">
        <f t="shared" si="44"/>
        <v>moyenne</v>
      </c>
      <c r="W951" t="str">
        <f>_xlfn.XLOOKUP(VentesMagasins!$B951,Clients!ClientID,Région)</f>
        <v>Nord</v>
      </c>
      <c r="X951" t="str">
        <f>INDEX(TypeClient,MATCH(VentesMagasins!$B951,Clients!ClientID))</f>
        <v>Fidèle</v>
      </c>
      <c r="Y951" t="str">
        <v>mars</v>
      </c>
    </row>
    <row r="952" spans="1:25" x14ac:dyDescent="0.25">
      <c r="A952" s="2">
        <v>951</v>
      </c>
      <c r="B952" s="12" t="s">
        <v>71</v>
      </c>
      <c r="C952" s="13">
        <v>45576</v>
      </c>
      <c r="D952" s="12" t="s">
        <v>333</v>
      </c>
      <c r="E952" s="14" t="s">
        <v>329</v>
      </c>
      <c r="F952" s="12" t="s">
        <v>341</v>
      </c>
      <c r="G952" s="2">
        <v>4</v>
      </c>
      <c r="H952" s="3">
        <v>187</v>
      </c>
      <c r="I952" s="14" t="s">
        <v>335</v>
      </c>
      <c r="J952" s="12" t="s">
        <v>544</v>
      </c>
      <c r="K952" s="2">
        <v>0</v>
      </c>
      <c r="L952" s="12" t="s">
        <v>337</v>
      </c>
      <c r="M952">
        <f>YEAR(VentesMagasins!$C952)</f>
        <v>2024</v>
      </c>
      <c r="N952" t="e" cm="1" vm="1">
        <f t="array" aca="1" ref="N952" ca="1">MONTH(DateVente)</f>
        <v>#VALUE!</v>
      </c>
      <c r="O952" t="str">
        <f>PROPER(VentesMagasins!$F952)</f>
        <v>Meuble</v>
      </c>
      <c r="P952">
        <f>VALUE(CLEAN(TRIM(SUBSTITUTE(VentesMagasins!$I952,".",","))))</f>
        <v>0</v>
      </c>
      <c r="Q952">
        <f>VALUE(TRIM(SUBSTITUTE(VentesMagasins!$J952,".",",")))</f>
        <v>748</v>
      </c>
      <c r="R952">
        <f t="shared" si="42"/>
        <v>748</v>
      </c>
      <c r="S952">
        <f>IF(VentesMagasins!$K952=1,(-1)*R952,R952)</f>
        <v>748</v>
      </c>
      <c r="T952">
        <f>IFERROR(VALUE(TRIM(SUBSTITUTE(VentesMagasins!$L952,".",","))),0)</f>
        <v>3</v>
      </c>
      <c r="U952">
        <f t="shared" si="43"/>
        <v>3</v>
      </c>
      <c r="V952" t="str">
        <f t="shared" si="44"/>
        <v>moyenne</v>
      </c>
      <c r="W952" t="str">
        <f>_xlfn.XLOOKUP(VentesMagasins!$B952,Clients!ClientID,Région)</f>
        <v>Sud</v>
      </c>
      <c r="X952" t="str">
        <f>INDEX(TypeClient,MATCH(VentesMagasins!$B952,Clients!ClientID))</f>
        <v>Nouveau</v>
      </c>
      <c r="Y952" t="str">
        <v>oct</v>
      </c>
    </row>
    <row r="953" spans="1:25" x14ac:dyDescent="0.25">
      <c r="A953" s="2">
        <v>952</v>
      </c>
      <c r="B953" s="12" t="s">
        <v>110</v>
      </c>
      <c r="C953" s="13">
        <v>45712</v>
      </c>
      <c r="D953" s="12" t="s">
        <v>350</v>
      </c>
      <c r="E953" s="14" t="s">
        <v>364</v>
      </c>
      <c r="F953" s="12" t="s">
        <v>341</v>
      </c>
      <c r="G953" s="2">
        <v>2</v>
      </c>
      <c r="H953" s="3">
        <v>162</v>
      </c>
      <c r="I953" s="14" t="s">
        <v>342</v>
      </c>
      <c r="J953" s="12" t="s">
        <v>1193</v>
      </c>
      <c r="K953" s="2">
        <v>0</v>
      </c>
      <c r="L953" s="12" t="s">
        <v>327</v>
      </c>
      <c r="M953">
        <f>YEAR(VentesMagasins!$C953)</f>
        <v>2025</v>
      </c>
      <c r="N953" t="e" cm="1" vm="1">
        <f t="array" aca="1" ref="N953" ca="1">MONTH(DateVente)</f>
        <v>#VALUE!</v>
      </c>
      <c r="O953" t="str">
        <f>PROPER(VentesMagasins!$F953)</f>
        <v>Meuble</v>
      </c>
      <c r="P953">
        <f>VALUE(CLEAN(TRIM(SUBSTITUTE(VentesMagasins!$I953,".",","))))</f>
        <v>0.05</v>
      </c>
      <c r="Q953">
        <f>VALUE(TRIM(SUBSTITUTE(VentesMagasins!$J953,".",",")))</f>
        <v>338.58</v>
      </c>
      <c r="R953">
        <f t="shared" si="42"/>
        <v>321.65099999999995</v>
      </c>
      <c r="S953">
        <f>IF(VentesMagasins!$K953=1,(-1)*R953,R953)</f>
        <v>321.65099999999995</v>
      </c>
      <c r="T953">
        <f>IFERROR(VALUE(TRIM(SUBSTITUTE(VentesMagasins!$L953,".",","))),0)</f>
        <v>5</v>
      </c>
      <c r="U953">
        <f t="shared" si="43"/>
        <v>5</v>
      </c>
      <c r="V953" t="str">
        <f t="shared" si="44"/>
        <v>élévé</v>
      </c>
      <c r="W953" t="str">
        <f>_xlfn.XLOOKUP(VentesMagasins!$B953,Clients!ClientID,Région)</f>
        <v>Sud</v>
      </c>
      <c r="X953" t="str">
        <f>INDEX(TypeClient,MATCH(VentesMagasins!$B953,Clients!ClientID))</f>
        <v>Nouveau</v>
      </c>
      <c r="Y953" t="str">
        <v>févr</v>
      </c>
    </row>
    <row r="954" spans="1:25" x14ac:dyDescent="0.25">
      <c r="A954" s="2">
        <v>953</v>
      </c>
      <c r="B954" s="12" t="s">
        <v>215</v>
      </c>
      <c r="C954" s="13">
        <v>45630</v>
      </c>
      <c r="D954" s="12" t="s">
        <v>333</v>
      </c>
      <c r="E954" s="14" t="s">
        <v>362</v>
      </c>
      <c r="F954" s="12" t="s">
        <v>341</v>
      </c>
      <c r="G954" s="2">
        <v>1</v>
      </c>
      <c r="H954" s="3">
        <v>393</v>
      </c>
      <c r="I954" s="14" t="s">
        <v>342</v>
      </c>
      <c r="J954" s="12" t="s">
        <v>1194</v>
      </c>
      <c r="K954" s="2">
        <v>1</v>
      </c>
      <c r="L954" s="12" t="s">
        <v>344</v>
      </c>
      <c r="M954">
        <f>YEAR(VentesMagasins!$C954)</f>
        <v>2024</v>
      </c>
      <c r="N954" t="e" cm="1" vm="1">
        <f t="array" aca="1" ref="N954" ca="1">MONTH(DateVente)</f>
        <v>#VALUE!</v>
      </c>
      <c r="O954" t="str">
        <f>PROPER(VentesMagasins!$F954)</f>
        <v>Meuble</v>
      </c>
      <c r="P954">
        <f>VALUE(CLEAN(TRIM(SUBSTITUTE(VentesMagasins!$I954,".",","))))</f>
        <v>0.05</v>
      </c>
      <c r="Q954">
        <f>VALUE(TRIM(SUBSTITUTE(VentesMagasins!$J954,".",",")))</f>
        <v>373.349999999999</v>
      </c>
      <c r="R954">
        <f t="shared" si="42"/>
        <v>354.68249999999904</v>
      </c>
      <c r="S954">
        <f>IF(VentesMagasins!$K954=1,(-1)*R954,R954)</f>
        <v>-354.68249999999904</v>
      </c>
      <c r="T954">
        <f>IFERROR(VALUE(TRIM(SUBSTITUTE(VentesMagasins!$L954,".",","))),0)</f>
        <v>2</v>
      </c>
      <c r="U954">
        <f t="shared" si="43"/>
        <v>2</v>
      </c>
      <c r="V954" t="str">
        <f t="shared" si="44"/>
        <v>faible</v>
      </c>
      <c r="W954" t="str">
        <f>_xlfn.XLOOKUP(VentesMagasins!$B954,Clients!ClientID,Région)</f>
        <v>Ouest</v>
      </c>
      <c r="X954" t="str">
        <f>INDEX(TypeClient,MATCH(VentesMagasins!$B954,Clients!ClientID))</f>
        <v>Fidèle</v>
      </c>
      <c r="Y954" t="str">
        <v>déc</v>
      </c>
    </row>
    <row r="955" spans="1:25" x14ac:dyDescent="0.25">
      <c r="A955" s="2">
        <v>954</v>
      </c>
      <c r="B955" s="12" t="s">
        <v>186</v>
      </c>
      <c r="C955" s="13">
        <v>45816</v>
      </c>
      <c r="D955" s="12" t="s">
        <v>425</v>
      </c>
      <c r="E955" s="14" t="s">
        <v>364</v>
      </c>
      <c r="F955" s="12" t="s">
        <v>341</v>
      </c>
      <c r="G955" s="2">
        <v>3</v>
      </c>
      <c r="H955" s="3">
        <v>305</v>
      </c>
      <c r="I955" s="14" t="s">
        <v>355</v>
      </c>
      <c r="J955" s="12" t="s">
        <v>1195</v>
      </c>
      <c r="K955" s="2">
        <v>0</v>
      </c>
      <c r="L955" s="12" t="s">
        <v>327</v>
      </c>
      <c r="M955">
        <f>YEAR(VentesMagasins!$C955)</f>
        <v>2025</v>
      </c>
      <c r="N955" t="e" cm="1" vm="1">
        <f t="array" aca="1" ref="N955" ca="1">MONTH(DateVente)</f>
        <v>#VALUE!</v>
      </c>
      <c r="O955" t="str">
        <f>PROPER(VentesMagasins!$F955)</f>
        <v>Meuble</v>
      </c>
      <c r="P955">
        <f>VALUE(CLEAN(TRIM(SUBSTITUTE(VentesMagasins!$I955,".",","))))</f>
        <v>0.1</v>
      </c>
      <c r="Q955">
        <f>VALUE(TRIM(SUBSTITUTE(VentesMagasins!$J955,".",",")))</f>
        <v>823.5</v>
      </c>
      <c r="R955">
        <f t="shared" si="42"/>
        <v>741.15</v>
      </c>
      <c r="S955">
        <f>IF(VentesMagasins!$K955=1,(-1)*R955,R955)</f>
        <v>741.15</v>
      </c>
      <c r="T955">
        <f>IFERROR(VALUE(TRIM(SUBSTITUTE(VentesMagasins!$L955,".",","))),0)</f>
        <v>5</v>
      </c>
      <c r="U955">
        <f t="shared" si="43"/>
        <v>5</v>
      </c>
      <c r="V955" t="str">
        <f t="shared" si="44"/>
        <v>élévé</v>
      </c>
      <c r="W955" t="str">
        <f>_xlfn.XLOOKUP(VentesMagasins!$B955,Clients!ClientID,Région)</f>
        <v>Nord</v>
      </c>
      <c r="X955" t="str">
        <f>INDEX(TypeClient,MATCH(VentesMagasins!$B955,Clients!ClientID))</f>
        <v>Occasionnel</v>
      </c>
      <c r="Y955" t="str">
        <v>juin</v>
      </c>
    </row>
    <row r="956" spans="1:25" x14ac:dyDescent="0.25">
      <c r="A956" s="2">
        <v>955</v>
      </c>
      <c r="B956" s="12" t="s">
        <v>265</v>
      </c>
      <c r="C956" s="13">
        <v>45709</v>
      </c>
      <c r="D956" s="12" t="s">
        <v>338</v>
      </c>
      <c r="E956" s="14" t="s">
        <v>362</v>
      </c>
      <c r="F956" s="12" t="s">
        <v>324</v>
      </c>
      <c r="G956" s="2">
        <v>3</v>
      </c>
      <c r="H956" s="3">
        <v>393</v>
      </c>
      <c r="I956" s="14" t="s">
        <v>335</v>
      </c>
      <c r="J956" s="12" t="s">
        <v>494</v>
      </c>
      <c r="K956" s="2">
        <v>0</v>
      </c>
      <c r="L956" s="12" t="s">
        <v>352</v>
      </c>
      <c r="M956">
        <f>YEAR(VentesMagasins!$C956)</f>
        <v>2025</v>
      </c>
      <c r="N956" t="e" cm="1" vm="1">
        <f t="array" aca="1" ref="N956" ca="1">MONTH(DateVente)</f>
        <v>#VALUE!</v>
      </c>
      <c r="O956" t="str">
        <f>PROPER(VentesMagasins!$F956)</f>
        <v>Électronique</v>
      </c>
      <c r="P956">
        <f>VALUE(CLEAN(TRIM(SUBSTITUTE(VentesMagasins!$I956,".",","))))</f>
        <v>0</v>
      </c>
      <c r="Q956">
        <f>VALUE(TRIM(SUBSTITUTE(VentesMagasins!$J956,".",",")))</f>
        <v>1179</v>
      </c>
      <c r="R956">
        <f t="shared" si="42"/>
        <v>1179</v>
      </c>
      <c r="S956">
        <f>IF(VentesMagasins!$K956=1,(-1)*R956,R956)</f>
        <v>1179</v>
      </c>
      <c r="T956">
        <f>IFERROR(VALUE(TRIM(SUBSTITUTE(VentesMagasins!$L956,".",","))),0)</f>
        <v>0</v>
      </c>
      <c r="U956">
        <f t="shared" si="43"/>
        <v>3</v>
      </c>
      <c r="V956" t="str">
        <f t="shared" si="44"/>
        <v>moyenne</v>
      </c>
      <c r="W956" t="str">
        <f>_xlfn.XLOOKUP(VentesMagasins!$B956,Clients!ClientID,Région)</f>
        <v>Ouest</v>
      </c>
      <c r="X956" t="str">
        <f>INDEX(TypeClient,MATCH(VentesMagasins!$B956,Clients!ClientID))</f>
        <v>Fidèle</v>
      </c>
      <c r="Y956" t="str">
        <v>févr</v>
      </c>
    </row>
    <row r="957" spans="1:25" x14ac:dyDescent="0.25">
      <c r="A957" s="2">
        <v>956</v>
      </c>
      <c r="B957" s="12" t="s">
        <v>112</v>
      </c>
      <c r="C957" s="13">
        <v>45517</v>
      </c>
      <c r="D957" s="12" t="s">
        <v>350</v>
      </c>
      <c r="E957" s="14" t="s">
        <v>323</v>
      </c>
      <c r="F957" s="12" t="s">
        <v>324</v>
      </c>
      <c r="G957" s="2">
        <v>4</v>
      </c>
      <c r="H957" s="3">
        <v>459</v>
      </c>
      <c r="I957" s="14" t="s">
        <v>335</v>
      </c>
      <c r="J957" s="12" t="s">
        <v>1196</v>
      </c>
      <c r="K957" s="2">
        <v>0</v>
      </c>
      <c r="L957" s="12" t="s">
        <v>332</v>
      </c>
      <c r="M957">
        <f>YEAR(VentesMagasins!$C957)</f>
        <v>2024</v>
      </c>
      <c r="N957" t="e" cm="1" vm="1">
        <f t="array" aca="1" ref="N957" ca="1">MONTH(DateVente)</f>
        <v>#VALUE!</v>
      </c>
      <c r="O957" t="str">
        <f>PROPER(VentesMagasins!$F957)</f>
        <v>Électronique</v>
      </c>
      <c r="P957">
        <f>VALUE(CLEAN(TRIM(SUBSTITUTE(VentesMagasins!$I957,".",","))))</f>
        <v>0</v>
      </c>
      <c r="Q957">
        <f>VALUE(TRIM(SUBSTITUTE(VentesMagasins!$J957,".",",")))</f>
        <v>1836</v>
      </c>
      <c r="R957">
        <f t="shared" si="42"/>
        <v>1836</v>
      </c>
      <c r="S957">
        <f>IF(VentesMagasins!$K957=1,(-1)*R957,R957)</f>
        <v>1836</v>
      </c>
      <c r="T957">
        <f>IFERROR(VALUE(TRIM(SUBSTITUTE(VentesMagasins!$L957,".",","))),0)</f>
        <v>4</v>
      </c>
      <c r="U957">
        <f t="shared" si="43"/>
        <v>4</v>
      </c>
      <c r="V957" t="str">
        <f t="shared" si="44"/>
        <v>moyenne</v>
      </c>
      <c r="W957" t="str">
        <f>_xlfn.XLOOKUP(VentesMagasins!$B957,Clients!ClientID,Région)</f>
        <v>Sud</v>
      </c>
      <c r="X957" t="str">
        <f>INDEX(TypeClient,MATCH(VentesMagasins!$B957,Clients!ClientID))</f>
        <v>Occasionnel</v>
      </c>
      <c r="Y957" t="str">
        <v>août</v>
      </c>
    </row>
    <row r="958" spans="1:25" x14ac:dyDescent="0.25">
      <c r="A958" s="2">
        <v>957</v>
      </c>
      <c r="B958" s="12" t="s">
        <v>27</v>
      </c>
      <c r="C958" s="13">
        <v>45126</v>
      </c>
      <c r="D958" s="12" t="s">
        <v>333</v>
      </c>
      <c r="E958" s="14" t="s">
        <v>323</v>
      </c>
      <c r="F958" s="12" t="s">
        <v>330</v>
      </c>
      <c r="G958" s="2">
        <v>1</v>
      </c>
      <c r="H958" s="3">
        <v>327</v>
      </c>
      <c r="I958" s="14" t="s">
        <v>325</v>
      </c>
      <c r="J958" s="12" t="s">
        <v>1197</v>
      </c>
      <c r="K958" s="2">
        <v>0</v>
      </c>
      <c r="L958" s="12" t="s">
        <v>344</v>
      </c>
      <c r="M958">
        <f>YEAR(VentesMagasins!$C958)</f>
        <v>2023</v>
      </c>
      <c r="N958" t="e" cm="1" vm="1">
        <f t="array" aca="1" ref="N958" ca="1">MONTH(DateVente)</f>
        <v>#VALUE!</v>
      </c>
      <c r="O958" t="str">
        <f>PROPER(VentesMagasins!$F958)</f>
        <v>Décoration</v>
      </c>
      <c r="P958">
        <f>VALUE(CLEAN(TRIM(SUBSTITUTE(VentesMagasins!$I958,".",","))))</f>
        <v>0.15</v>
      </c>
      <c r="Q958">
        <f>VALUE(TRIM(SUBSTITUTE(VentesMagasins!$J958,".",",")))</f>
        <v>277.95</v>
      </c>
      <c r="R958">
        <f t="shared" si="42"/>
        <v>236.25749999999999</v>
      </c>
      <c r="S958">
        <f>IF(VentesMagasins!$K958=1,(-1)*R958,R958)</f>
        <v>236.25749999999999</v>
      </c>
      <c r="T958">
        <f>IFERROR(VALUE(TRIM(SUBSTITUTE(VentesMagasins!$L958,".",","))),0)</f>
        <v>2</v>
      </c>
      <c r="U958">
        <f t="shared" si="43"/>
        <v>2</v>
      </c>
      <c r="V958" t="str">
        <f t="shared" si="44"/>
        <v>faible</v>
      </c>
      <c r="W958" t="str">
        <f>_xlfn.XLOOKUP(VentesMagasins!$B958,Clients!ClientID,Région)</f>
        <v>Sud</v>
      </c>
      <c r="X958" t="str">
        <f>INDEX(TypeClient,MATCH(VentesMagasins!$B958,Clients!ClientID))</f>
        <v>Occasionnel</v>
      </c>
      <c r="Y958" t="str">
        <v>juil</v>
      </c>
    </row>
    <row r="959" spans="1:25" x14ac:dyDescent="0.25">
      <c r="A959" s="2">
        <v>958</v>
      </c>
      <c r="B959" s="12" t="s">
        <v>24</v>
      </c>
      <c r="C959" s="13">
        <v>45686</v>
      </c>
      <c r="D959" s="12" t="s">
        <v>322</v>
      </c>
      <c r="E959" s="14" t="s">
        <v>323</v>
      </c>
      <c r="F959" s="12" t="s">
        <v>324</v>
      </c>
      <c r="G959" s="2">
        <v>1</v>
      </c>
      <c r="H959" s="3">
        <v>373</v>
      </c>
      <c r="I959" s="14" t="s">
        <v>355</v>
      </c>
      <c r="J959" s="12" t="s">
        <v>1198</v>
      </c>
      <c r="K959" s="2">
        <v>0</v>
      </c>
      <c r="L959" s="12" t="s">
        <v>352</v>
      </c>
      <c r="M959">
        <f>YEAR(VentesMagasins!$C959)</f>
        <v>2025</v>
      </c>
      <c r="N959" t="e" cm="1" vm="1">
        <f t="array" aca="1" ref="N959" ca="1">MONTH(DateVente)</f>
        <v>#VALUE!</v>
      </c>
      <c r="O959" t="str">
        <f>PROPER(VentesMagasins!$F959)</f>
        <v>Électronique</v>
      </c>
      <c r="P959">
        <f>VALUE(CLEAN(TRIM(SUBSTITUTE(VentesMagasins!$I959,".",","))))</f>
        <v>0.1</v>
      </c>
      <c r="Q959">
        <f>VALUE(TRIM(SUBSTITUTE(VentesMagasins!$J959,".",",")))</f>
        <v>335.7</v>
      </c>
      <c r="R959">
        <f t="shared" si="42"/>
        <v>302.13</v>
      </c>
      <c r="S959">
        <f>IF(VentesMagasins!$K959=1,(-1)*R959,R959)</f>
        <v>302.13</v>
      </c>
      <c r="T959">
        <f>IFERROR(VALUE(TRIM(SUBSTITUTE(VentesMagasins!$L959,".",","))),0)</f>
        <v>0</v>
      </c>
      <c r="U959">
        <f t="shared" si="43"/>
        <v>3</v>
      </c>
      <c r="V959" t="str">
        <f t="shared" si="44"/>
        <v>moyenne</v>
      </c>
      <c r="W959" t="str">
        <f>_xlfn.XLOOKUP(VentesMagasins!$B959,Clients!ClientID,Région)</f>
        <v>Est</v>
      </c>
      <c r="X959" t="str">
        <f>INDEX(TypeClient,MATCH(VentesMagasins!$B959,Clients!ClientID))</f>
        <v>Fidèle</v>
      </c>
      <c r="Y959" t="str">
        <v>janv</v>
      </c>
    </row>
    <row r="960" spans="1:25" x14ac:dyDescent="0.25">
      <c r="A960" s="2">
        <v>959</v>
      </c>
      <c r="B960" s="12" t="s">
        <v>220</v>
      </c>
      <c r="C960" s="13">
        <v>45947</v>
      </c>
      <c r="D960" s="12" t="s">
        <v>322</v>
      </c>
      <c r="E960" s="14" t="s">
        <v>362</v>
      </c>
      <c r="F960" s="12" t="s">
        <v>324</v>
      </c>
      <c r="G960" s="2">
        <v>5</v>
      </c>
      <c r="H960" s="3">
        <v>125</v>
      </c>
      <c r="I960" s="14" t="s">
        <v>335</v>
      </c>
      <c r="J960" s="12" t="s">
        <v>1199</v>
      </c>
      <c r="K960" s="2">
        <v>0</v>
      </c>
      <c r="L960" s="12" t="s">
        <v>352</v>
      </c>
      <c r="M960">
        <f>YEAR(VentesMagasins!$C960)</f>
        <v>2025</v>
      </c>
      <c r="N960" t="e" cm="1" vm="1">
        <f t="array" aca="1" ref="N960" ca="1">MONTH(DateVente)</f>
        <v>#VALUE!</v>
      </c>
      <c r="O960" t="str">
        <f>PROPER(VentesMagasins!$F960)</f>
        <v>Électronique</v>
      </c>
      <c r="P960">
        <f>VALUE(CLEAN(TRIM(SUBSTITUTE(VentesMagasins!$I960,".",","))))</f>
        <v>0</v>
      </c>
      <c r="Q960">
        <f>VALUE(TRIM(SUBSTITUTE(VentesMagasins!$J960,".",",")))</f>
        <v>625</v>
      </c>
      <c r="R960">
        <f t="shared" si="42"/>
        <v>625</v>
      </c>
      <c r="S960">
        <f>IF(VentesMagasins!$K960=1,(-1)*R960,R960)</f>
        <v>625</v>
      </c>
      <c r="T960">
        <f>IFERROR(VALUE(TRIM(SUBSTITUTE(VentesMagasins!$L960,".",","))),0)</f>
        <v>0</v>
      </c>
      <c r="U960">
        <f t="shared" si="43"/>
        <v>3</v>
      </c>
      <c r="V960" t="str">
        <f t="shared" si="44"/>
        <v>moyenne</v>
      </c>
      <c r="W960" t="str">
        <f>_xlfn.XLOOKUP(VentesMagasins!$B960,Clients!ClientID,Région)</f>
        <v>Centre</v>
      </c>
      <c r="X960" t="str">
        <f>INDEX(TypeClient,MATCH(VentesMagasins!$B960,Clients!ClientID))</f>
        <v>Occasionnel</v>
      </c>
      <c r="Y960" t="str">
        <v>oct</v>
      </c>
    </row>
    <row r="961" spans="1:25" x14ac:dyDescent="0.25">
      <c r="A961" s="2">
        <v>960</v>
      </c>
      <c r="B961" s="12" t="s">
        <v>40</v>
      </c>
      <c r="C961" s="13">
        <v>45138</v>
      </c>
      <c r="D961" s="12" t="s">
        <v>338</v>
      </c>
      <c r="E961" s="14" t="s">
        <v>329</v>
      </c>
      <c r="F961" s="12" t="s">
        <v>330</v>
      </c>
      <c r="G961" s="2">
        <v>4</v>
      </c>
      <c r="H961" s="3">
        <v>72</v>
      </c>
      <c r="I961" s="14" t="s">
        <v>342</v>
      </c>
      <c r="J961" s="12" t="s">
        <v>406</v>
      </c>
      <c r="K961" s="2">
        <v>0</v>
      </c>
      <c r="L961" s="12" t="s">
        <v>337</v>
      </c>
      <c r="M961">
        <f>YEAR(VentesMagasins!$C961)</f>
        <v>2023</v>
      </c>
      <c r="N961" t="e" cm="1" vm="1">
        <f t="array" aca="1" ref="N961" ca="1">MONTH(DateVente)</f>
        <v>#VALUE!</v>
      </c>
      <c r="O961" t="str">
        <f>PROPER(VentesMagasins!$F961)</f>
        <v>Décoration</v>
      </c>
      <c r="P961">
        <f>VALUE(CLEAN(TRIM(SUBSTITUTE(VentesMagasins!$I961,".",","))))</f>
        <v>0.05</v>
      </c>
      <c r="Q961">
        <f>VALUE(TRIM(SUBSTITUTE(VentesMagasins!$J961,".",",")))</f>
        <v>273.599999999999</v>
      </c>
      <c r="R961">
        <f t="shared" si="42"/>
        <v>259.91999999999905</v>
      </c>
      <c r="S961">
        <f>IF(VentesMagasins!$K961=1,(-1)*R961,R961)</f>
        <v>259.91999999999905</v>
      </c>
      <c r="T961">
        <f>IFERROR(VALUE(TRIM(SUBSTITUTE(VentesMagasins!$L961,".",","))),0)</f>
        <v>3</v>
      </c>
      <c r="U961">
        <f t="shared" si="43"/>
        <v>3</v>
      </c>
      <c r="V961" t="str">
        <f t="shared" si="44"/>
        <v>moyenne</v>
      </c>
      <c r="W961" t="str">
        <f>_xlfn.XLOOKUP(VentesMagasins!$B961,Clients!ClientID,Région)</f>
        <v>Centre</v>
      </c>
      <c r="X961" t="str">
        <f>INDEX(TypeClient,MATCH(VentesMagasins!$B961,Clients!ClientID))</f>
        <v>Nouveau</v>
      </c>
      <c r="Y961" t="str">
        <v>juil</v>
      </c>
    </row>
    <row r="962" spans="1:25" x14ac:dyDescent="0.25">
      <c r="A962" s="2">
        <v>961</v>
      </c>
      <c r="B962" s="12" t="s">
        <v>202</v>
      </c>
      <c r="C962" s="13">
        <v>45099</v>
      </c>
      <c r="D962" s="12" t="s">
        <v>333</v>
      </c>
      <c r="E962" s="14" t="s">
        <v>323</v>
      </c>
      <c r="F962" s="12" t="s">
        <v>341</v>
      </c>
      <c r="G962" s="2">
        <v>5</v>
      </c>
      <c r="H962" s="3">
        <v>287</v>
      </c>
      <c r="I962" s="14" t="s">
        <v>325</v>
      </c>
      <c r="J962" s="12" t="s">
        <v>1200</v>
      </c>
      <c r="K962" s="2">
        <v>0</v>
      </c>
      <c r="L962" s="12" t="s">
        <v>352</v>
      </c>
      <c r="M962">
        <f>YEAR(VentesMagasins!$C962)</f>
        <v>2023</v>
      </c>
      <c r="N962" t="e" cm="1" vm="1">
        <f t="array" aca="1" ref="N962" ca="1">MONTH(DateVente)</f>
        <v>#VALUE!</v>
      </c>
      <c r="O962" t="str">
        <f>PROPER(VentesMagasins!$F962)</f>
        <v>Meuble</v>
      </c>
      <c r="P962">
        <f>VALUE(CLEAN(TRIM(SUBSTITUTE(VentesMagasins!$I962,".",","))))</f>
        <v>0.15</v>
      </c>
      <c r="Q962">
        <f>VALUE(TRIM(SUBSTITUTE(VentesMagasins!$J962,".",",")))</f>
        <v>1219.75</v>
      </c>
      <c r="R962">
        <f t="shared" si="42"/>
        <v>1036.7874999999999</v>
      </c>
      <c r="S962">
        <f>IF(VentesMagasins!$K962=1,(-1)*R962,R962)</f>
        <v>1036.7874999999999</v>
      </c>
      <c r="T962">
        <f>IFERROR(VALUE(TRIM(SUBSTITUTE(VentesMagasins!$L962,".",","))),0)</f>
        <v>0</v>
      </c>
      <c r="U962">
        <f t="shared" si="43"/>
        <v>3</v>
      </c>
      <c r="V962" t="str">
        <f t="shared" si="44"/>
        <v>moyenne</v>
      </c>
      <c r="W962" t="str">
        <f>_xlfn.XLOOKUP(VentesMagasins!$B962,Clients!ClientID,Région)</f>
        <v>Nord</v>
      </c>
      <c r="X962" t="str">
        <f>INDEX(TypeClient,MATCH(VentesMagasins!$B962,Clients!ClientID))</f>
        <v>Fidèle</v>
      </c>
      <c r="Y962" t="str">
        <v>juin</v>
      </c>
    </row>
    <row r="963" spans="1:25" x14ac:dyDescent="0.25">
      <c r="A963" s="2">
        <v>962</v>
      </c>
      <c r="B963" s="12" t="s">
        <v>137</v>
      </c>
      <c r="C963" s="13">
        <v>45951</v>
      </c>
      <c r="D963" s="12" t="s">
        <v>338</v>
      </c>
      <c r="E963" s="14" t="s">
        <v>329</v>
      </c>
      <c r="F963" s="12" t="s">
        <v>330</v>
      </c>
      <c r="G963" s="2">
        <v>2</v>
      </c>
      <c r="H963" s="3">
        <v>75</v>
      </c>
      <c r="I963" s="14" t="s">
        <v>325</v>
      </c>
      <c r="J963" s="12" t="s">
        <v>1201</v>
      </c>
      <c r="K963" s="2">
        <v>1</v>
      </c>
      <c r="L963" s="12" t="s">
        <v>332</v>
      </c>
      <c r="M963">
        <f>YEAR(VentesMagasins!$C963)</f>
        <v>2025</v>
      </c>
      <c r="N963" t="e" cm="1" vm="1">
        <f t="array" aca="1" ref="N963" ca="1">MONTH(DateVente)</f>
        <v>#VALUE!</v>
      </c>
      <c r="O963" t="str">
        <f>PROPER(VentesMagasins!$F963)</f>
        <v>Décoration</v>
      </c>
      <c r="P963">
        <f>VALUE(CLEAN(TRIM(SUBSTITUTE(VentesMagasins!$I963,".",","))))</f>
        <v>0.15</v>
      </c>
      <c r="Q963">
        <f>VALUE(TRIM(SUBSTITUTE(VentesMagasins!$J963,".",",")))</f>
        <v>127.5</v>
      </c>
      <c r="R963">
        <f t="shared" ref="R963:R1001" si="45">Q963*(1-P963)</f>
        <v>108.375</v>
      </c>
      <c r="S963">
        <f>IF(VentesMagasins!$K963=1,(-1)*R963,R963)</f>
        <v>-108.375</v>
      </c>
      <c r="T963">
        <f>IFERROR(VALUE(TRIM(SUBSTITUTE(VentesMagasins!$L963,".",","))),0)</f>
        <v>4</v>
      </c>
      <c r="U963">
        <f t="shared" ref="U963:U1001" si="46">ROUND(IF(T963=0,AVERAGE(T963:T1962),T963),0)</f>
        <v>4</v>
      </c>
      <c r="V963" t="str">
        <f t="shared" ref="V963:V1001" si="47">IF(AND(U963&gt;0,U963&lt;=2),"faible",IF(AND(U963&gt;=3,U963&lt;=4),"moyenne",IF(U963=5,"élévé",0)))</f>
        <v>moyenne</v>
      </c>
      <c r="W963" t="str">
        <f>_xlfn.XLOOKUP(VentesMagasins!$B963,Clients!ClientID,Région)</f>
        <v>Sud</v>
      </c>
      <c r="X963" t="str">
        <f>INDEX(TypeClient,MATCH(VentesMagasins!$B963,Clients!ClientID))</f>
        <v>Nouveau</v>
      </c>
      <c r="Y963" t="str">
        <v>oct</v>
      </c>
    </row>
    <row r="964" spans="1:25" x14ac:dyDescent="0.25">
      <c r="A964" s="2">
        <v>963</v>
      </c>
      <c r="B964" s="12" t="s">
        <v>112</v>
      </c>
      <c r="C964" s="13">
        <v>45916</v>
      </c>
      <c r="D964" s="12" t="s">
        <v>350</v>
      </c>
      <c r="E964" s="14" t="s">
        <v>329</v>
      </c>
      <c r="F964" s="12" t="s">
        <v>324</v>
      </c>
      <c r="G964" s="2">
        <v>3</v>
      </c>
      <c r="H964" s="3">
        <v>276</v>
      </c>
      <c r="I964" s="14" t="s">
        <v>342</v>
      </c>
      <c r="J964" s="12" t="s">
        <v>1202</v>
      </c>
      <c r="K964" s="2">
        <v>1</v>
      </c>
      <c r="L964" s="12" t="s">
        <v>369</v>
      </c>
      <c r="M964">
        <f>YEAR(VentesMagasins!$C964)</f>
        <v>2025</v>
      </c>
      <c r="N964" t="e" cm="1" vm="1">
        <f t="array" aca="1" ref="N964" ca="1">MONTH(DateVente)</f>
        <v>#VALUE!</v>
      </c>
      <c r="O964" t="str">
        <f>PROPER(VentesMagasins!$F964)</f>
        <v>Électronique</v>
      </c>
      <c r="P964">
        <f>VALUE(CLEAN(TRIM(SUBSTITUTE(VentesMagasins!$I964,".",","))))</f>
        <v>0.05</v>
      </c>
      <c r="Q964">
        <f>VALUE(TRIM(SUBSTITUTE(VentesMagasins!$J964,".",",")))</f>
        <v>786.599999999999</v>
      </c>
      <c r="R964">
        <f t="shared" si="45"/>
        <v>747.26999999999896</v>
      </c>
      <c r="S964">
        <f>IF(VentesMagasins!$K964=1,(-1)*R964,R964)</f>
        <v>-747.26999999999896</v>
      </c>
      <c r="T964">
        <f>IFERROR(VALUE(TRIM(SUBSTITUTE(VentesMagasins!$L964,".",","))),0)</f>
        <v>1</v>
      </c>
      <c r="U964">
        <f t="shared" si="46"/>
        <v>1</v>
      </c>
      <c r="V964" t="str">
        <f t="shared" si="47"/>
        <v>faible</v>
      </c>
      <c r="W964" t="str">
        <f>_xlfn.XLOOKUP(VentesMagasins!$B964,Clients!ClientID,Région)</f>
        <v>Sud</v>
      </c>
      <c r="X964" t="str">
        <f>INDEX(TypeClient,MATCH(VentesMagasins!$B964,Clients!ClientID))</f>
        <v>Occasionnel</v>
      </c>
      <c r="Y964" t="str">
        <v>sept</v>
      </c>
    </row>
    <row r="965" spans="1:25" x14ac:dyDescent="0.25">
      <c r="A965" s="2">
        <v>964</v>
      </c>
      <c r="B965" s="12" t="s">
        <v>264</v>
      </c>
      <c r="C965" s="13">
        <v>45093</v>
      </c>
      <c r="D965" s="12" t="s">
        <v>338</v>
      </c>
      <c r="E965" s="14" t="s">
        <v>339</v>
      </c>
      <c r="F965" s="12" t="s">
        <v>324</v>
      </c>
      <c r="G965" s="2">
        <v>1</v>
      </c>
      <c r="H965" s="3">
        <v>196</v>
      </c>
      <c r="I965" s="14" t="s">
        <v>335</v>
      </c>
      <c r="J965" s="12" t="s">
        <v>429</v>
      </c>
      <c r="K965" s="2">
        <v>1</v>
      </c>
      <c r="L965" s="12" t="s">
        <v>344</v>
      </c>
      <c r="M965">
        <f>YEAR(VentesMagasins!$C965)</f>
        <v>2023</v>
      </c>
      <c r="N965" t="e" cm="1" vm="1">
        <f t="array" aca="1" ref="N965" ca="1">MONTH(DateVente)</f>
        <v>#VALUE!</v>
      </c>
      <c r="O965" t="str">
        <f>PROPER(VentesMagasins!$F965)</f>
        <v>Électronique</v>
      </c>
      <c r="P965">
        <f>VALUE(CLEAN(TRIM(SUBSTITUTE(VentesMagasins!$I965,".",","))))</f>
        <v>0</v>
      </c>
      <c r="Q965">
        <f>VALUE(TRIM(SUBSTITUTE(VentesMagasins!$J965,".",",")))</f>
        <v>196</v>
      </c>
      <c r="R965">
        <f t="shared" si="45"/>
        <v>196</v>
      </c>
      <c r="S965">
        <f>IF(VentesMagasins!$K965=1,(-1)*R965,R965)</f>
        <v>-196</v>
      </c>
      <c r="T965">
        <f>IFERROR(VALUE(TRIM(SUBSTITUTE(VentesMagasins!$L965,".",","))),0)</f>
        <v>2</v>
      </c>
      <c r="U965">
        <f t="shared" si="46"/>
        <v>2</v>
      </c>
      <c r="V965" t="str">
        <f t="shared" si="47"/>
        <v>faible</v>
      </c>
      <c r="W965" t="str">
        <f>_xlfn.XLOOKUP(VentesMagasins!$B965,Clients!ClientID,Région)</f>
        <v>Ouest</v>
      </c>
      <c r="X965" t="str">
        <f>INDEX(TypeClient,MATCH(VentesMagasins!$B965,Clients!ClientID))</f>
        <v>Nouveau</v>
      </c>
      <c r="Y965" t="str">
        <v>juin</v>
      </c>
    </row>
    <row r="966" spans="1:25" x14ac:dyDescent="0.25">
      <c r="A966" s="2">
        <v>965</v>
      </c>
      <c r="B966" s="12" t="s">
        <v>106</v>
      </c>
      <c r="C966" s="13">
        <v>45889</v>
      </c>
      <c r="D966" s="12" t="s">
        <v>350</v>
      </c>
      <c r="E966" s="14" t="s">
        <v>364</v>
      </c>
      <c r="F966" s="12" t="s">
        <v>330</v>
      </c>
      <c r="G966" s="2">
        <v>1</v>
      </c>
      <c r="H966" s="3">
        <v>312</v>
      </c>
      <c r="I966" s="14" t="s">
        <v>355</v>
      </c>
      <c r="J966" s="12" t="s">
        <v>557</v>
      </c>
      <c r="K966" s="2">
        <v>0</v>
      </c>
      <c r="L966" s="12" t="s">
        <v>332</v>
      </c>
      <c r="M966">
        <f>YEAR(VentesMagasins!$C966)</f>
        <v>2025</v>
      </c>
      <c r="N966" t="e" cm="1" vm="1">
        <f t="array" aca="1" ref="N966" ca="1">MONTH(DateVente)</f>
        <v>#VALUE!</v>
      </c>
      <c r="O966" t="str">
        <f>PROPER(VentesMagasins!$F966)</f>
        <v>Décoration</v>
      </c>
      <c r="P966">
        <f>VALUE(CLEAN(TRIM(SUBSTITUTE(VentesMagasins!$I966,".",","))))</f>
        <v>0.1</v>
      </c>
      <c r="Q966">
        <f>VALUE(TRIM(SUBSTITUTE(VentesMagasins!$J966,".",",")))</f>
        <v>280.8</v>
      </c>
      <c r="R966">
        <f t="shared" si="45"/>
        <v>252.72000000000003</v>
      </c>
      <c r="S966">
        <f>IF(VentesMagasins!$K966=1,(-1)*R966,R966)</f>
        <v>252.72000000000003</v>
      </c>
      <c r="T966">
        <f>IFERROR(VALUE(TRIM(SUBSTITUTE(VentesMagasins!$L966,".",","))),0)</f>
        <v>4</v>
      </c>
      <c r="U966">
        <f t="shared" si="46"/>
        <v>4</v>
      </c>
      <c r="V966" t="str">
        <f t="shared" si="47"/>
        <v>moyenne</v>
      </c>
      <c r="W966" t="str">
        <f>_xlfn.XLOOKUP(VentesMagasins!$B966,Clients!ClientID,Région)</f>
        <v>Est</v>
      </c>
      <c r="X966" t="str">
        <f>INDEX(TypeClient,MATCH(VentesMagasins!$B966,Clients!ClientID))</f>
        <v>Fidèle</v>
      </c>
      <c r="Y966" t="str">
        <v>août</v>
      </c>
    </row>
    <row r="967" spans="1:25" x14ac:dyDescent="0.25">
      <c r="A967" s="2">
        <v>966</v>
      </c>
      <c r="B967" s="12" t="s">
        <v>90</v>
      </c>
      <c r="C967" s="13">
        <v>45038</v>
      </c>
      <c r="D967" s="12" t="s">
        <v>338</v>
      </c>
      <c r="E967" s="14" t="s">
        <v>362</v>
      </c>
      <c r="F967" s="12" t="s">
        <v>324</v>
      </c>
      <c r="G967" s="2">
        <v>3</v>
      </c>
      <c r="H967" s="3">
        <v>189</v>
      </c>
      <c r="I967" s="14" t="s">
        <v>355</v>
      </c>
      <c r="J967" s="12" t="s">
        <v>1203</v>
      </c>
      <c r="K967" s="2">
        <v>0</v>
      </c>
      <c r="L967" s="12" t="s">
        <v>327</v>
      </c>
      <c r="M967">
        <f>YEAR(VentesMagasins!$C967)</f>
        <v>2023</v>
      </c>
      <c r="N967" t="e" cm="1" vm="1">
        <f t="array" aca="1" ref="N967" ca="1">MONTH(DateVente)</f>
        <v>#VALUE!</v>
      </c>
      <c r="O967" t="str">
        <f>PROPER(VentesMagasins!$F967)</f>
        <v>Électronique</v>
      </c>
      <c r="P967">
        <f>VALUE(CLEAN(TRIM(SUBSTITUTE(VentesMagasins!$I967,".",","))))</f>
        <v>0.1</v>
      </c>
      <c r="Q967">
        <f>VALUE(TRIM(SUBSTITUTE(VentesMagasins!$J967,".",",")))</f>
        <v>561.33000000000004</v>
      </c>
      <c r="R967">
        <f t="shared" si="45"/>
        <v>505.19700000000006</v>
      </c>
      <c r="S967">
        <f>IF(VentesMagasins!$K967=1,(-1)*R967,R967)</f>
        <v>505.19700000000006</v>
      </c>
      <c r="T967">
        <f>IFERROR(VALUE(TRIM(SUBSTITUTE(VentesMagasins!$L967,".",","))),0)</f>
        <v>5</v>
      </c>
      <c r="U967">
        <f t="shared" si="46"/>
        <v>5</v>
      </c>
      <c r="V967" t="str">
        <f t="shared" si="47"/>
        <v>élévé</v>
      </c>
      <c r="W967" t="str">
        <f>_xlfn.XLOOKUP(VentesMagasins!$B967,Clients!ClientID,Région)</f>
        <v>Est</v>
      </c>
      <c r="X967" t="str">
        <f>INDEX(TypeClient,MATCH(VentesMagasins!$B967,Clients!ClientID))</f>
        <v>Fidèle</v>
      </c>
      <c r="Y967" t="str">
        <v>avr</v>
      </c>
    </row>
    <row r="968" spans="1:25" x14ac:dyDescent="0.25">
      <c r="A968" s="2">
        <v>967</v>
      </c>
      <c r="B968" s="12" t="s">
        <v>171</v>
      </c>
      <c r="C968" s="13">
        <v>45328</v>
      </c>
      <c r="D968" s="12" t="s">
        <v>338</v>
      </c>
      <c r="E968" s="14" t="s">
        <v>323</v>
      </c>
      <c r="F968" s="12" t="s">
        <v>341</v>
      </c>
      <c r="G968" s="2">
        <v>2</v>
      </c>
      <c r="H968" s="3">
        <v>323</v>
      </c>
      <c r="I968" s="14" t="s">
        <v>342</v>
      </c>
      <c r="J968" s="12" t="s">
        <v>1204</v>
      </c>
      <c r="K968" s="2">
        <v>0</v>
      </c>
      <c r="L968" s="12" t="s">
        <v>327</v>
      </c>
      <c r="M968">
        <f>YEAR(VentesMagasins!$C968)</f>
        <v>2024</v>
      </c>
      <c r="N968" t="e" cm="1" vm="1">
        <f t="array" aca="1" ref="N968" ca="1">MONTH(DateVente)</f>
        <v>#VALUE!</v>
      </c>
      <c r="O968" t="str">
        <f>PROPER(VentesMagasins!$F968)</f>
        <v>Meuble</v>
      </c>
      <c r="P968">
        <f>VALUE(CLEAN(TRIM(SUBSTITUTE(VentesMagasins!$I968,".",","))))</f>
        <v>0.05</v>
      </c>
      <c r="Q968">
        <f>VALUE(TRIM(SUBSTITUTE(VentesMagasins!$J968,".",",")))</f>
        <v>613.69999999999902</v>
      </c>
      <c r="R968">
        <f t="shared" si="45"/>
        <v>583.01499999999908</v>
      </c>
      <c r="S968">
        <f>IF(VentesMagasins!$K968=1,(-1)*R968,R968)</f>
        <v>583.01499999999908</v>
      </c>
      <c r="T968">
        <f>IFERROR(VALUE(TRIM(SUBSTITUTE(VentesMagasins!$L968,".",","))),0)</f>
        <v>5</v>
      </c>
      <c r="U968">
        <f t="shared" si="46"/>
        <v>5</v>
      </c>
      <c r="V968" t="str">
        <f t="shared" si="47"/>
        <v>élévé</v>
      </c>
      <c r="W968" t="str">
        <f>_xlfn.XLOOKUP(VentesMagasins!$B968,Clients!ClientID,Région)</f>
        <v>Nord</v>
      </c>
      <c r="X968" t="str">
        <f>INDEX(TypeClient,MATCH(VentesMagasins!$B968,Clients!ClientID))</f>
        <v>Fidèle</v>
      </c>
      <c r="Y968" t="str">
        <v>févr</v>
      </c>
    </row>
    <row r="969" spans="1:25" x14ac:dyDescent="0.25">
      <c r="A969" s="2">
        <v>968</v>
      </c>
      <c r="B969" s="12" t="s">
        <v>274</v>
      </c>
      <c r="C969" s="13">
        <v>45154</v>
      </c>
      <c r="D969" s="12" t="s">
        <v>350</v>
      </c>
      <c r="E969" s="14" t="s">
        <v>364</v>
      </c>
      <c r="F969" s="12" t="s">
        <v>324</v>
      </c>
      <c r="G969" s="2">
        <v>5</v>
      </c>
      <c r="H969" s="3">
        <v>37</v>
      </c>
      <c r="I969" s="14" t="s">
        <v>325</v>
      </c>
      <c r="J969" s="12" t="s">
        <v>1205</v>
      </c>
      <c r="K969" s="2">
        <v>0</v>
      </c>
      <c r="L969" s="12" t="s">
        <v>337</v>
      </c>
      <c r="M969">
        <f>YEAR(VentesMagasins!$C969)</f>
        <v>2023</v>
      </c>
      <c r="N969" t="e" cm="1" vm="1">
        <f t="array" aca="1" ref="N969" ca="1">MONTH(DateVente)</f>
        <v>#VALUE!</v>
      </c>
      <c r="O969" t="str">
        <f>PROPER(VentesMagasins!$F969)</f>
        <v>Électronique</v>
      </c>
      <c r="P969">
        <f>VALUE(CLEAN(TRIM(SUBSTITUTE(VentesMagasins!$I969,".",","))))</f>
        <v>0.15</v>
      </c>
      <c r="Q969">
        <f>VALUE(TRIM(SUBSTITUTE(VentesMagasins!$J969,".",",")))</f>
        <v>157.25</v>
      </c>
      <c r="R969">
        <f t="shared" si="45"/>
        <v>133.66249999999999</v>
      </c>
      <c r="S969">
        <f>IF(VentesMagasins!$K969=1,(-1)*R969,R969)</f>
        <v>133.66249999999999</v>
      </c>
      <c r="T969">
        <f>IFERROR(VALUE(TRIM(SUBSTITUTE(VentesMagasins!$L969,".",","))),0)</f>
        <v>3</v>
      </c>
      <c r="U969">
        <f t="shared" si="46"/>
        <v>3</v>
      </c>
      <c r="V969" t="str">
        <f t="shared" si="47"/>
        <v>moyenne</v>
      </c>
      <c r="W969" t="str">
        <f>_xlfn.XLOOKUP(VentesMagasins!$B969,Clients!ClientID,Région)</f>
        <v>Ouest</v>
      </c>
      <c r="X969" t="str">
        <f>INDEX(TypeClient,MATCH(VentesMagasins!$B969,Clients!ClientID))</f>
        <v>Fidèle</v>
      </c>
      <c r="Y969" t="str">
        <v>août</v>
      </c>
    </row>
    <row r="970" spans="1:25" x14ac:dyDescent="0.25">
      <c r="A970" s="2">
        <v>969</v>
      </c>
      <c r="B970" s="12" t="s">
        <v>49</v>
      </c>
      <c r="C970" s="13">
        <v>44934</v>
      </c>
      <c r="D970" s="12" t="s">
        <v>350</v>
      </c>
      <c r="E970" s="14" t="s">
        <v>364</v>
      </c>
      <c r="F970" s="12" t="s">
        <v>341</v>
      </c>
      <c r="G970" s="2">
        <v>4</v>
      </c>
      <c r="H970" s="3">
        <v>272</v>
      </c>
      <c r="I970" s="14" t="s">
        <v>355</v>
      </c>
      <c r="J970" s="12" t="s">
        <v>1206</v>
      </c>
      <c r="K970" s="2">
        <v>0</v>
      </c>
      <c r="L970" s="12" t="s">
        <v>327</v>
      </c>
      <c r="M970">
        <f>YEAR(VentesMagasins!$C970)</f>
        <v>2023</v>
      </c>
      <c r="N970" t="e" cm="1" vm="1">
        <f t="array" aca="1" ref="N970" ca="1">MONTH(DateVente)</f>
        <v>#VALUE!</v>
      </c>
      <c r="O970" t="str">
        <f>PROPER(VentesMagasins!$F970)</f>
        <v>Meuble</v>
      </c>
      <c r="P970">
        <f>VALUE(CLEAN(TRIM(SUBSTITUTE(VentesMagasins!$I970,".",","))))</f>
        <v>0.1</v>
      </c>
      <c r="Q970">
        <f>VALUE(TRIM(SUBSTITUTE(VentesMagasins!$J970,".",",")))</f>
        <v>979.2</v>
      </c>
      <c r="R970">
        <f t="shared" si="45"/>
        <v>881.28000000000009</v>
      </c>
      <c r="S970">
        <f>IF(VentesMagasins!$K970=1,(-1)*R970,R970)</f>
        <v>881.28000000000009</v>
      </c>
      <c r="T970">
        <f>IFERROR(VALUE(TRIM(SUBSTITUTE(VentesMagasins!$L970,".",","))),0)</f>
        <v>5</v>
      </c>
      <c r="U970">
        <f t="shared" si="46"/>
        <v>5</v>
      </c>
      <c r="V970" t="str">
        <f t="shared" si="47"/>
        <v>élévé</v>
      </c>
      <c r="W970" t="str">
        <f>_xlfn.XLOOKUP(VentesMagasins!$B970,Clients!ClientID,Région)</f>
        <v>Nord</v>
      </c>
      <c r="X970" t="str">
        <f>INDEX(TypeClient,MATCH(VentesMagasins!$B970,Clients!ClientID))</f>
        <v>Nouveau</v>
      </c>
      <c r="Y970" t="str">
        <v>janv</v>
      </c>
    </row>
    <row r="971" spans="1:25" x14ac:dyDescent="0.25">
      <c r="A971" s="2">
        <v>970</v>
      </c>
      <c r="B971" s="12" t="s">
        <v>282</v>
      </c>
      <c r="C971" s="13">
        <v>45936</v>
      </c>
      <c r="D971" s="12" t="s">
        <v>333</v>
      </c>
      <c r="E971" s="14" t="s">
        <v>348</v>
      </c>
      <c r="F971" s="12" t="s">
        <v>324</v>
      </c>
      <c r="G971" s="2">
        <v>5</v>
      </c>
      <c r="H971" s="3">
        <v>301</v>
      </c>
      <c r="I971" s="14" t="s">
        <v>335</v>
      </c>
      <c r="J971" s="12" t="s">
        <v>1207</v>
      </c>
      <c r="K971" s="2">
        <v>0</v>
      </c>
      <c r="L971" s="12" t="s">
        <v>332</v>
      </c>
      <c r="M971">
        <f>YEAR(VentesMagasins!$C971)</f>
        <v>2025</v>
      </c>
      <c r="N971" t="e" cm="1" vm="1">
        <f t="array" aca="1" ref="N971" ca="1">MONTH(DateVente)</f>
        <v>#VALUE!</v>
      </c>
      <c r="O971" t="str">
        <f>PROPER(VentesMagasins!$F971)</f>
        <v>Électronique</v>
      </c>
      <c r="P971">
        <f>VALUE(CLEAN(TRIM(SUBSTITUTE(VentesMagasins!$I971,".",","))))</f>
        <v>0</v>
      </c>
      <c r="Q971">
        <f>VALUE(TRIM(SUBSTITUTE(VentesMagasins!$J971,".",",")))</f>
        <v>1505</v>
      </c>
      <c r="R971">
        <f t="shared" si="45"/>
        <v>1505</v>
      </c>
      <c r="S971">
        <f>IF(VentesMagasins!$K971=1,(-1)*R971,R971)</f>
        <v>1505</v>
      </c>
      <c r="T971">
        <f>IFERROR(VALUE(TRIM(SUBSTITUTE(VentesMagasins!$L971,".",","))),0)</f>
        <v>4</v>
      </c>
      <c r="U971">
        <f t="shared" si="46"/>
        <v>4</v>
      </c>
      <c r="V971" t="str">
        <f t="shared" si="47"/>
        <v>moyenne</v>
      </c>
      <c r="W971" t="str">
        <f>_xlfn.XLOOKUP(VentesMagasins!$B971,Clients!ClientID,Région)</f>
        <v>Nord</v>
      </c>
      <c r="X971" t="str">
        <f>INDEX(TypeClient,MATCH(VentesMagasins!$B971,Clients!ClientID))</f>
        <v>Nouveau</v>
      </c>
      <c r="Y971" t="str">
        <v>oct</v>
      </c>
    </row>
    <row r="972" spans="1:25" x14ac:dyDescent="0.25">
      <c r="A972" s="2">
        <v>971</v>
      </c>
      <c r="B972" s="12" t="s">
        <v>248</v>
      </c>
      <c r="C972" s="13">
        <v>44946</v>
      </c>
      <c r="D972" s="12" t="s">
        <v>328</v>
      </c>
      <c r="E972" s="14" t="s">
        <v>339</v>
      </c>
      <c r="F972" s="12" t="s">
        <v>330</v>
      </c>
      <c r="G972" s="2">
        <v>5</v>
      </c>
      <c r="H972" s="3">
        <v>195</v>
      </c>
      <c r="I972" s="14" t="s">
        <v>355</v>
      </c>
      <c r="J972" s="12" t="s">
        <v>1208</v>
      </c>
      <c r="K972" s="2">
        <v>1</v>
      </c>
      <c r="L972" s="12" t="s">
        <v>332</v>
      </c>
      <c r="M972">
        <f>YEAR(VentesMagasins!$C972)</f>
        <v>2023</v>
      </c>
      <c r="N972" t="e" cm="1" vm="1">
        <f t="array" aca="1" ref="N972" ca="1">MONTH(DateVente)</f>
        <v>#VALUE!</v>
      </c>
      <c r="O972" t="str">
        <f>PROPER(VentesMagasins!$F972)</f>
        <v>Décoration</v>
      </c>
      <c r="P972">
        <f>VALUE(CLEAN(TRIM(SUBSTITUTE(VentesMagasins!$I972,".",","))))</f>
        <v>0.1</v>
      </c>
      <c r="Q972">
        <f>VALUE(TRIM(SUBSTITUTE(VentesMagasins!$J972,".",",")))</f>
        <v>877.5</v>
      </c>
      <c r="R972">
        <f t="shared" si="45"/>
        <v>789.75</v>
      </c>
      <c r="S972">
        <f>IF(VentesMagasins!$K972=1,(-1)*R972,R972)</f>
        <v>-789.75</v>
      </c>
      <c r="T972">
        <f>IFERROR(VALUE(TRIM(SUBSTITUTE(VentesMagasins!$L972,".",","))),0)</f>
        <v>4</v>
      </c>
      <c r="U972">
        <f t="shared" si="46"/>
        <v>4</v>
      </c>
      <c r="V972" t="str">
        <f t="shared" si="47"/>
        <v>moyenne</v>
      </c>
      <c r="W972" t="str">
        <f>_xlfn.XLOOKUP(VentesMagasins!$B972,Clients!ClientID,Région)</f>
        <v>Ouest</v>
      </c>
      <c r="X972" t="str">
        <f>INDEX(TypeClient,MATCH(VentesMagasins!$B972,Clients!ClientID))</f>
        <v>Nouveau</v>
      </c>
      <c r="Y972" t="str">
        <v>janv</v>
      </c>
    </row>
    <row r="973" spans="1:25" x14ac:dyDescent="0.25">
      <c r="A973" s="2">
        <v>972</v>
      </c>
      <c r="B973" s="12" t="s">
        <v>194</v>
      </c>
      <c r="C973" s="13">
        <v>45049</v>
      </c>
      <c r="D973" s="12" t="s">
        <v>333</v>
      </c>
      <c r="E973" s="14" t="s">
        <v>339</v>
      </c>
      <c r="F973" s="12" t="s">
        <v>324</v>
      </c>
      <c r="G973" s="2">
        <v>2</v>
      </c>
      <c r="H973" s="3">
        <v>419</v>
      </c>
      <c r="I973" s="14" t="s">
        <v>355</v>
      </c>
      <c r="J973" s="12" t="s">
        <v>1209</v>
      </c>
      <c r="K973" s="2">
        <v>1</v>
      </c>
      <c r="L973" s="12" t="s">
        <v>327</v>
      </c>
      <c r="M973">
        <f>YEAR(VentesMagasins!$C973)</f>
        <v>2023</v>
      </c>
      <c r="N973" t="e" cm="1" vm="1">
        <f t="array" aca="1" ref="N973" ca="1">MONTH(DateVente)</f>
        <v>#VALUE!</v>
      </c>
      <c r="O973" t="str">
        <f>PROPER(VentesMagasins!$F973)</f>
        <v>Électronique</v>
      </c>
      <c r="P973">
        <f>VALUE(CLEAN(TRIM(SUBSTITUTE(VentesMagasins!$I973,".",","))))</f>
        <v>0.1</v>
      </c>
      <c r="Q973">
        <f>VALUE(TRIM(SUBSTITUTE(VentesMagasins!$J973,".",",")))</f>
        <v>754.2</v>
      </c>
      <c r="R973">
        <f t="shared" si="45"/>
        <v>678.78000000000009</v>
      </c>
      <c r="S973">
        <f>IF(VentesMagasins!$K973=1,(-1)*R973,R973)</f>
        <v>-678.78000000000009</v>
      </c>
      <c r="T973">
        <f>IFERROR(VALUE(TRIM(SUBSTITUTE(VentesMagasins!$L973,".",","))),0)</f>
        <v>5</v>
      </c>
      <c r="U973">
        <f t="shared" si="46"/>
        <v>5</v>
      </c>
      <c r="V973" t="str">
        <f t="shared" si="47"/>
        <v>élévé</v>
      </c>
      <c r="W973" t="str">
        <f>_xlfn.XLOOKUP(VentesMagasins!$B973,Clients!ClientID,Région)</f>
        <v>Centre</v>
      </c>
      <c r="X973" t="str">
        <f>INDEX(TypeClient,MATCH(VentesMagasins!$B973,Clients!ClientID))</f>
        <v>Fidèle</v>
      </c>
      <c r="Y973" t="str">
        <v>mai</v>
      </c>
    </row>
    <row r="974" spans="1:25" x14ac:dyDescent="0.25">
      <c r="A974" s="2">
        <v>973</v>
      </c>
      <c r="B974" s="12" t="s">
        <v>129</v>
      </c>
      <c r="C974" s="13">
        <v>45035</v>
      </c>
      <c r="D974" s="12" t="s">
        <v>322</v>
      </c>
      <c r="E974" s="14" t="s">
        <v>329</v>
      </c>
      <c r="F974" s="12" t="s">
        <v>330</v>
      </c>
      <c r="G974" s="2">
        <v>3</v>
      </c>
      <c r="H974" s="3">
        <v>150</v>
      </c>
      <c r="I974" s="14" t="s">
        <v>342</v>
      </c>
      <c r="J974" s="12" t="s">
        <v>1210</v>
      </c>
      <c r="K974" s="2">
        <v>0</v>
      </c>
      <c r="L974" s="12" t="s">
        <v>337</v>
      </c>
      <c r="M974">
        <f>YEAR(VentesMagasins!$C974)</f>
        <v>2023</v>
      </c>
      <c r="N974" t="e" cm="1" vm="1">
        <f t="array" aca="1" ref="N974" ca="1">MONTH(DateVente)</f>
        <v>#VALUE!</v>
      </c>
      <c r="O974" t="str">
        <f>PROPER(VentesMagasins!$F974)</f>
        <v>Décoration</v>
      </c>
      <c r="P974">
        <f>VALUE(CLEAN(TRIM(SUBSTITUTE(VentesMagasins!$I974,".",","))))</f>
        <v>0.05</v>
      </c>
      <c r="Q974">
        <f>VALUE(TRIM(SUBSTITUTE(VentesMagasins!$J974,".",",")))</f>
        <v>427.5</v>
      </c>
      <c r="R974">
        <f t="shared" si="45"/>
        <v>406.125</v>
      </c>
      <c r="S974">
        <f>IF(VentesMagasins!$K974=1,(-1)*R974,R974)</f>
        <v>406.125</v>
      </c>
      <c r="T974">
        <f>IFERROR(VALUE(TRIM(SUBSTITUTE(VentesMagasins!$L974,".",","))),0)</f>
        <v>3</v>
      </c>
      <c r="U974">
        <f t="shared" si="46"/>
        <v>3</v>
      </c>
      <c r="V974" t="str">
        <f t="shared" si="47"/>
        <v>moyenne</v>
      </c>
      <c r="W974" t="str">
        <f>_xlfn.XLOOKUP(VentesMagasins!$B974,Clients!ClientID,Région)</f>
        <v>Est</v>
      </c>
      <c r="X974" t="str">
        <f>INDEX(TypeClient,MATCH(VentesMagasins!$B974,Clients!ClientID))</f>
        <v>Fidèle</v>
      </c>
      <c r="Y974" t="str">
        <v>avr</v>
      </c>
    </row>
    <row r="975" spans="1:25" x14ac:dyDescent="0.25">
      <c r="A975" s="2">
        <v>974</v>
      </c>
      <c r="B975" s="12" t="s">
        <v>59</v>
      </c>
      <c r="C975" s="13">
        <v>45322</v>
      </c>
      <c r="D975" s="12" t="s">
        <v>333</v>
      </c>
      <c r="E975" s="14" t="s">
        <v>345</v>
      </c>
      <c r="F975" s="12" t="s">
        <v>330</v>
      </c>
      <c r="G975" s="2">
        <v>2</v>
      </c>
      <c r="H975" s="3">
        <v>290</v>
      </c>
      <c r="I975" s="14" t="s">
        <v>342</v>
      </c>
      <c r="J975" s="12" t="s">
        <v>1211</v>
      </c>
      <c r="K975" s="2">
        <v>0</v>
      </c>
      <c r="L975" s="12" t="s">
        <v>352</v>
      </c>
      <c r="M975">
        <f>YEAR(VentesMagasins!$C975)</f>
        <v>2024</v>
      </c>
      <c r="N975" t="e" cm="1" vm="1">
        <f t="array" aca="1" ref="N975" ca="1">MONTH(DateVente)</f>
        <v>#VALUE!</v>
      </c>
      <c r="O975" t="str">
        <f>PROPER(VentesMagasins!$F975)</f>
        <v>Décoration</v>
      </c>
      <c r="P975">
        <f>VALUE(CLEAN(TRIM(SUBSTITUTE(VentesMagasins!$I975,".",","))))</f>
        <v>0.05</v>
      </c>
      <c r="Q975">
        <f>VALUE(TRIM(SUBSTITUTE(VentesMagasins!$J975,".",",")))</f>
        <v>551</v>
      </c>
      <c r="R975">
        <f t="shared" si="45"/>
        <v>523.44999999999993</v>
      </c>
      <c r="S975">
        <f>IF(VentesMagasins!$K975=1,(-1)*R975,R975)</f>
        <v>523.44999999999993</v>
      </c>
      <c r="T975">
        <f>IFERROR(VALUE(TRIM(SUBSTITUTE(VentesMagasins!$L975,".",","))),0)</f>
        <v>0</v>
      </c>
      <c r="U975">
        <f t="shared" si="46"/>
        <v>3</v>
      </c>
      <c r="V975" t="str">
        <f t="shared" si="47"/>
        <v>moyenne</v>
      </c>
      <c r="W975" t="str">
        <f>_xlfn.XLOOKUP(VentesMagasins!$B975,Clients!ClientID,Région)</f>
        <v>Sud</v>
      </c>
      <c r="X975" t="str">
        <f>INDEX(TypeClient,MATCH(VentesMagasins!$B975,Clients!ClientID))</f>
        <v>Occasionnel</v>
      </c>
      <c r="Y975" t="str">
        <v>janv</v>
      </c>
    </row>
    <row r="976" spans="1:25" x14ac:dyDescent="0.25">
      <c r="A976" s="2">
        <v>975</v>
      </c>
      <c r="B976" s="12" t="s">
        <v>136</v>
      </c>
      <c r="C976" s="13">
        <v>45851</v>
      </c>
      <c r="D976" s="12" t="s">
        <v>350</v>
      </c>
      <c r="E976" s="14" t="s">
        <v>348</v>
      </c>
      <c r="F976" s="12" t="s">
        <v>341</v>
      </c>
      <c r="G976" s="2">
        <v>1</v>
      </c>
      <c r="H976" s="3">
        <v>220</v>
      </c>
      <c r="I976" s="14" t="s">
        <v>325</v>
      </c>
      <c r="J976" s="12" t="s">
        <v>1212</v>
      </c>
      <c r="K976" s="2">
        <v>0</v>
      </c>
      <c r="L976" s="12" t="s">
        <v>327</v>
      </c>
      <c r="M976">
        <f>YEAR(VentesMagasins!$C976)</f>
        <v>2025</v>
      </c>
      <c r="N976" t="e" cm="1" vm="1">
        <f t="array" aca="1" ref="N976" ca="1">MONTH(DateVente)</f>
        <v>#VALUE!</v>
      </c>
      <c r="O976" t="str">
        <f>PROPER(VentesMagasins!$F976)</f>
        <v>Meuble</v>
      </c>
      <c r="P976">
        <f>VALUE(CLEAN(TRIM(SUBSTITUTE(VentesMagasins!$I976,".",","))))</f>
        <v>0.15</v>
      </c>
      <c r="Q976">
        <f>VALUE(TRIM(SUBSTITUTE(VentesMagasins!$J976,".",",")))</f>
        <v>187</v>
      </c>
      <c r="R976">
        <f t="shared" si="45"/>
        <v>158.94999999999999</v>
      </c>
      <c r="S976">
        <f>IF(VentesMagasins!$K976=1,(-1)*R976,R976)</f>
        <v>158.94999999999999</v>
      </c>
      <c r="T976">
        <f>IFERROR(VALUE(TRIM(SUBSTITUTE(VentesMagasins!$L976,".",","))),0)</f>
        <v>5</v>
      </c>
      <c r="U976">
        <f t="shared" si="46"/>
        <v>5</v>
      </c>
      <c r="V976" t="str">
        <f t="shared" si="47"/>
        <v>élévé</v>
      </c>
      <c r="W976" t="str">
        <f>_xlfn.XLOOKUP(VentesMagasins!$B976,Clients!ClientID,Région)</f>
        <v>Sud</v>
      </c>
      <c r="X976" t="str">
        <f>INDEX(TypeClient,MATCH(VentesMagasins!$B976,Clients!ClientID))</f>
        <v>Fidèle</v>
      </c>
      <c r="Y976" t="str">
        <v>juil</v>
      </c>
    </row>
    <row r="977" spans="1:25" x14ac:dyDescent="0.25">
      <c r="A977" s="2">
        <v>976</v>
      </c>
      <c r="B977" s="12" t="s">
        <v>112</v>
      </c>
      <c r="C977" s="13">
        <v>45660</v>
      </c>
      <c r="D977" s="12" t="s">
        <v>322</v>
      </c>
      <c r="E977" s="14" t="s">
        <v>364</v>
      </c>
      <c r="F977" s="12" t="s">
        <v>330</v>
      </c>
      <c r="G977" s="2">
        <v>1</v>
      </c>
      <c r="H977" s="3">
        <v>223</v>
      </c>
      <c r="I977" s="14" t="s">
        <v>355</v>
      </c>
      <c r="J977" s="12" t="s">
        <v>1213</v>
      </c>
      <c r="K977" s="2">
        <v>0</v>
      </c>
      <c r="L977" s="12" t="s">
        <v>352</v>
      </c>
      <c r="M977">
        <f>YEAR(VentesMagasins!$C977)</f>
        <v>2025</v>
      </c>
      <c r="N977" t="e" cm="1" vm="1">
        <f t="array" aca="1" ref="N977" ca="1">MONTH(DateVente)</f>
        <v>#VALUE!</v>
      </c>
      <c r="O977" t="str">
        <f>PROPER(VentesMagasins!$F977)</f>
        <v>Décoration</v>
      </c>
      <c r="P977">
        <f>VALUE(CLEAN(TRIM(SUBSTITUTE(VentesMagasins!$I977,".",","))))</f>
        <v>0.1</v>
      </c>
      <c r="Q977">
        <f>VALUE(TRIM(SUBSTITUTE(VentesMagasins!$J977,".",",")))</f>
        <v>200.7</v>
      </c>
      <c r="R977">
        <f t="shared" si="45"/>
        <v>180.63</v>
      </c>
      <c r="S977">
        <f>IF(VentesMagasins!$K977=1,(-1)*R977,R977)</f>
        <v>180.63</v>
      </c>
      <c r="T977">
        <f>IFERROR(VALUE(TRIM(SUBSTITUTE(VentesMagasins!$L977,".",","))),0)</f>
        <v>0</v>
      </c>
      <c r="U977">
        <f t="shared" si="46"/>
        <v>3</v>
      </c>
      <c r="V977" t="str">
        <f t="shared" si="47"/>
        <v>moyenne</v>
      </c>
      <c r="W977" t="str">
        <f>_xlfn.XLOOKUP(VentesMagasins!$B977,Clients!ClientID,Région)</f>
        <v>Sud</v>
      </c>
      <c r="X977" t="str">
        <f>INDEX(TypeClient,MATCH(VentesMagasins!$B977,Clients!ClientID))</f>
        <v>Occasionnel</v>
      </c>
      <c r="Y977" t="str">
        <v>janv</v>
      </c>
    </row>
    <row r="978" spans="1:25" x14ac:dyDescent="0.25">
      <c r="A978" s="2">
        <v>977</v>
      </c>
      <c r="B978" s="12" t="s">
        <v>31</v>
      </c>
      <c r="C978" s="13">
        <v>45958</v>
      </c>
      <c r="D978" s="12" t="s">
        <v>338</v>
      </c>
      <c r="E978" s="14" t="s">
        <v>345</v>
      </c>
      <c r="F978" s="12" t="s">
        <v>324</v>
      </c>
      <c r="G978" s="2">
        <v>1</v>
      </c>
      <c r="H978" s="3">
        <v>247</v>
      </c>
      <c r="I978" s="14" t="s">
        <v>355</v>
      </c>
      <c r="J978" s="12" t="s">
        <v>1214</v>
      </c>
      <c r="K978" s="2">
        <v>0</v>
      </c>
      <c r="L978" s="12" t="s">
        <v>344</v>
      </c>
      <c r="M978">
        <f>YEAR(VentesMagasins!$C978)</f>
        <v>2025</v>
      </c>
      <c r="N978" t="e" cm="1" vm="1">
        <f t="array" aca="1" ref="N978" ca="1">MONTH(DateVente)</f>
        <v>#VALUE!</v>
      </c>
      <c r="O978" t="str">
        <f>PROPER(VentesMagasins!$F978)</f>
        <v>Électronique</v>
      </c>
      <c r="P978">
        <f>VALUE(CLEAN(TRIM(SUBSTITUTE(VentesMagasins!$I978,".",","))))</f>
        <v>0.1</v>
      </c>
      <c r="Q978">
        <f>VALUE(TRIM(SUBSTITUTE(VentesMagasins!$J978,".",",")))</f>
        <v>222.3</v>
      </c>
      <c r="R978">
        <f t="shared" si="45"/>
        <v>200.07000000000002</v>
      </c>
      <c r="S978">
        <f>IF(VentesMagasins!$K978=1,(-1)*R978,R978)</f>
        <v>200.07000000000002</v>
      </c>
      <c r="T978">
        <f>IFERROR(VALUE(TRIM(SUBSTITUTE(VentesMagasins!$L978,".",","))),0)</f>
        <v>2</v>
      </c>
      <c r="U978">
        <f t="shared" si="46"/>
        <v>2</v>
      </c>
      <c r="V978" t="str">
        <f t="shared" si="47"/>
        <v>faible</v>
      </c>
      <c r="W978" t="str">
        <f>_xlfn.XLOOKUP(VentesMagasins!$B978,Clients!ClientID,Région)</f>
        <v>Sud</v>
      </c>
      <c r="X978" t="str">
        <f>INDEX(TypeClient,MATCH(VentesMagasins!$B978,Clients!ClientID))</f>
        <v>Occasionnel</v>
      </c>
      <c r="Y978" t="str">
        <v>oct</v>
      </c>
    </row>
    <row r="979" spans="1:25" x14ac:dyDescent="0.25">
      <c r="A979" s="2">
        <v>978</v>
      </c>
      <c r="B979" s="12" t="s">
        <v>188</v>
      </c>
      <c r="C979" s="13">
        <v>45108</v>
      </c>
      <c r="D979" s="12" t="s">
        <v>328</v>
      </c>
      <c r="E979" s="14" t="s">
        <v>348</v>
      </c>
      <c r="F979" s="12" t="s">
        <v>330</v>
      </c>
      <c r="G979" s="2">
        <v>1</v>
      </c>
      <c r="H979" s="3">
        <v>404</v>
      </c>
      <c r="I979" s="14" t="s">
        <v>355</v>
      </c>
      <c r="J979" s="12" t="s">
        <v>1215</v>
      </c>
      <c r="K979" s="2">
        <v>1</v>
      </c>
      <c r="L979" s="12" t="s">
        <v>337</v>
      </c>
      <c r="M979">
        <f>YEAR(VentesMagasins!$C979)</f>
        <v>2023</v>
      </c>
      <c r="N979" t="e" cm="1" vm="1">
        <f t="array" aca="1" ref="N979" ca="1">MONTH(DateVente)</f>
        <v>#VALUE!</v>
      </c>
      <c r="O979" t="str">
        <f>PROPER(VentesMagasins!$F979)</f>
        <v>Décoration</v>
      </c>
      <c r="P979">
        <f>VALUE(CLEAN(TRIM(SUBSTITUTE(VentesMagasins!$I979,".",","))))</f>
        <v>0.1</v>
      </c>
      <c r="Q979">
        <f>VALUE(TRIM(SUBSTITUTE(VentesMagasins!$J979,".",",")))</f>
        <v>363.6</v>
      </c>
      <c r="R979">
        <f t="shared" si="45"/>
        <v>327.24</v>
      </c>
      <c r="S979">
        <f>IF(VentesMagasins!$K979=1,(-1)*R979,R979)</f>
        <v>-327.24</v>
      </c>
      <c r="T979">
        <f>IFERROR(VALUE(TRIM(SUBSTITUTE(VentesMagasins!$L979,".",","))),0)</f>
        <v>3</v>
      </c>
      <c r="U979">
        <f t="shared" si="46"/>
        <v>3</v>
      </c>
      <c r="V979" t="str">
        <f t="shared" si="47"/>
        <v>moyenne</v>
      </c>
      <c r="W979" t="str">
        <f>_xlfn.XLOOKUP(VentesMagasins!$B979,Clients!ClientID,Région)</f>
        <v>Nord</v>
      </c>
      <c r="X979" t="str">
        <f>INDEX(TypeClient,MATCH(VentesMagasins!$B979,Clients!ClientID))</f>
        <v>Occasionnel</v>
      </c>
      <c r="Y979" t="str">
        <v>juil</v>
      </c>
    </row>
    <row r="980" spans="1:25" x14ac:dyDescent="0.25">
      <c r="A980" s="2">
        <v>979</v>
      </c>
      <c r="B980" s="12" t="s">
        <v>227</v>
      </c>
      <c r="C980" s="13">
        <v>46008</v>
      </c>
      <c r="D980" s="12" t="s">
        <v>350</v>
      </c>
      <c r="E980" s="14" t="s">
        <v>323</v>
      </c>
      <c r="F980" s="12" t="s">
        <v>330</v>
      </c>
      <c r="G980" s="2">
        <v>5</v>
      </c>
      <c r="H980" s="3">
        <v>133</v>
      </c>
      <c r="I980" s="14" t="s">
        <v>335</v>
      </c>
      <c r="J980" s="12" t="s">
        <v>1216</v>
      </c>
      <c r="K980" s="2">
        <v>0</v>
      </c>
      <c r="L980" s="12" t="s">
        <v>344</v>
      </c>
      <c r="M980">
        <f>YEAR(VentesMagasins!$C980)</f>
        <v>2025</v>
      </c>
      <c r="N980" t="e" cm="1" vm="1">
        <f t="array" aca="1" ref="N980" ca="1">MONTH(DateVente)</f>
        <v>#VALUE!</v>
      </c>
      <c r="O980" t="str">
        <f>PROPER(VentesMagasins!$F980)</f>
        <v>Décoration</v>
      </c>
      <c r="P980">
        <f>VALUE(CLEAN(TRIM(SUBSTITUTE(VentesMagasins!$I980,".",","))))</f>
        <v>0</v>
      </c>
      <c r="Q980">
        <f>VALUE(TRIM(SUBSTITUTE(VentesMagasins!$J980,".",",")))</f>
        <v>665</v>
      </c>
      <c r="R980">
        <f t="shared" si="45"/>
        <v>665</v>
      </c>
      <c r="S980">
        <f>IF(VentesMagasins!$K980=1,(-1)*R980,R980)</f>
        <v>665</v>
      </c>
      <c r="T980">
        <f>IFERROR(VALUE(TRIM(SUBSTITUTE(VentesMagasins!$L980,".",","))),0)</f>
        <v>2</v>
      </c>
      <c r="U980">
        <f t="shared" si="46"/>
        <v>2</v>
      </c>
      <c r="V980" t="str">
        <f t="shared" si="47"/>
        <v>faible</v>
      </c>
      <c r="W980" t="str">
        <f>_xlfn.XLOOKUP(VentesMagasins!$B980,Clients!ClientID,Région)</f>
        <v>Sud</v>
      </c>
      <c r="X980" t="str">
        <f>INDEX(TypeClient,MATCH(VentesMagasins!$B980,Clients!ClientID))</f>
        <v>Fidèle</v>
      </c>
      <c r="Y980" t="str">
        <v>déc</v>
      </c>
    </row>
    <row r="981" spans="1:25" x14ac:dyDescent="0.25">
      <c r="A981" s="2">
        <v>980</v>
      </c>
      <c r="B981" s="12" t="s">
        <v>146</v>
      </c>
      <c r="C981" s="13">
        <v>45531</v>
      </c>
      <c r="D981" s="12" t="s">
        <v>350</v>
      </c>
      <c r="E981" s="14" t="s">
        <v>364</v>
      </c>
      <c r="F981" s="12" t="s">
        <v>330</v>
      </c>
      <c r="G981" s="2">
        <v>2</v>
      </c>
      <c r="H981" s="3">
        <v>307</v>
      </c>
      <c r="I981" s="14" t="s">
        <v>325</v>
      </c>
      <c r="J981" s="12" t="s">
        <v>1217</v>
      </c>
      <c r="K981" s="2">
        <v>1</v>
      </c>
      <c r="L981" s="12" t="s">
        <v>337</v>
      </c>
      <c r="M981">
        <f>YEAR(VentesMagasins!$C981)</f>
        <v>2024</v>
      </c>
      <c r="N981" t="e" cm="1" vm="1">
        <f t="array" aca="1" ref="N981" ca="1">MONTH(DateVente)</f>
        <v>#VALUE!</v>
      </c>
      <c r="O981" t="str">
        <f>PROPER(VentesMagasins!$F981)</f>
        <v>Décoration</v>
      </c>
      <c r="P981">
        <f>VALUE(CLEAN(TRIM(SUBSTITUTE(VentesMagasins!$I981,".",","))))</f>
        <v>0.15</v>
      </c>
      <c r="Q981">
        <f>VALUE(TRIM(SUBSTITUTE(VentesMagasins!$J981,".",",")))</f>
        <v>521.9</v>
      </c>
      <c r="R981">
        <f t="shared" si="45"/>
        <v>443.61499999999995</v>
      </c>
      <c r="S981">
        <f>IF(VentesMagasins!$K981=1,(-1)*R981,R981)</f>
        <v>-443.61499999999995</v>
      </c>
      <c r="T981">
        <f>IFERROR(VALUE(TRIM(SUBSTITUTE(VentesMagasins!$L981,".",","))),0)</f>
        <v>3</v>
      </c>
      <c r="U981">
        <f t="shared" si="46"/>
        <v>3</v>
      </c>
      <c r="V981" t="str">
        <f t="shared" si="47"/>
        <v>moyenne</v>
      </c>
      <c r="W981" t="str">
        <f>_xlfn.XLOOKUP(VentesMagasins!$B981,Clients!ClientID,Région)</f>
        <v>Est</v>
      </c>
      <c r="X981" t="str">
        <f>INDEX(TypeClient,MATCH(VentesMagasins!$B981,Clients!ClientID))</f>
        <v>Occasionnel</v>
      </c>
      <c r="Y981" t="str">
        <v>août</v>
      </c>
    </row>
    <row r="982" spans="1:25" x14ac:dyDescent="0.25">
      <c r="A982" s="2">
        <v>981</v>
      </c>
      <c r="B982" s="12" t="s">
        <v>81</v>
      </c>
      <c r="C982" s="13">
        <v>45318</v>
      </c>
      <c r="D982" s="12" t="s">
        <v>350</v>
      </c>
      <c r="E982" s="14" t="s">
        <v>348</v>
      </c>
      <c r="F982" s="12" t="s">
        <v>324</v>
      </c>
      <c r="G982" s="2">
        <v>1</v>
      </c>
      <c r="H982" s="3">
        <v>487</v>
      </c>
      <c r="I982" s="14" t="s">
        <v>325</v>
      </c>
      <c r="J982" s="12" t="s">
        <v>1218</v>
      </c>
      <c r="K982" s="2">
        <v>1</v>
      </c>
      <c r="L982" s="12" t="s">
        <v>332</v>
      </c>
      <c r="M982">
        <f>YEAR(VentesMagasins!$C982)</f>
        <v>2024</v>
      </c>
      <c r="N982" t="e" cm="1" vm="1">
        <f t="array" aca="1" ref="N982" ca="1">MONTH(DateVente)</f>
        <v>#VALUE!</v>
      </c>
      <c r="O982" t="str">
        <f>PROPER(VentesMagasins!$F982)</f>
        <v>Électronique</v>
      </c>
      <c r="P982">
        <f>VALUE(CLEAN(TRIM(SUBSTITUTE(VentesMagasins!$I982,".",","))))</f>
        <v>0.15</v>
      </c>
      <c r="Q982">
        <f>VALUE(TRIM(SUBSTITUTE(VentesMagasins!$J982,".",",")))</f>
        <v>413.95</v>
      </c>
      <c r="R982">
        <f t="shared" si="45"/>
        <v>351.85749999999996</v>
      </c>
      <c r="S982">
        <f>IF(VentesMagasins!$K982=1,(-1)*R982,R982)</f>
        <v>-351.85749999999996</v>
      </c>
      <c r="T982">
        <f>IFERROR(VALUE(TRIM(SUBSTITUTE(VentesMagasins!$L982,".",","))),0)</f>
        <v>4</v>
      </c>
      <c r="U982">
        <f t="shared" si="46"/>
        <v>4</v>
      </c>
      <c r="V982" t="str">
        <f t="shared" si="47"/>
        <v>moyenne</v>
      </c>
      <c r="W982" t="str">
        <f>_xlfn.XLOOKUP(VentesMagasins!$B982,Clients!ClientID,Région)</f>
        <v>Sud</v>
      </c>
      <c r="X982" t="str">
        <f>INDEX(TypeClient,MATCH(VentesMagasins!$B982,Clients!ClientID))</f>
        <v>Nouveau</v>
      </c>
      <c r="Y982" t="str">
        <v>janv</v>
      </c>
    </row>
    <row r="983" spans="1:25" x14ac:dyDescent="0.25">
      <c r="A983" s="2">
        <v>982</v>
      </c>
      <c r="B983" s="12" t="s">
        <v>50</v>
      </c>
      <c r="C983" s="13">
        <v>45347</v>
      </c>
      <c r="D983" s="12" t="s">
        <v>328</v>
      </c>
      <c r="E983" s="14" t="s">
        <v>329</v>
      </c>
      <c r="F983" s="12" t="s">
        <v>341</v>
      </c>
      <c r="G983" s="2">
        <v>3</v>
      </c>
      <c r="H983" s="3">
        <v>319</v>
      </c>
      <c r="I983" s="14" t="s">
        <v>335</v>
      </c>
      <c r="J983" s="12" t="s">
        <v>1219</v>
      </c>
      <c r="K983" s="2">
        <v>0</v>
      </c>
      <c r="L983" s="12" t="s">
        <v>369</v>
      </c>
      <c r="M983">
        <f>YEAR(VentesMagasins!$C983)</f>
        <v>2024</v>
      </c>
      <c r="N983" t="e" cm="1" vm="1">
        <f t="array" aca="1" ref="N983" ca="1">MONTH(DateVente)</f>
        <v>#VALUE!</v>
      </c>
      <c r="O983" t="str">
        <f>PROPER(VentesMagasins!$F983)</f>
        <v>Meuble</v>
      </c>
      <c r="P983">
        <f>VALUE(CLEAN(TRIM(SUBSTITUTE(VentesMagasins!$I983,".",","))))</f>
        <v>0</v>
      </c>
      <c r="Q983">
        <f>VALUE(TRIM(SUBSTITUTE(VentesMagasins!$J983,".",",")))</f>
        <v>957</v>
      </c>
      <c r="R983">
        <f t="shared" si="45"/>
        <v>957</v>
      </c>
      <c r="S983">
        <f>IF(VentesMagasins!$K983=1,(-1)*R983,R983)</f>
        <v>957</v>
      </c>
      <c r="T983">
        <f>IFERROR(VALUE(TRIM(SUBSTITUTE(VentesMagasins!$L983,".",","))),0)</f>
        <v>1</v>
      </c>
      <c r="U983">
        <f t="shared" si="46"/>
        <v>1</v>
      </c>
      <c r="V983" t="str">
        <f t="shared" si="47"/>
        <v>faible</v>
      </c>
      <c r="W983" t="str">
        <f>_xlfn.XLOOKUP(VentesMagasins!$B983,Clients!ClientID,Région)</f>
        <v>Centre</v>
      </c>
      <c r="X983" t="str">
        <f>INDEX(TypeClient,MATCH(VentesMagasins!$B983,Clients!ClientID))</f>
        <v>Nouveau</v>
      </c>
      <c r="Y983" t="str">
        <v>févr</v>
      </c>
    </row>
    <row r="984" spans="1:25" x14ac:dyDescent="0.25">
      <c r="A984" s="2">
        <v>983</v>
      </c>
      <c r="B984" s="12" t="s">
        <v>244</v>
      </c>
      <c r="C984" s="13">
        <v>45510</v>
      </c>
      <c r="D984" s="12" t="s">
        <v>338</v>
      </c>
      <c r="E984" s="14" t="s">
        <v>334</v>
      </c>
      <c r="F984" s="12" t="s">
        <v>341</v>
      </c>
      <c r="G984" s="2">
        <v>1</v>
      </c>
      <c r="H984" s="3">
        <v>81</v>
      </c>
      <c r="I984" s="14" t="s">
        <v>325</v>
      </c>
      <c r="J984" s="12" t="s">
        <v>1220</v>
      </c>
      <c r="K984" s="2">
        <v>0</v>
      </c>
      <c r="L984" s="12" t="s">
        <v>337</v>
      </c>
      <c r="M984">
        <f>YEAR(VentesMagasins!$C984)</f>
        <v>2024</v>
      </c>
      <c r="N984" t="e" cm="1" vm="1">
        <f t="array" aca="1" ref="N984" ca="1">MONTH(DateVente)</f>
        <v>#VALUE!</v>
      </c>
      <c r="O984" t="str">
        <f>PROPER(VentesMagasins!$F984)</f>
        <v>Meuble</v>
      </c>
      <c r="P984">
        <f>VALUE(CLEAN(TRIM(SUBSTITUTE(VentesMagasins!$I984,".",","))))</f>
        <v>0.15</v>
      </c>
      <c r="Q984">
        <f>VALUE(TRIM(SUBSTITUTE(VentesMagasins!$J984,".",",")))</f>
        <v>68.849999999999994</v>
      </c>
      <c r="R984">
        <f t="shared" si="45"/>
        <v>58.522499999999994</v>
      </c>
      <c r="S984">
        <f>IF(VentesMagasins!$K984=1,(-1)*R984,R984)</f>
        <v>58.522499999999994</v>
      </c>
      <c r="T984">
        <f>IFERROR(VALUE(TRIM(SUBSTITUTE(VentesMagasins!$L984,".",","))),0)</f>
        <v>3</v>
      </c>
      <c r="U984">
        <f t="shared" si="46"/>
        <v>3</v>
      </c>
      <c r="V984" t="str">
        <f t="shared" si="47"/>
        <v>moyenne</v>
      </c>
      <c r="W984" t="str">
        <f>_xlfn.XLOOKUP(VentesMagasins!$B984,Clients!ClientID,Région)</f>
        <v>Sud</v>
      </c>
      <c r="X984" t="str">
        <f>INDEX(TypeClient,MATCH(VentesMagasins!$B984,Clients!ClientID))</f>
        <v>Occasionnel</v>
      </c>
      <c r="Y984" t="str">
        <v>août</v>
      </c>
    </row>
    <row r="985" spans="1:25" x14ac:dyDescent="0.25">
      <c r="A985" s="2">
        <v>984</v>
      </c>
      <c r="B985" s="12" t="s">
        <v>294</v>
      </c>
      <c r="C985" s="13">
        <v>45067</v>
      </c>
      <c r="D985" s="12" t="s">
        <v>338</v>
      </c>
      <c r="E985" s="14" t="s">
        <v>329</v>
      </c>
      <c r="F985" s="12" t="s">
        <v>330</v>
      </c>
      <c r="G985" s="2">
        <v>3</v>
      </c>
      <c r="H985" s="3">
        <v>121</v>
      </c>
      <c r="I985" s="14" t="s">
        <v>325</v>
      </c>
      <c r="J985" s="12" t="s">
        <v>1221</v>
      </c>
      <c r="K985" s="2">
        <v>0</v>
      </c>
      <c r="L985" s="12" t="s">
        <v>332</v>
      </c>
      <c r="M985">
        <f>YEAR(VentesMagasins!$C985)</f>
        <v>2023</v>
      </c>
      <c r="N985" t="e" cm="1" vm="1">
        <f t="array" aca="1" ref="N985" ca="1">MONTH(DateVente)</f>
        <v>#VALUE!</v>
      </c>
      <c r="O985" t="str">
        <f>PROPER(VentesMagasins!$F985)</f>
        <v>Décoration</v>
      </c>
      <c r="P985">
        <f>VALUE(CLEAN(TRIM(SUBSTITUTE(VentesMagasins!$I985,".",","))))</f>
        <v>0.15</v>
      </c>
      <c r="Q985">
        <f>VALUE(TRIM(SUBSTITUTE(VentesMagasins!$J985,".",",")))</f>
        <v>308.55</v>
      </c>
      <c r="R985">
        <f t="shared" si="45"/>
        <v>262.26749999999998</v>
      </c>
      <c r="S985">
        <f>IF(VentesMagasins!$K985=1,(-1)*R985,R985)</f>
        <v>262.26749999999998</v>
      </c>
      <c r="T985">
        <f>IFERROR(VALUE(TRIM(SUBSTITUTE(VentesMagasins!$L985,".",","))),0)</f>
        <v>4</v>
      </c>
      <c r="U985">
        <f t="shared" si="46"/>
        <v>4</v>
      </c>
      <c r="V985" t="str">
        <f t="shared" si="47"/>
        <v>moyenne</v>
      </c>
      <c r="W985" t="str">
        <f>_xlfn.XLOOKUP(VentesMagasins!$B985,Clients!ClientID,Région)</f>
        <v>Centre</v>
      </c>
      <c r="X985" t="str">
        <f>INDEX(TypeClient,MATCH(VentesMagasins!$B985,Clients!ClientID))</f>
        <v>Occasionnel</v>
      </c>
      <c r="Y985" t="str">
        <v>mai</v>
      </c>
    </row>
    <row r="986" spans="1:25" x14ac:dyDescent="0.25">
      <c r="A986" s="2">
        <v>985</v>
      </c>
      <c r="B986" s="12" t="s">
        <v>88</v>
      </c>
      <c r="C986" s="13">
        <v>45699</v>
      </c>
      <c r="D986" s="12" t="s">
        <v>333</v>
      </c>
      <c r="E986" s="14" t="s">
        <v>345</v>
      </c>
      <c r="F986" s="12" t="s">
        <v>324</v>
      </c>
      <c r="G986" s="2">
        <v>3</v>
      </c>
      <c r="H986" s="3">
        <v>490</v>
      </c>
      <c r="I986" s="14" t="s">
        <v>342</v>
      </c>
      <c r="J986" s="12" t="s">
        <v>1222</v>
      </c>
      <c r="K986" s="2">
        <v>1</v>
      </c>
      <c r="L986" s="12" t="s">
        <v>352</v>
      </c>
      <c r="M986">
        <f>YEAR(VentesMagasins!$C986)</f>
        <v>2025</v>
      </c>
      <c r="N986" t="e" cm="1" vm="1">
        <f t="array" aca="1" ref="N986" ca="1">MONTH(DateVente)</f>
        <v>#VALUE!</v>
      </c>
      <c r="O986" t="str">
        <f>PROPER(VentesMagasins!$F986)</f>
        <v>Électronique</v>
      </c>
      <c r="P986">
        <f>VALUE(CLEAN(TRIM(SUBSTITUTE(VentesMagasins!$I986,".",","))))</f>
        <v>0.05</v>
      </c>
      <c r="Q986">
        <f>VALUE(TRIM(SUBSTITUTE(VentesMagasins!$J986,".",",")))</f>
        <v>1396.5</v>
      </c>
      <c r="R986">
        <f t="shared" si="45"/>
        <v>1326.675</v>
      </c>
      <c r="S986">
        <f>IF(VentesMagasins!$K986=1,(-1)*R986,R986)</f>
        <v>-1326.675</v>
      </c>
      <c r="T986">
        <f>IFERROR(VALUE(TRIM(SUBSTITUTE(VentesMagasins!$L986,".",","))),0)</f>
        <v>0</v>
      </c>
      <c r="U986">
        <f t="shared" si="46"/>
        <v>3</v>
      </c>
      <c r="V986" t="str">
        <f t="shared" si="47"/>
        <v>moyenne</v>
      </c>
      <c r="W986" t="str">
        <f>_xlfn.XLOOKUP(VentesMagasins!$B986,Clients!ClientID,Région)</f>
        <v>Centre</v>
      </c>
      <c r="X986" t="str">
        <f>INDEX(TypeClient,MATCH(VentesMagasins!$B986,Clients!ClientID))</f>
        <v>Nouveau</v>
      </c>
      <c r="Y986" t="str">
        <v>févr</v>
      </c>
    </row>
    <row r="987" spans="1:25" x14ac:dyDescent="0.25">
      <c r="A987" s="2">
        <v>986</v>
      </c>
      <c r="B987" s="12" t="s">
        <v>156</v>
      </c>
      <c r="C987" s="13">
        <v>44985</v>
      </c>
      <c r="D987" s="12" t="s">
        <v>350</v>
      </c>
      <c r="E987" s="14" t="s">
        <v>348</v>
      </c>
      <c r="F987" s="12" t="s">
        <v>324</v>
      </c>
      <c r="G987" s="2">
        <v>1</v>
      </c>
      <c r="H987" s="3">
        <v>22</v>
      </c>
      <c r="I987" s="14" t="s">
        <v>335</v>
      </c>
      <c r="J987" s="12" t="s">
        <v>426</v>
      </c>
      <c r="K987" s="2">
        <v>0</v>
      </c>
      <c r="L987" s="12" t="s">
        <v>352</v>
      </c>
      <c r="M987">
        <f>YEAR(VentesMagasins!$C987)</f>
        <v>2023</v>
      </c>
      <c r="N987" t="e" cm="1" vm="1">
        <f t="array" aca="1" ref="N987" ca="1">MONTH(DateVente)</f>
        <v>#VALUE!</v>
      </c>
      <c r="O987" t="str">
        <f>PROPER(VentesMagasins!$F987)</f>
        <v>Électronique</v>
      </c>
      <c r="P987">
        <f>VALUE(CLEAN(TRIM(SUBSTITUTE(VentesMagasins!$I987,".",","))))</f>
        <v>0</v>
      </c>
      <c r="Q987">
        <f>VALUE(TRIM(SUBSTITUTE(VentesMagasins!$J987,".",",")))</f>
        <v>22</v>
      </c>
      <c r="R987">
        <f t="shared" si="45"/>
        <v>22</v>
      </c>
      <c r="S987">
        <f>IF(VentesMagasins!$K987=1,(-1)*R987,R987)</f>
        <v>22</v>
      </c>
      <c r="T987">
        <f>IFERROR(VALUE(TRIM(SUBSTITUTE(VentesMagasins!$L987,".",","))),0)</f>
        <v>0</v>
      </c>
      <c r="U987">
        <f t="shared" si="46"/>
        <v>3</v>
      </c>
      <c r="V987" t="str">
        <f t="shared" si="47"/>
        <v>moyenne</v>
      </c>
      <c r="W987" t="str">
        <f>_xlfn.XLOOKUP(VentesMagasins!$B987,Clients!ClientID,Région)</f>
        <v>Centre</v>
      </c>
      <c r="X987" t="str">
        <f>INDEX(TypeClient,MATCH(VentesMagasins!$B987,Clients!ClientID))</f>
        <v>Nouveau</v>
      </c>
      <c r="Y987" t="str">
        <v>févr</v>
      </c>
    </row>
    <row r="988" spans="1:25" x14ac:dyDescent="0.25">
      <c r="A988" s="2">
        <v>987</v>
      </c>
      <c r="B988" s="12" t="s">
        <v>87</v>
      </c>
      <c r="C988" s="13">
        <v>44936</v>
      </c>
      <c r="D988" s="12" t="s">
        <v>333</v>
      </c>
      <c r="E988" s="14" t="s">
        <v>329</v>
      </c>
      <c r="F988" s="12" t="s">
        <v>324</v>
      </c>
      <c r="G988" s="2">
        <v>1</v>
      </c>
      <c r="H988" s="3">
        <v>36</v>
      </c>
      <c r="I988" s="14" t="s">
        <v>342</v>
      </c>
      <c r="J988" s="12" t="s">
        <v>1223</v>
      </c>
      <c r="K988" s="2">
        <v>0</v>
      </c>
      <c r="L988" s="12" t="s">
        <v>369</v>
      </c>
      <c r="M988">
        <f>YEAR(VentesMagasins!$C988)</f>
        <v>2023</v>
      </c>
      <c r="N988" t="e" cm="1" vm="1">
        <f t="array" aca="1" ref="N988" ca="1">MONTH(DateVente)</f>
        <v>#VALUE!</v>
      </c>
      <c r="O988" t="str">
        <f>PROPER(VentesMagasins!$F988)</f>
        <v>Électronique</v>
      </c>
      <c r="P988">
        <f>VALUE(CLEAN(TRIM(SUBSTITUTE(VentesMagasins!$I988,".",","))))</f>
        <v>0.05</v>
      </c>
      <c r="Q988">
        <f>VALUE(TRIM(SUBSTITUTE(VentesMagasins!$J988,".",",")))</f>
        <v>34.199999999999903</v>
      </c>
      <c r="R988">
        <f t="shared" si="45"/>
        <v>32.48999999999991</v>
      </c>
      <c r="S988">
        <f>IF(VentesMagasins!$K988=1,(-1)*R988,R988)</f>
        <v>32.48999999999991</v>
      </c>
      <c r="T988">
        <f>IFERROR(VALUE(TRIM(SUBSTITUTE(VentesMagasins!$L988,".",","))),0)</f>
        <v>1</v>
      </c>
      <c r="U988">
        <f t="shared" si="46"/>
        <v>1</v>
      </c>
      <c r="V988" t="str">
        <f t="shared" si="47"/>
        <v>faible</v>
      </c>
      <c r="W988" t="str">
        <f>_xlfn.XLOOKUP(VentesMagasins!$B988,Clients!ClientID,Région)</f>
        <v>Ouest</v>
      </c>
      <c r="X988" t="str">
        <f>INDEX(TypeClient,MATCH(VentesMagasins!$B988,Clients!ClientID))</f>
        <v>Occasionnel</v>
      </c>
      <c r="Y988" t="str">
        <v>janv</v>
      </c>
    </row>
    <row r="989" spans="1:25" x14ac:dyDescent="0.25">
      <c r="A989" s="2">
        <v>988</v>
      </c>
      <c r="B989" s="12" t="s">
        <v>131</v>
      </c>
      <c r="C989" s="13">
        <v>45297</v>
      </c>
      <c r="D989" s="12" t="s">
        <v>328</v>
      </c>
      <c r="E989" s="14" t="s">
        <v>348</v>
      </c>
      <c r="F989" s="12" t="s">
        <v>341</v>
      </c>
      <c r="G989" s="2">
        <v>4</v>
      </c>
      <c r="H989" s="3">
        <v>81</v>
      </c>
      <c r="I989" s="14" t="s">
        <v>342</v>
      </c>
      <c r="J989" s="12" t="s">
        <v>1224</v>
      </c>
      <c r="K989" s="2">
        <v>0</v>
      </c>
      <c r="L989" s="12" t="s">
        <v>352</v>
      </c>
      <c r="M989">
        <f>YEAR(VentesMagasins!$C989)</f>
        <v>2024</v>
      </c>
      <c r="N989" t="e" cm="1" vm="1">
        <f t="array" aca="1" ref="N989" ca="1">MONTH(DateVente)</f>
        <v>#VALUE!</v>
      </c>
      <c r="O989" t="str">
        <f>PROPER(VentesMagasins!$F989)</f>
        <v>Meuble</v>
      </c>
      <c r="P989">
        <f>VALUE(CLEAN(TRIM(SUBSTITUTE(VentesMagasins!$I989,".",","))))</f>
        <v>0.05</v>
      </c>
      <c r="Q989">
        <f>VALUE(TRIM(SUBSTITUTE(VentesMagasins!$J989,".",",")))</f>
        <v>307.8</v>
      </c>
      <c r="R989">
        <f t="shared" si="45"/>
        <v>292.41000000000003</v>
      </c>
      <c r="S989">
        <f>IF(VentesMagasins!$K989=1,(-1)*R989,R989)</f>
        <v>292.41000000000003</v>
      </c>
      <c r="T989">
        <f>IFERROR(VALUE(TRIM(SUBSTITUTE(VentesMagasins!$L989,".",","))),0)</f>
        <v>0</v>
      </c>
      <c r="U989">
        <f t="shared" si="46"/>
        <v>3</v>
      </c>
      <c r="V989" t="str">
        <f t="shared" si="47"/>
        <v>moyenne</v>
      </c>
      <c r="W989" t="str">
        <f>_xlfn.XLOOKUP(VentesMagasins!$B989,Clients!ClientID,Région)</f>
        <v>Sud</v>
      </c>
      <c r="X989" t="str">
        <f>INDEX(TypeClient,MATCH(VentesMagasins!$B989,Clients!ClientID))</f>
        <v>Nouveau</v>
      </c>
      <c r="Y989" t="str">
        <v>janv</v>
      </c>
    </row>
    <row r="990" spans="1:25" x14ac:dyDescent="0.25">
      <c r="A990" s="2">
        <v>989</v>
      </c>
      <c r="B990" s="12" t="s">
        <v>149</v>
      </c>
      <c r="C990" s="13">
        <v>45705</v>
      </c>
      <c r="D990" s="12" t="s">
        <v>322</v>
      </c>
      <c r="E990" s="14" t="s">
        <v>348</v>
      </c>
      <c r="F990" s="12" t="s">
        <v>330</v>
      </c>
      <c r="G990" s="2">
        <v>2</v>
      </c>
      <c r="H990" s="3">
        <v>275</v>
      </c>
      <c r="I990" s="14" t="s">
        <v>335</v>
      </c>
      <c r="J990" s="12" t="s">
        <v>526</v>
      </c>
      <c r="K990" s="2">
        <v>0</v>
      </c>
      <c r="L990" s="12" t="s">
        <v>332</v>
      </c>
      <c r="M990">
        <f>YEAR(VentesMagasins!$C990)</f>
        <v>2025</v>
      </c>
      <c r="N990" t="e" cm="1" vm="1">
        <f t="array" aca="1" ref="N990" ca="1">MONTH(DateVente)</f>
        <v>#VALUE!</v>
      </c>
      <c r="O990" t="str">
        <f>PROPER(VentesMagasins!$F990)</f>
        <v>Décoration</v>
      </c>
      <c r="P990">
        <f>VALUE(CLEAN(TRIM(SUBSTITUTE(VentesMagasins!$I990,".",","))))</f>
        <v>0</v>
      </c>
      <c r="Q990">
        <f>VALUE(TRIM(SUBSTITUTE(VentesMagasins!$J990,".",",")))</f>
        <v>550</v>
      </c>
      <c r="R990">
        <f t="shared" si="45"/>
        <v>550</v>
      </c>
      <c r="S990">
        <f>IF(VentesMagasins!$K990=1,(-1)*R990,R990)</f>
        <v>550</v>
      </c>
      <c r="T990">
        <f>IFERROR(VALUE(TRIM(SUBSTITUTE(VentesMagasins!$L990,".",","))),0)</f>
        <v>4</v>
      </c>
      <c r="U990">
        <f t="shared" si="46"/>
        <v>4</v>
      </c>
      <c r="V990" t="str">
        <f t="shared" si="47"/>
        <v>moyenne</v>
      </c>
      <c r="W990" t="str">
        <f>_xlfn.XLOOKUP(VentesMagasins!$B990,Clients!ClientID,Région)</f>
        <v>Centre</v>
      </c>
      <c r="X990" t="str">
        <f>INDEX(TypeClient,MATCH(VentesMagasins!$B990,Clients!ClientID))</f>
        <v>Nouveau</v>
      </c>
      <c r="Y990" t="str">
        <v>févr</v>
      </c>
    </row>
    <row r="991" spans="1:25" x14ac:dyDescent="0.25">
      <c r="A991" s="2">
        <v>990</v>
      </c>
      <c r="B991" s="12" t="s">
        <v>303</v>
      </c>
      <c r="C991" s="13">
        <v>45831</v>
      </c>
      <c r="D991" s="12" t="s">
        <v>350</v>
      </c>
      <c r="E991" s="14" t="s">
        <v>329</v>
      </c>
      <c r="F991" s="12" t="s">
        <v>324</v>
      </c>
      <c r="G991" s="2">
        <v>1</v>
      </c>
      <c r="H991" s="3">
        <v>182</v>
      </c>
      <c r="I991" s="14" t="s">
        <v>325</v>
      </c>
      <c r="J991" s="12" t="s">
        <v>1225</v>
      </c>
      <c r="K991" s="2">
        <v>0</v>
      </c>
      <c r="L991" s="12" t="s">
        <v>327</v>
      </c>
      <c r="M991">
        <f>YEAR(VentesMagasins!$C991)</f>
        <v>2025</v>
      </c>
      <c r="N991" t="e" cm="1" vm="1">
        <f t="array" aca="1" ref="N991" ca="1">MONTH(DateVente)</f>
        <v>#VALUE!</v>
      </c>
      <c r="O991" t="str">
        <f>PROPER(VentesMagasins!$F991)</f>
        <v>Électronique</v>
      </c>
      <c r="P991">
        <f>VALUE(CLEAN(TRIM(SUBSTITUTE(VentesMagasins!$I991,".",","))))</f>
        <v>0.15</v>
      </c>
      <c r="Q991">
        <f>VALUE(TRIM(SUBSTITUTE(VentesMagasins!$J991,".",",")))</f>
        <v>154.69999999999999</v>
      </c>
      <c r="R991">
        <f t="shared" si="45"/>
        <v>131.49499999999998</v>
      </c>
      <c r="S991">
        <f>IF(VentesMagasins!$K991=1,(-1)*R991,R991)</f>
        <v>131.49499999999998</v>
      </c>
      <c r="T991">
        <f>IFERROR(VALUE(TRIM(SUBSTITUTE(VentesMagasins!$L991,".",","))),0)</f>
        <v>5</v>
      </c>
      <c r="U991">
        <f t="shared" si="46"/>
        <v>5</v>
      </c>
      <c r="V991" t="str">
        <f t="shared" si="47"/>
        <v>élévé</v>
      </c>
      <c r="W991" t="str">
        <f>_xlfn.XLOOKUP(VentesMagasins!$B991,Clients!ClientID,Région)</f>
        <v>Est</v>
      </c>
      <c r="X991" t="str">
        <f>INDEX(TypeClient,MATCH(VentesMagasins!$B991,Clients!ClientID))</f>
        <v>Fidèle</v>
      </c>
      <c r="Y991" t="str">
        <v>juin</v>
      </c>
    </row>
    <row r="992" spans="1:25" x14ac:dyDescent="0.25">
      <c r="A992" s="2">
        <v>991</v>
      </c>
      <c r="B992" s="12" t="s">
        <v>70</v>
      </c>
      <c r="C992" s="13">
        <v>45638</v>
      </c>
      <c r="D992" s="12" t="s">
        <v>338</v>
      </c>
      <c r="E992" s="14" t="s">
        <v>323</v>
      </c>
      <c r="F992" s="12" t="s">
        <v>324</v>
      </c>
      <c r="G992" s="2">
        <v>1</v>
      </c>
      <c r="H992" s="3">
        <v>251</v>
      </c>
      <c r="I992" s="14" t="s">
        <v>325</v>
      </c>
      <c r="J992" s="12" t="s">
        <v>1226</v>
      </c>
      <c r="K992" s="2">
        <v>0</v>
      </c>
      <c r="L992" s="12" t="s">
        <v>352</v>
      </c>
      <c r="M992">
        <f>YEAR(VentesMagasins!$C992)</f>
        <v>2024</v>
      </c>
      <c r="N992" t="e" cm="1" vm="1">
        <f t="array" aca="1" ref="N992" ca="1">MONTH(DateVente)</f>
        <v>#VALUE!</v>
      </c>
      <c r="O992" t="str">
        <f>PROPER(VentesMagasins!$F992)</f>
        <v>Électronique</v>
      </c>
      <c r="P992">
        <f>VALUE(CLEAN(TRIM(SUBSTITUTE(VentesMagasins!$I992,".",","))))</f>
        <v>0.15</v>
      </c>
      <c r="Q992">
        <f>VALUE(TRIM(SUBSTITUTE(VentesMagasins!$J992,".",",")))</f>
        <v>213.35</v>
      </c>
      <c r="R992">
        <f t="shared" si="45"/>
        <v>181.3475</v>
      </c>
      <c r="S992">
        <f>IF(VentesMagasins!$K992=1,(-1)*R992,R992)</f>
        <v>181.3475</v>
      </c>
      <c r="T992">
        <f>IFERROR(VALUE(TRIM(SUBSTITUTE(VentesMagasins!$L992,".",","))),0)</f>
        <v>0</v>
      </c>
      <c r="U992">
        <f t="shared" si="46"/>
        <v>3</v>
      </c>
      <c r="V992" t="str">
        <f t="shared" si="47"/>
        <v>moyenne</v>
      </c>
      <c r="W992" t="str">
        <f>_xlfn.XLOOKUP(VentesMagasins!$B992,Clients!ClientID,Région)</f>
        <v>Ouest</v>
      </c>
      <c r="X992" t="str">
        <f>INDEX(TypeClient,MATCH(VentesMagasins!$B992,Clients!ClientID))</f>
        <v>Nouveau</v>
      </c>
      <c r="Y992" t="str">
        <v>déc</v>
      </c>
    </row>
    <row r="993" spans="1:25" x14ac:dyDescent="0.25">
      <c r="A993" s="2">
        <v>992</v>
      </c>
      <c r="B993" s="12" t="s">
        <v>141</v>
      </c>
      <c r="C993" s="13">
        <v>45320</v>
      </c>
      <c r="D993" s="12" t="s">
        <v>338</v>
      </c>
      <c r="E993" s="14" t="s">
        <v>323</v>
      </c>
      <c r="F993" s="12" t="s">
        <v>330</v>
      </c>
      <c r="G993" s="2">
        <v>1</v>
      </c>
      <c r="H993" s="3">
        <v>62</v>
      </c>
      <c r="I993" s="14" t="s">
        <v>325</v>
      </c>
      <c r="J993" s="12" t="s">
        <v>1227</v>
      </c>
      <c r="K993" s="2">
        <v>1</v>
      </c>
      <c r="L993" s="12" t="s">
        <v>327</v>
      </c>
      <c r="M993">
        <f>YEAR(VentesMagasins!$C993)</f>
        <v>2024</v>
      </c>
      <c r="N993" t="e" cm="1" vm="1">
        <f t="array" aca="1" ref="N993" ca="1">MONTH(DateVente)</f>
        <v>#VALUE!</v>
      </c>
      <c r="O993" t="str">
        <f>PROPER(VentesMagasins!$F993)</f>
        <v>Décoration</v>
      </c>
      <c r="P993">
        <f>VALUE(CLEAN(TRIM(SUBSTITUTE(VentesMagasins!$I993,".",","))))</f>
        <v>0.15</v>
      </c>
      <c r="Q993">
        <f>VALUE(TRIM(SUBSTITUTE(VentesMagasins!$J993,".",",")))</f>
        <v>52.699999999999903</v>
      </c>
      <c r="R993">
        <f t="shared" si="45"/>
        <v>44.794999999999916</v>
      </c>
      <c r="S993">
        <f>IF(VentesMagasins!$K993=1,(-1)*R993,R993)</f>
        <v>-44.794999999999916</v>
      </c>
      <c r="T993">
        <f>IFERROR(VALUE(TRIM(SUBSTITUTE(VentesMagasins!$L993,".",","))),0)</f>
        <v>5</v>
      </c>
      <c r="U993">
        <f t="shared" si="46"/>
        <v>5</v>
      </c>
      <c r="V993" t="str">
        <f t="shared" si="47"/>
        <v>élévé</v>
      </c>
      <c r="W993" t="str">
        <f>_xlfn.XLOOKUP(VentesMagasins!$B993,Clients!ClientID,Région)</f>
        <v>Ouest</v>
      </c>
      <c r="X993" t="str">
        <f>INDEX(TypeClient,MATCH(VentesMagasins!$B993,Clients!ClientID))</f>
        <v>Fidèle</v>
      </c>
      <c r="Y993" t="str">
        <v>janv</v>
      </c>
    </row>
    <row r="994" spans="1:25" x14ac:dyDescent="0.25">
      <c r="A994" s="2">
        <v>993</v>
      </c>
      <c r="B994" s="12" t="s">
        <v>181</v>
      </c>
      <c r="C994" s="13">
        <v>45604</v>
      </c>
      <c r="D994" s="12" t="s">
        <v>338</v>
      </c>
      <c r="E994" s="14" t="s">
        <v>348</v>
      </c>
      <c r="F994" s="12" t="s">
        <v>324</v>
      </c>
      <c r="G994" s="2">
        <v>1</v>
      </c>
      <c r="H994" s="3">
        <v>377</v>
      </c>
      <c r="I994" s="14" t="s">
        <v>355</v>
      </c>
      <c r="J994" s="12" t="s">
        <v>1228</v>
      </c>
      <c r="K994" s="2">
        <v>0</v>
      </c>
      <c r="L994" s="12" t="s">
        <v>344</v>
      </c>
      <c r="M994">
        <f>YEAR(VentesMagasins!$C994)</f>
        <v>2024</v>
      </c>
      <c r="N994" t="e" cm="1" vm="1">
        <f t="array" aca="1" ref="N994" ca="1">MONTH(DateVente)</f>
        <v>#VALUE!</v>
      </c>
      <c r="O994" t="str">
        <f>PROPER(VentesMagasins!$F994)</f>
        <v>Électronique</v>
      </c>
      <c r="P994">
        <f>VALUE(CLEAN(TRIM(SUBSTITUTE(VentesMagasins!$I994,".",","))))</f>
        <v>0.1</v>
      </c>
      <c r="Q994">
        <f>VALUE(TRIM(SUBSTITUTE(VentesMagasins!$J994,".",",")))</f>
        <v>339.3</v>
      </c>
      <c r="R994">
        <f t="shared" si="45"/>
        <v>305.37</v>
      </c>
      <c r="S994">
        <f>IF(VentesMagasins!$K994=1,(-1)*R994,R994)</f>
        <v>305.37</v>
      </c>
      <c r="T994">
        <f>IFERROR(VALUE(TRIM(SUBSTITUTE(VentesMagasins!$L994,".",","))),0)</f>
        <v>2</v>
      </c>
      <c r="U994">
        <f t="shared" si="46"/>
        <v>2</v>
      </c>
      <c r="V994" t="str">
        <f t="shared" si="47"/>
        <v>faible</v>
      </c>
      <c r="W994" t="str">
        <f>_xlfn.XLOOKUP(VentesMagasins!$B994,Clients!ClientID,Région)</f>
        <v>Est</v>
      </c>
      <c r="X994" t="str">
        <f>INDEX(TypeClient,MATCH(VentesMagasins!$B994,Clients!ClientID))</f>
        <v>Fidèle</v>
      </c>
      <c r="Y994" t="str">
        <v>nov</v>
      </c>
    </row>
    <row r="995" spans="1:25" x14ac:dyDescent="0.25">
      <c r="A995" s="2">
        <v>994</v>
      </c>
      <c r="B995" s="12" t="s">
        <v>181</v>
      </c>
      <c r="C995" s="13">
        <v>45828</v>
      </c>
      <c r="D995" s="12" t="s">
        <v>350</v>
      </c>
      <c r="E995" s="14" t="s">
        <v>339</v>
      </c>
      <c r="F995" s="12" t="s">
        <v>416</v>
      </c>
      <c r="G995" s="2">
        <v>4</v>
      </c>
      <c r="H995" s="3">
        <v>33</v>
      </c>
      <c r="I995" s="14" t="s">
        <v>355</v>
      </c>
      <c r="J995" s="12" t="s">
        <v>1229</v>
      </c>
      <c r="K995" s="2">
        <v>0</v>
      </c>
      <c r="L995" s="12" t="s">
        <v>327</v>
      </c>
      <c r="M995">
        <f>YEAR(VentesMagasins!$C995)</f>
        <v>2025</v>
      </c>
      <c r="N995" t="e" cm="1" vm="1">
        <f t="array" aca="1" ref="N995" ca="1">MONTH(DateVente)</f>
        <v>#VALUE!</v>
      </c>
      <c r="O995" t="str">
        <f>PROPER(VentesMagasins!$F995)</f>
        <v>Meuble</v>
      </c>
      <c r="P995">
        <f>VALUE(CLEAN(TRIM(SUBSTITUTE(VentesMagasins!$I995,".",","))))</f>
        <v>0.1</v>
      </c>
      <c r="Q995">
        <f>VALUE(TRIM(SUBSTITUTE(VentesMagasins!$J995,".",",")))</f>
        <v>118.8</v>
      </c>
      <c r="R995">
        <f t="shared" si="45"/>
        <v>106.92</v>
      </c>
      <c r="S995">
        <f>IF(VentesMagasins!$K995=1,(-1)*R995,R995)</f>
        <v>106.92</v>
      </c>
      <c r="T995">
        <f>IFERROR(VALUE(TRIM(SUBSTITUTE(VentesMagasins!$L995,".",","))),0)</f>
        <v>5</v>
      </c>
      <c r="U995">
        <f t="shared" si="46"/>
        <v>5</v>
      </c>
      <c r="V995" t="str">
        <f t="shared" si="47"/>
        <v>élévé</v>
      </c>
      <c r="W995" t="str">
        <f>_xlfn.XLOOKUP(VentesMagasins!$B995,Clients!ClientID,Région)</f>
        <v>Est</v>
      </c>
      <c r="X995" t="str">
        <f>INDEX(TypeClient,MATCH(VentesMagasins!$B995,Clients!ClientID))</f>
        <v>Fidèle</v>
      </c>
      <c r="Y995" t="str">
        <v>juin</v>
      </c>
    </row>
    <row r="996" spans="1:25" x14ac:dyDescent="0.25">
      <c r="A996" s="2">
        <v>995</v>
      </c>
      <c r="B996" s="12" t="s">
        <v>87</v>
      </c>
      <c r="C996" s="13">
        <v>45485</v>
      </c>
      <c r="D996" s="12" t="s">
        <v>333</v>
      </c>
      <c r="E996" s="14" t="s">
        <v>345</v>
      </c>
      <c r="F996" s="12" t="s">
        <v>324</v>
      </c>
      <c r="G996" s="2">
        <v>2</v>
      </c>
      <c r="H996" s="3">
        <v>36</v>
      </c>
      <c r="I996" s="14" t="s">
        <v>325</v>
      </c>
      <c r="J996" s="12" t="s">
        <v>1069</v>
      </c>
      <c r="K996" s="2">
        <v>1</v>
      </c>
      <c r="L996" s="12" t="s">
        <v>369</v>
      </c>
      <c r="M996">
        <f>YEAR(VentesMagasins!$C996)</f>
        <v>2024</v>
      </c>
      <c r="N996" t="e" cm="1" vm="1">
        <f t="array" aca="1" ref="N996" ca="1">MONTH(DateVente)</f>
        <v>#VALUE!</v>
      </c>
      <c r="O996" t="str">
        <f>PROPER(VentesMagasins!$F996)</f>
        <v>Électronique</v>
      </c>
      <c r="P996">
        <f>VALUE(CLEAN(TRIM(SUBSTITUTE(VentesMagasins!$I996,".",","))))</f>
        <v>0.15</v>
      </c>
      <c r="Q996">
        <f>VALUE(TRIM(SUBSTITUTE(VentesMagasins!$J996,".",",")))</f>
        <v>61.199999999999903</v>
      </c>
      <c r="R996">
        <f t="shared" si="45"/>
        <v>52.019999999999918</v>
      </c>
      <c r="S996">
        <f>IF(VentesMagasins!$K996=1,(-1)*R996,R996)</f>
        <v>-52.019999999999918</v>
      </c>
      <c r="T996">
        <f>IFERROR(VALUE(TRIM(SUBSTITUTE(VentesMagasins!$L996,".",","))),0)</f>
        <v>1</v>
      </c>
      <c r="U996">
        <f t="shared" si="46"/>
        <v>1</v>
      </c>
      <c r="V996" t="str">
        <f t="shared" si="47"/>
        <v>faible</v>
      </c>
      <c r="W996" t="str">
        <f>_xlfn.XLOOKUP(VentesMagasins!$B996,Clients!ClientID,Région)</f>
        <v>Ouest</v>
      </c>
      <c r="X996" t="str">
        <f>INDEX(TypeClient,MATCH(VentesMagasins!$B996,Clients!ClientID))</f>
        <v>Occasionnel</v>
      </c>
      <c r="Y996" t="str">
        <v>juil</v>
      </c>
    </row>
    <row r="997" spans="1:25" x14ac:dyDescent="0.25">
      <c r="A997" s="2">
        <v>996</v>
      </c>
      <c r="B997" s="12" t="s">
        <v>152</v>
      </c>
      <c r="C997" s="13">
        <v>45488</v>
      </c>
      <c r="D997" s="12" t="s">
        <v>449</v>
      </c>
      <c r="E997" s="14" t="s">
        <v>329</v>
      </c>
      <c r="F997" s="12" t="s">
        <v>324</v>
      </c>
      <c r="G997" s="2">
        <v>5</v>
      </c>
      <c r="H997" s="3">
        <v>76</v>
      </c>
      <c r="I997" s="14" t="s">
        <v>355</v>
      </c>
      <c r="J997" s="12" t="s">
        <v>1102</v>
      </c>
      <c r="K997" s="2">
        <v>0</v>
      </c>
      <c r="L997" s="12" t="s">
        <v>344</v>
      </c>
      <c r="M997">
        <f>YEAR(VentesMagasins!$C997)</f>
        <v>2024</v>
      </c>
      <c r="N997" t="e" cm="1" vm="1">
        <f t="array" aca="1" ref="N997" ca="1">MONTH(DateVente)</f>
        <v>#VALUE!</v>
      </c>
      <c r="O997" t="str">
        <f>PROPER(VentesMagasins!$F997)</f>
        <v>Électronique</v>
      </c>
      <c r="P997">
        <f>VALUE(CLEAN(TRIM(SUBSTITUTE(VentesMagasins!$I997,".",","))))</f>
        <v>0.1</v>
      </c>
      <c r="Q997">
        <f>VALUE(TRIM(SUBSTITUTE(VentesMagasins!$J997,".",",")))</f>
        <v>342</v>
      </c>
      <c r="R997">
        <f t="shared" si="45"/>
        <v>307.8</v>
      </c>
      <c r="S997">
        <f>IF(VentesMagasins!$K997=1,(-1)*R997,R997)</f>
        <v>307.8</v>
      </c>
      <c r="T997">
        <f>IFERROR(VALUE(TRIM(SUBSTITUTE(VentesMagasins!$L997,".",","))),0)</f>
        <v>2</v>
      </c>
      <c r="U997">
        <f t="shared" si="46"/>
        <v>2</v>
      </c>
      <c r="V997" t="str">
        <f t="shared" si="47"/>
        <v>faible</v>
      </c>
      <c r="W997" t="str">
        <f>_xlfn.XLOOKUP(VentesMagasins!$B997,Clients!ClientID,Région)</f>
        <v>Est</v>
      </c>
      <c r="X997" t="str">
        <f>INDEX(TypeClient,MATCH(VentesMagasins!$B997,Clients!ClientID))</f>
        <v>Fidèle</v>
      </c>
      <c r="Y997" t="str">
        <v>juil</v>
      </c>
    </row>
    <row r="998" spans="1:25" x14ac:dyDescent="0.25">
      <c r="A998" s="2">
        <v>997</v>
      </c>
      <c r="B998" s="12" t="s">
        <v>214</v>
      </c>
      <c r="C998" s="13">
        <v>45898</v>
      </c>
      <c r="D998" s="12" t="s">
        <v>338</v>
      </c>
      <c r="E998" s="14" t="s">
        <v>364</v>
      </c>
      <c r="F998" s="12" t="s">
        <v>330</v>
      </c>
      <c r="G998" s="2">
        <v>1</v>
      </c>
      <c r="H998" s="3">
        <v>98</v>
      </c>
      <c r="I998" s="14" t="s">
        <v>335</v>
      </c>
      <c r="J998" s="12" t="s">
        <v>1230</v>
      </c>
      <c r="K998" s="2">
        <v>0</v>
      </c>
      <c r="L998" s="12" t="s">
        <v>332</v>
      </c>
      <c r="M998">
        <f>YEAR(VentesMagasins!$C998)</f>
        <v>2025</v>
      </c>
      <c r="N998" t="e" cm="1" vm="1">
        <f t="array" aca="1" ref="N998" ca="1">MONTH(DateVente)</f>
        <v>#VALUE!</v>
      </c>
      <c r="O998" t="str">
        <f>PROPER(VentesMagasins!$F998)</f>
        <v>Décoration</v>
      </c>
      <c r="P998">
        <f>VALUE(CLEAN(TRIM(SUBSTITUTE(VentesMagasins!$I998,".",","))))</f>
        <v>0</v>
      </c>
      <c r="Q998">
        <f>VALUE(TRIM(SUBSTITUTE(VentesMagasins!$J998,".",",")))</f>
        <v>98</v>
      </c>
      <c r="R998">
        <f t="shared" si="45"/>
        <v>98</v>
      </c>
      <c r="S998">
        <f>IF(VentesMagasins!$K998=1,(-1)*R998,R998)</f>
        <v>98</v>
      </c>
      <c r="T998">
        <f>IFERROR(VALUE(TRIM(SUBSTITUTE(VentesMagasins!$L998,".",","))),0)</f>
        <v>4</v>
      </c>
      <c r="U998">
        <f t="shared" si="46"/>
        <v>4</v>
      </c>
      <c r="V998" t="str">
        <f t="shared" si="47"/>
        <v>moyenne</v>
      </c>
      <c r="W998" t="str">
        <f>_xlfn.XLOOKUP(VentesMagasins!$B998,Clients!ClientID,Région)</f>
        <v>Ouest</v>
      </c>
      <c r="X998" t="str">
        <f>INDEX(TypeClient,MATCH(VentesMagasins!$B998,Clients!ClientID))</f>
        <v>Occasionnel</v>
      </c>
      <c r="Y998" t="str">
        <v>août</v>
      </c>
    </row>
    <row r="999" spans="1:25" x14ac:dyDescent="0.25">
      <c r="A999" s="2">
        <v>998</v>
      </c>
      <c r="B999" s="12" t="s">
        <v>256</v>
      </c>
      <c r="C999" s="13">
        <v>45550</v>
      </c>
      <c r="D999" s="12" t="s">
        <v>328</v>
      </c>
      <c r="E999" s="14" t="s">
        <v>329</v>
      </c>
      <c r="F999" s="12" t="s">
        <v>330</v>
      </c>
      <c r="G999" s="2">
        <v>2</v>
      </c>
      <c r="H999" s="3">
        <v>36</v>
      </c>
      <c r="I999" s="14" t="s">
        <v>342</v>
      </c>
      <c r="J999" s="12" t="s">
        <v>1231</v>
      </c>
      <c r="K999" s="2">
        <v>0</v>
      </c>
      <c r="L999" s="12" t="s">
        <v>332</v>
      </c>
      <c r="M999">
        <f>YEAR(VentesMagasins!$C999)</f>
        <v>2024</v>
      </c>
      <c r="N999" t="e" cm="1" vm="1">
        <f t="array" aca="1" ref="N999" ca="1">MONTH(DateVente)</f>
        <v>#VALUE!</v>
      </c>
      <c r="O999" t="str">
        <f>PROPER(VentesMagasins!$F999)</f>
        <v>Décoration</v>
      </c>
      <c r="P999">
        <f>VALUE(CLEAN(TRIM(SUBSTITUTE(VentesMagasins!$I999,".",","))))</f>
        <v>0.05</v>
      </c>
      <c r="Q999">
        <f>VALUE(TRIM(SUBSTITUTE(VentesMagasins!$J999,".",",")))</f>
        <v>68.399999999999906</v>
      </c>
      <c r="R999">
        <f t="shared" si="45"/>
        <v>64.979999999999905</v>
      </c>
      <c r="S999">
        <f>IF(VentesMagasins!$K999=1,(-1)*R999,R999)</f>
        <v>64.979999999999905</v>
      </c>
      <c r="T999">
        <f>IFERROR(VALUE(TRIM(SUBSTITUTE(VentesMagasins!$L999,".",","))),0)</f>
        <v>4</v>
      </c>
      <c r="U999">
        <f t="shared" si="46"/>
        <v>4</v>
      </c>
      <c r="V999" t="str">
        <f t="shared" si="47"/>
        <v>moyenne</v>
      </c>
      <c r="W999" t="str">
        <f>_xlfn.XLOOKUP(VentesMagasins!$B999,Clients!ClientID,Région)</f>
        <v>Sud</v>
      </c>
      <c r="X999" t="str">
        <f>INDEX(TypeClient,MATCH(VentesMagasins!$B999,Clients!ClientID))</f>
        <v>Occasionnel</v>
      </c>
      <c r="Y999" t="str">
        <v>sept</v>
      </c>
    </row>
    <row r="1000" spans="1:25" x14ac:dyDescent="0.25">
      <c r="A1000" s="2">
        <v>999</v>
      </c>
      <c r="B1000" s="12" t="s">
        <v>29</v>
      </c>
      <c r="C1000" s="13">
        <v>45500</v>
      </c>
      <c r="D1000" s="12" t="s">
        <v>360</v>
      </c>
      <c r="E1000" s="14" t="s">
        <v>362</v>
      </c>
      <c r="F1000" s="12" t="s">
        <v>341</v>
      </c>
      <c r="G1000" s="2">
        <v>3</v>
      </c>
      <c r="H1000" s="3">
        <v>391</v>
      </c>
      <c r="I1000" s="14" t="s">
        <v>325</v>
      </c>
      <c r="J1000" s="12" t="s">
        <v>1232</v>
      </c>
      <c r="K1000" s="2">
        <v>1</v>
      </c>
      <c r="L1000" s="12" t="s">
        <v>327</v>
      </c>
      <c r="M1000">
        <f>YEAR(VentesMagasins!$C1000)</f>
        <v>2024</v>
      </c>
      <c r="N1000" t="e" cm="1" vm="1">
        <f t="array" aca="1" ref="N1000" ca="1">MONTH(DateVente)</f>
        <v>#VALUE!</v>
      </c>
      <c r="O1000" t="str">
        <f>PROPER(VentesMagasins!$F1000)</f>
        <v>Meuble</v>
      </c>
      <c r="P1000">
        <f>VALUE(CLEAN(TRIM(SUBSTITUTE(VentesMagasins!$I1000,".",","))))</f>
        <v>0.15</v>
      </c>
      <c r="Q1000">
        <f>VALUE(TRIM(SUBSTITUTE(VentesMagasins!$J1000,".",",")))</f>
        <v>997.05</v>
      </c>
      <c r="R1000">
        <f t="shared" si="45"/>
        <v>847.49249999999995</v>
      </c>
      <c r="S1000">
        <f>IF(VentesMagasins!$K1000=1,(-1)*R1000,R1000)</f>
        <v>-847.49249999999995</v>
      </c>
      <c r="T1000">
        <f>IFERROR(VALUE(TRIM(SUBSTITUTE(VentesMagasins!$L1000,".",","))),0)</f>
        <v>5</v>
      </c>
      <c r="U1000">
        <f t="shared" si="46"/>
        <v>5</v>
      </c>
      <c r="V1000" t="str">
        <f t="shared" si="47"/>
        <v>élévé</v>
      </c>
      <c r="W1000" t="str">
        <f>_xlfn.XLOOKUP(VentesMagasins!$B1000,Clients!ClientID,Région)</f>
        <v>Centre</v>
      </c>
      <c r="X1000" t="str">
        <f>INDEX(TypeClient,MATCH(VentesMagasins!$B1000,Clients!ClientID))</f>
        <v>Fidèle</v>
      </c>
      <c r="Y1000" t="str">
        <v>juil</v>
      </c>
    </row>
    <row r="1001" spans="1:25" ht="15.75" thickBot="1" x14ac:dyDescent="0.3">
      <c r="A1001" s="4">
        <v>1000</v>
      </c>
      <c r="B1001" s="15" t="s">
        <v>198</v>
      </c>
      <c r="C1001" s="16">
        <v>45621</v>
      </c>
      <c r="D1001" s="15" t="s">
        <v>333</v>
      </c>
      <c r="E1001" s="17" t="s">
        <v>339</v>
      </c>
      <c r="F1001" s="15" t="s">
        <v>341</v>
      </c>
      <c r="G1001" s="4">
        <v>1</v>
      </c>
      <c r="H1001" s="5">
        <v>247</v>
      </c>
      <c r="I1001" s="17" t="s">
        <v>335</v>
      </c>
      <c r="J1001" s="15" t="s">
        <v>1233</v>
      </c>
      <c r="K1001" s="4">
        <v>1</v>
      </c>
      <c r="L1001" s="15" t="s">
        <v>337</v>
      </c>
      <c r="M1001">
        <f>YEAR(VentesMagasins!$C1001)</f>
        <v>2024</v>
      </c>
      <c r="N1001" t="e" cm="1" vm="1">
        <f t="array" aca="1" ref="N1001" ca="1">MONTH(DateVente)</f>
        <v>#VALUE!</v>
      </c>
      <c r="O1001" t="str">
        <f>PROPER(VentesMagasins!$F1001)</f>
        <v>Meuble</v>
      </c>
      <c r="P1001">
        <f>VALUE(CLEAN(TRIM(SUBSTITUTE(VentesMagasins!$I1001,".",","))))</f>
        <v>0</v>
      </c>
      <c r="Q1001">
        <f>VALUE(TRIM(SUBSTITUTE(VentesMagasins!$J1001,".",",")))</f>
        <v>247</v>
      </c>
      <c r="R1001">
        <f t="shared" si="45"/>
        <v>247</v>
      </c>
      <c r="S1001">
        <f>IF(VentesMagasins!$K1001=1,(-1)*R1001,R1001)</f>
        <v>-247</v>
      </c>
      <c r="T1001">
        <f>IFERROR(VALUE(TRIM(SUBSTITUTE(VentesMagasins!$L1001,".",","))),0)</f>
        <v>3</v>
      </c>
      <c r="U1001">
        <f t="shared" si="46"/>
        <v>3</v>
      </c>
      <c r="V1001" t="str">
        <f t="shared" si="47"/>
        <v>moyenne</v>
      </c>
      <c r="W1001" t="str">
        <f>_xlfn.XLOOKUP(VentesMagasins!$B1001,Clients!ClientID,Région)</f>
        <v>Nord</v>
      </c>
      <c r="X1001" t="str">
        <f>INDEX(TypeClient,MATCH(VentesMagasins!$B1001,Clients!ClientID))</f>
        <v>Fidèle</v>
      </c>
      <c r="Y1001" t="str">
        <v>nov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D80F-E396-4517-98B2-981336CADB81}">
  <dimension ref="A1:C301"/>
  <sheetViews>
    <sheetView workbookViewId="0">
      <selection activeCell="C257" sqref="C257"/>
    </sheetView>
  </sheetViews>
  <sheetFormatPr baseColWidth="10" defaultRowHeight="15" x14ac:dyDescent="0.25"/>
  <cols>
    <col min="1" max="1" width="18" customWidth="1"/>
    <col min="2" max="2" width="19.85546875" customWidth="1"/>
    <col min="3" max="3" width="19.140625" customWidth="1"/>
  </cols>
  <sheetData>
    <row r="1" spans="1:3" x14ac:dyDescent="0.25">
      <c r="A1" t="s">
        <v>1234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11</v>
      </c>
      <c r="B5" s="1" t="s">
        <v>4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12</v>
      </c>
    </row>
    <row r="7" spans="1:3" x14ac:dyDescent="0.25">
      <c r="A7" s="1" t="s">
        <v>15</v>
      </c>
      <c r="B7" s="1" t="s">
        <v>7</v>
      </c>
      <c r="C7" s="1" t="s">
        <v>5</v>
      </c>
    </row>
    <row r="8" spans="1:3" x14ac:dyDescent="0.25">
      <c r="A8" s="1" t="s">
        <v>16</v>
      </c>
      <c r="B8" s="1" t="s">
        <v>14</v>
      </c>
      <c r="C8" s="1" t="s">
        <v>8</v>
      </c>
    </row>
    <row r="9" spans="1:3" x14ac:dyDescent="0.25">
      <c r="A9" s="1" t="s">
        <v>17</v>
      </c>
      <c r="B9" s="1" t="s">
        <v>4</v>
      </c>
      <c r="C9" s="1" t="s">
        <v>5</v>
      </c>
    </row>
    <row r="10" spans="1:3" x14ac:dyDescent="0.25">
      <c r="A10" s="1" t="s">
        <v>18</v>
      </c>
      <c r="B10" s="1" t="s">
        <v>10</v>
      </c>
      <c r="C10" s="1" t="s">
        <v>12</v>
      </c>
    </row>
    <row r="11" spans="1:3" x14ac:dyDescent="0.25">
      <c r="A11" s="1" t="s">
        <v>19</v>
      </c>
      <c r="B11" s="1" t="s">
        <v>7</v>
      </c>
      <c r="C11" s="1" t="s">
        <v>5</v>
      </c>
    </row>
    <row r="12" spans="1:3" x14ac:dyDescent="0.25">
      <c r="A12" s="1" t="s">
        <v>20</v>
      </c>
      <c r="B12" s="1" t="s">
        <v>4</v>
      </c>
      <c r="C12" s="1" t="s">
        <v>8</v>
      </c>
    </row>
    <row r="13" spans="1:3" x14ac:dyDescent="0.25">
      <c r="A13" s="1" t="s">
        <v>21</v>
      </c>
      <c r="B13" s="1" t="s">
        <v>4</v>
      </c>
      <c r="C13" s="1" t="s">
        <v>8</v>
      </c>
    </row>
    <row r="14" spans="1:3" x14ac:dyDescent="0.25">
      <c r="A14" s="1" t="s">
        <v>22</v>
      </c>
      <c r="B14" s="1" t="s">
        <v>7</v>
      </c>
      <c r="C14" s="1" t="s">
        <v>8</v>
      </c>
    </row>
    <row r="15" spans="1:3" x14ac:dyDescent="0.25">
      <c r="A15" s="1" t="s">
        <v>23</v>
      </c>
      <c r="B15" s="1" t="s">
        <v>10</v>
      </c>
      <c r="C15" s="1" t="s">
        <v>8</v>
      </c>
    </row>
    <row r="16" spans="1:3" x14ac:dyDescent="0.25">
      <c r="A16" s="1" t="s">
        <v>24</v>
      </c>
      <c r="B16" s="1" t="s">
        <v>25</v>
      </c>
      <c r="C16" s="1" t="s">
        <v>12</v>
      </c>
    </row>
    <row r="17" spans="1:3" x14ac:dyDescent="0.25">
      <c r="A17" s="1" t="s">
        <v>26</v>
      </c>
      <c r="B17" s="1" t="s">
        <v>7</v>
      </c>
      <c r="C17" s="1" t="s">
        <v>8</v>
      </c>
    </row>
    <row r="18" spans="1:3" x14ac:dyDescent="0.25">
      <c r="A18" s="1" t="s">
        <v>27</v>
      </c>
      <c r="B18" s="1" t="s">
        <v>14</v>
      </c>
      <c r="C18" s="1" t="s">
        <v>5</v>
      </c>
    </row>
    <row r="19" spans="1:3" x14ac:dyDescent="0.25">
      <c r="A19" s="1" t="s">
        <v>28</v>
      </c>
      <c r="B19" s="1" t="s">
        <v>7</v>
      </c>
      <c r="C19" s="1" t="s">
        <v>5</v>
      </c>
    </row>
    <row r="20" spans="1:3" x14ac:dyDescent="0.25">
      <c r="A20" s="1" t="s">
        <v>29</v>
      </c>
      <c r="B20" s="1" t="s">
        <v>4</v>
      </c>
      <c r="C20" s="1" t="s">
        <v>12</v>
      </c>
    </row>
    <row r="21" spans="1:3" x14ac:dyDescent="0.25">
      <c r="A21" s="1" t="s">
        <v>30</v>
      </c>
      <c r="B21" s="1" t="s">
        <v>4</v>
      </c>
      <c r="C21" s="1" t="s">
        <v>12</v>
      </c>
    </row>
    <row r="22" spans="1:3" x14ac:dyDescent="0.25">
      <c r="A22" s="1" t="s">
        <v>31</v>
      </c>
      <c r="B22" s="1" t="s">
        <v>14</v>
      </c>
      <c r="C22" s="1" t="s">
        <v>5</v>
      </c>
    </row>
    <row r="23" spans="1:3" x14ac:dyDescent="0.25">
      <c r="A23" s="1" t="s">
        <v>32</v>
      </c>
      <c r="B23" s="1" t="s">
        <v>7</v>
      </c>
      <c r="C23" s="1" t="s">
        <v>5</v>
      </c>
    </row>
    <row r="24" spans="1:3" x14ac:dyDescent="0.25">
      <c r="A24" s="1" t="s">
        <v>33</v>
      </c>
      <c r="B24" s="1" t="s">
        <v>7</v>
      </c>
      <c r="C24" s="1" t="s">
        <v>8</v>
      </c>
    </row>
    <row r="25" spans="1:3" x14ac:dyDescent="0.25">
      <c r="A25" s="1" t="s">
        <v>34</v>
      </c>
      <c r="B25" s="1" t="s">
        <v>7</v>
      </c>
      <c r="C25" s="1" t="s">
        <v>12</v>
      </c>
    </row>
    <row r="26" spans="1:3" x14ac:dyDescent="0.25">
      <c r="A26" s="1" t="s">
        <v>35</v>
      </c>
      <c r="B26" s="1" t="s">
        <v>7</v>
      </c>
      <c r="C26" s="1" t="s">
        <v>5</v>
      </c>
    </row>
    <row r="27" spans="1:3" x14ac:dyDescent="0.25">
      <c r="A27" s="1" t="s">
        <v>36</v>
      </c>
      <c r="B27" s="1" t="s">
        <v>25</v>
      </c>
      <c r="C27" s="1" t="s">
        <v>12</v>
      </c>
    </row>
    <row r="28" spans="1:3" x14ac:dyDescent="0.25">
      <c r="A28" s="1" t="s">
        <v>37</v>
      </c>
      <c r="B28" s="1" t="s">
        <v>4</v>
      </c>
      <c r="C28" s="1" t="s">
        <v>8</v>
      </c>
    </row>
    <row r="29" spans="1:3" x14ac:dyDescent="0.25">
      <c r="A29" s="1" t="s">
        <v>38</v>
      </c>
      <c r="B29" s="1" t="s">
        <v>25</v>
      </c>
      <c r="C29" s="1" t="s">
        <v>5</v>
      </c>
    </row>
    <row r="30" spans="1:3" x14ac:dyDescent="0.25">
      <c r="A30" s="1" t="s">
        <v>39</v>
      </c>
      <c r="B30" s="1" t="s">
        <v>10</v>
      </c>
      <c r="C30" s="1" t="s">
        <v>8</v>
      </c>
    </row>
    <row r="31" spans="1:3" x14ac:dyDescent="0.25">
      <c r="A31" s="1" t="s">
        <v>40</v>
      </c>
      <c r="B31" s="1" t="s">
        <v>4</v>
      </c>
      <c r="C31" s="1" t="s">
        <v>8</v>
      </c>
    </row>
    <row r="32" spans="1:3" x14ac:dyDescent="0.25">
      <c r="A32" s="1" t="s">
        <v>41</v>
      </c>
      <c r="B32" s="1" t="s">
        <v>4</v>
      </c>
      <c r="C32" s="1" t="s">
        <v>8</v>
      </c>
    </row>
    <row r="33" spans="1:3" x14ac:dyDescent="0.25">
      <c r="A33" s="1" t="s">
        <v>42</v>
      </c>
      <c r="B33" s="1" t="s">
        <v>7</v>
      </c>
      <c r="C33" s="1" t="s">
        <v>5</v>
      </c>
    </row>
    <row r="34" spans="1:3" x14ac:dyDescent="0.25">
      <c r="A34" s="1" t="s">
        <v>43</v>
      </c>
      <c r="B34" s="1" t="s">
        <v>25</v>
      </c>
      <c r="C34" s="1" t="s">
        <v>8</v>
      </c>
    </row>
    <row r="35" spans="1:3" x14ac:dyDescent="0.25">
      <c r="A35" s="1" t="s">
        <v>44</v>
      </c>
      <c r="B35" s="1" t="s">
        <v>10</v>
      </c>
      <c r="C35" s="1" t="s">
        <v>5</v>
      </c>
    </row>
    <row r="36" spans="1:3" x14ac:dyDescent="0.25">
      <c r="A36" s="1" t="s">
        <v>45</v>
      </c>
      <c r="B36" s="1" t="s">
        <v>10</v>
      </c>
      <c r="C36" s="1" t="s">
        <v>12</v>
      </c>
    </row>
    <row r="37" spans="1:3" x14ac:dyDescent="0.25">
      <c r="A37" s="1" t="s">
        <v>46</v>
      </c>
      <c r="B37" s="1" t="s">
        <v>7</v>
      </c>
      <c r="C37" s="1" t="s">
        <v>5</v>
      </c>
    </row>
    <row r="38" spans="1:3" x14ac:dyDescent="0.25">
      <c r="A38" s="1" t="s">
        <v>47</v>
      </c>
      <c r="B38" s="1" t="s">
        <v>4</v>
      </c>
      <c r="C38" s="1" t="s">
        <v>12</v>
      </c>
    </row>
    <row r="39" spans="1:3" x14ac:dyDescent="0.25">
      <c r="A39" s="1" t="s">
        <v>48</v>
      </c>
      <c r="B39" s="1" t="s">
        <v>14</v>
      </c>
      <c r="C39" s="1" t="s">
        <v>12</v>
      </c>
    </row>
    <row r="40" spans="1:3" x14ac:dyDescent="0.25">
      <c r="A40" s="1" t="s">
        <v>49</v>
      </c>
      <c r="B40" s="1" t="s">
        <v>10</v>
      </c>
      <c r="C40" s="1" t="s">
        <v>8</v>
      </c>
    </row>
    <row r="41" spans="1:3" x14ac:dyDescent="0.25">
      <c r="A41" s="1" t="s">
        <v>50</v>
      </c>
      <c r="B41" s="1" t="s">
        <v>4</v>
      </c>
      <c r="C41" s="1" t="s">
        <v>8</v>
      </c>
    </row>
    <row r="42" spans="1:3" x14ac:dyDescent="0.25">
      <c r="A42" s="1" t="s">
        <v>51</v>
      </c>
      <c r="B42" s="1" t="s">
        <v>14</v>
      </c>
      <c r="C42" s="1" t="s">
        <v>12</v>
      </c>
    </row>
    <row r="43" spans="1:3" x14ac:dyDescent="0.25">
      <c r="A43" s="1" t="s">
        <v>52</v>
      </c>
      <c r="B43" s="1" t="s">
        <v>25</v>
      </c>
      <c r="C43" s="1" t="s">
        <v>12</v>
      </c>
    </row>
    <row r="44" spans="1:3" x14ac:dyDescent="0.25">
      <c r="A44" s="1" t="s">
        <v>53</v>
      </c>
      <c r="B44" s="1" t="s">
        <v>7</v>
      </c>
      <c r="C44" s="1" t="s">
        <v>5</v>
      </c>
    </row>
    <row r="45" spans="1:3" x14ac:dyDescent="0.25">
      <c r="A45" s="1" t="s">
        <v>54</v>
      </c>
      <c r="B45" s="1" t="s">
        <v>4</v>
      </c>
      <c r="C45" s="1" t="s">
        <v>8</v>
      </c>
    </row>
    <row r="46" spans="1:3" x14ac:dyDescent="0.25">
      <c r="A46" s="1" t="s">
        <v>55</v>
      </c>
      <c r="B46" s="1" t="s">
        <v>10</v>
      </c>
      <c r="C46" s="1" t="s">
        <v>12</v>
      </c>
    </row>
    <row r="47" spans="1:3" x14ac:dyDescent="0.25">
      <c r="A47" s="1" t="s">
        <v>56</v>
      </c>
      <c r="B47" s="1" t="s">
        <v>7</v>
      </c>
      <c r="C47" s="1" t="s">
        <v>12</v>
      </c>
    </row>
    <row r="48" spans="1:3" x14ac:dyDescent="0.25">
      <c r="A48" s="1" t="s">
        <v>57</v>
      </c>
      <c r="B48" s="1" t="s">
        <v>10</v>
      </c>
      <c r="C48" s="1" t="s">
        <v>12</v>
      </c>
    </row>
    <row r="49" spans="1:3" x14ac:dyDescent="0.25">
      <c r="A49" s="1" t="s">
        <v>58</v>
      </c>
      <c r="B49" s="1" t="s">
        <v>25</v>
      </c>
      <c r="C49" s="1" t="s">
        <v>5</v>
      </c>
    </row>
    <row r="50" spans="1:3" x14ac:dyDescent="0.25">
      <c r="A50" s="1" t="s">
        <v>59</v>
      </c>
      <c r="B50" s="1" t="s">
        <v>14</v>
      </c>
      <c r="C50" s="1" t="s">
        <v>5</v>
      </c>
    </row>
    <row r="51" spans="1:3" x14ac:dyDescent="0.25">
      <c r="A51" s="1" t="s">
        <v>60</v>
      </c>
      <c r="B51" s="1" t="s">
        <v>4</v>
      </c>
      <c r="C51" s="1" t="s">
        <v>12</v>
      </c>
    </row>
    <row r="52" spans="1:3" x14ac:dyDescent="0.25">
      <c r="A52" s="1" t="s">
        <v>61</v>
      </c>
      <c r="B52" s="1" t="s">
        <v>10</v>
      </c>
      <c r="C52" s="1" t="s">
        <v>12</v>
      </c>
    </row>
    <row r="53" spans="1:3" x14ac:dyDescent="0.25">
      <c r="A53" s="1" t="s">
        <v>62</v>
      </c>
      <c r="B53" s="1" t="s">
        <v>14</v>
      </c>
      <c r="C53" s="1" t="s">
        <v>8</v>
      </c>
    </row>
    <row r="54" spans="1:3" x14ac:dyDescent="0.25">
      <c r="A54" s="1" t="s">
        <v>63</v>
      </c>
      <c r="B54" s="1" t="s">
        <v>14</v>
      </c>
      <c r="C54" s="1" t="s">
        <v>5</v>
      </c>
    </row>
    <row r="55" spans="1:3" x14ac:dyDescent="0.25">
      <c r="A55" s="1" t="s">
        <v>64</v>
      </c>
      <c r="B55" s="1" t="s">
        <v>14</v>
      </c>
      <c r="C55" s="1" t="s">
        <v>8</v>
      </c>
    </row>
    <row r="56" spans="1:3" x14ac:dyDescent="0.25">
      <c r="A56" s="1" t="s">
        <v>65</v>
      </c>
      <c r="B56" s="1" t="s">
        <v>14</v>
      </c>
      <c r="C56" s="1" t="s">
        <v>8</v>
      </c>
    </row>
    <row r="57" spans="1:3" x14ac:dyDescent="0.25">
      <c r="A57" s="1" t="s">
        <v>66</v>
      </c>
      <c r="B57" s="1" t="s">
        <v>4</v>
      </c>
      <c r="C57" s="1" t="s">
        <v>12</v>
      </c>
    </row>
    <row r="58" spans="1:3" x14ac:dyDescent="0.25">
      <c r="A58" s="1" t="s">
        <v>67</v>
      </c>
      <c r="B58" s="1" t="s">
        <v>14</v>
      </c>
      <c r="C58" s="1" t="s">
        <v>8</v>
      </c>
    </row>
    <row r="59" spans="1:3" x14ac:dyDescent="0.25">
      <c r="A59" s="1" t="s">
        <v>68</v>
      </c>
      <c r="B59" s="1" t="s">
        <v>10</v>
      </c>
      <c r="C59" s="1" t="s">
        <v>5</v>
      </c>
    </row>
    <row r="60" spans="1:3" x14ac:dyDescent="0.25">
      <c r="A60" s="1" t="s">
        <v>69</v>
      </c>
      <c r="B60" s="1" t="s">
        <v>4</v>
      </c>
      <c r="C60" s="1" t="s">
        <v>8</v>
      </c>
    </row>
    <row r="61" spans="1:3" x14ac:dyDescent="0.25">
      <c r="A61" s="1" t="s">
        <v>70</v>
      </c>
      <c r="B61" s="1" t="s">
        <v>7</v>
      </c>
      <c r="C61" s="1" t="s">
        <v>8</v>
      </c>
    </row>
    <row r="62" spans="1:3" x14ac:dyDescent="0.25">
      <c r="A62" s="1" t="s">
        <v>71</v>
      </c>
      <c r="B62" s="1" t="s">
        <v>14</v>
      </c>
      <c r="C62" s="1" t="s">
        <v>8</v>
      </c>
    </row>
    <row r="63" spans="1:3" x14ac:dyDescent="0.25">
      <c r="A63" s="1" t="s">
        <v>72</v>
      </c>
      <c r="B63" s="1" t="s">
        <v>25</v>
      </c>
      <c r="C63" s="1" t="s">
        <v>12</v>
      </c>
    </row>
    <row r="64" spans="1:3" x14ac:dyDescent="0.25">
      <c r="A64" s="1" t="s">
        <v>73</v>
      </c>
      <c r="B64" s="1" t="s">
        <v>14</v>
      </c>
      <c r="C64" s="1" t="s">
        <v>5</v>
      </c>
    </row>
    <row r="65" spans="1:3" x14ac:dyDescent="0.25">
      <c r="A65" s="1" t="s">
        <v>74</v>
      </c>
      <c r="B65" s="1" t="s">
        <v>4</v>
      </c>
      <c r="C65" s="1" t="s">
        <v>12</v>
      </c>
    </row>
    <row r="66" spans="1:3" x14ac:dyDescent="0.25">
      <c r="A66" s="1" t="s">
        <v>75</v>
      </c>
      <c r="B66" s="1" t="s">
        <v>25</v>
      </c>
      <c r="C66" s="1" t="s">
        <v>8</v>
      </c>
    </row>
    <row r="67" spans="1:3" x14ac:dyDescent="0.25">
      <c r="A67" s="1" t="s">
        <v>76</v>
      </c>
      <c r="B67" s="1" t="s">
        <v>10</v>
      </c>
      <c r="C67" s="1" t="s">
        <v>5</v>
      </c>
    </row>
    <row r="68" spans="1:3" x14ac:dyDescent="0.25">
      <c r="A68" s="1" t="s">
        <v>77</v>
      </c>
      <c r="B68" s="1" t="s">
        <v>10</v>
      </c>
      <c r="C68" s="1" t="s">
        <v>5</v>
      </c>
    </row>
    <row r="69" spans="1:3" x14ac:dyDescent="0.25">
      <c r="A69" s="1" t="s">
        <v>78</v>
      </c>
      <c r="B69" s="1" t="s">
        <v>4</v>
      </c>
      <c r="C69" s="1" t="s">
        <v>8</v>
      </c>
    </row>
    <row r="70" spans="1:3" x14ac:dyDescent="0.25">
      <c r="A70" s="1" t="s">
        <v>79</v>
      </c>
      <c r="B70" s="1" t="s">
        <v>7</v>
      </c>
      <c r="C70" s="1" t="s">
        <v>5</v>
      </c>
    </row>
    <row r="71" spans="1:3" x14ac:dyDescent="0.25">
      <c r="A71" s="1" t="s">
        <v>80</v>
      </c>
      <c r="B71" s="1" t="s">
        <v>4</v>
      </c>
      <c r="C71" s="1" t="s">
        <v>5</v>
      </c>
    </row>
    <row r="72" spans="1:3" x14ac:dyDescent="0.25">
      <c r="A72" s="1" t="s">
        <v>81</v>
      </c>
      <c r="B72" s="1" t="s">
        <v>14</v>
      </c>
      <c r="C72" s="1" t="s">
        <v>8</v>
      </c>
    </row>
    <row r="73" spans="1:3" x14ac:dyDescent="0.25">
      <c r="A73" s="1" t="s">
        <v>82</v>
      </c>
      <c r="B73" s="1" t="s">
        <v>14</v>
      </c>
      <c r="C73" s="1" t="s">
        <v>5</v>
      </c>
    </row>
    <row r="74" spans="1:3" x14ac:dyDescent="0.25">
      <c r="A74" s="1" t="s">
        <v>83</v>
      </c>
      <c r="B74" s="1" t="s">
        <v>14</v>
      </c>
      <c r="C74" s="1" t="s">
        <v>12</v>
      </c>
    </row>
    <row r="75" spans="1:3" x14ac:dyDescent="0.25">
      <c r="A75" s="1" t="s">
        <v>84</v>
      </c>
      <c r="B75" s="1" t="s">
        <v>14</v>
      </c>
      <c r="C75" s="1" t="s">
        <v>5</v>
      </c>
    </row>
    <row r="76" spans="1:3" x14ac:dyDescent="0.25">
      <c r="A76" s="1" t="s">
        <v>85</v>
      </c>
      <c r="B76" s="1" t="s">
        <v>14</v>
      </c>
      <c r="C76" s="1" t="s">
        <v>12</v>
      </c>
    </row>
    <row r="77" spans="1:3" x14ac:dyDescent="0.25">
      <c r="A77" s="1" t="s">
        <v>86</v>
      </c>
      <c r="B77" s="1" t="s">
        <v>14</v>
      </c>
      <c r="C77" s="1" t="s">
        <v>8</v>
      </c>
    </row>
    <row r="78" spans="1:3" x14ac:dyDescent="0.25">
      <c r="A78" s="1" t="s">
        <v>87</v>
      </c>
      <c r="B78" s="1" t="s">
        <v>7</v>
      </c>
      <c r="C78" s="1" t="s">
        <v>5</v>
      </c>
    </row>
    <row r="79" spans="1:3" x14ac:dyDescent="0.25">
      <c r="A79" s="1" t="s">
        <v>88</v>
      </c>
      <c r="B79" s="1" t="s">
        <v>4</v>
      </c>
      <c r="C79" s="1" t="s">
        <v>8</v>
      </c>
    </row>
    <row r="80" spans="1:3" x14ac:dyDescent="0.25">
      <c r="A80" s="1" t="s">
        <v>89</v>
      </c>
      <c r="B80" s="1" t="s">
        <v>10</v>
      </c>
      <c r="C80" s="1" t="s">
        <v>12</v>
      </c>
    </row>
    <row r="81" spans="1:3" x14ac:dyDescent="0.25">
      <c r="A81" s="1" t="s">
        <v>90</v>
      </c>
      <c r="B81" s="1" t="s">
        <v>25</v>
      </c>
      <c r="C81" s="1" t="s">
        <v>12</v>
      </c>
    </row>
    <row r="82" spans="1:3" x14ac:dyDescent="0.25">
      <c r="A82" s="1" t="s">
        <v>91</v>
      </c>
      <c r="B82" s="1" t="s">
        <v>7</v>
      </c>
      <c r="C82" s="1" t="s">
        <v>5</v>
      </c>
    </row>
    <row r="83" spans="1:3" x14ac:dyDescent="0.25">
      <c r="A83" s="1" t="s">
        <v>92</v>
      </c>
      <c r="B83" s="1" t="s">
        <v>4</v>
      </c>
      <c r="C83" s="1" t="s">
        <v>12</v>
      </c>
    </row>
    <row r="84" spans="1:3" x14ac:dyDescent="0.25">
      <c r="A84" s="1" t="s">
        <v>93</v>
      </c>
      <c r="B84" s="1" t="s">
        <v>25</v>
      </c>
      <c r="C84" s="1" t="s">
        <v>8</v>
      </c>
    </row>
    <row r="85" spans="1:3" x14ac:dyDescent="0.25">
      <c r="A85" s="1" t="s">
        <v>94</v>
      </c>
      <c r="B85" s="1" t="s">
        <v>4</v>
      </c>
      <c r="C85" s="1" t="s">
        <v>12</v>
      </c>
    </row>
    <row r="86" spans="1:3" x14ac:dyDescent="0.25">
      <c r="A86" s="1" t="s">
        <v>95</v>
      </c>
      <c r="B86" s="1" t="s">
        <v>4</v>
      </c>
      <c r="C86" s="1" t="s">
        <v>12</v>
      </c>
    </row>
    <row r="87" spans="1:3" x14ac:dyDescent="0.25">
      <c r="A87" s="1" t="s">
        <v>96</v>
      </c>
      <c r="B87" s="1" t="s">
        <v>10</v>
      </c>
      <c r="C87" s="1" t="s">
        <v>8</v>
      </c>
    </row>
    <row r="88" spans="1:3" x14ac:dyDescent="0.25">
      <c r="A88" s="1" t="s">
        <v>97</v>
      </c>
      <c r="B88" s="1" t="s">
        <v>25</v>
      </c>
      <c r="C88" s="1" t="s">
        <v>5</v>
      </c>
    </row>
    <row r="89" spans="1:3" x14ac:dyDescent="0.25">
      <c r="A89" s="1" t="s">
        <v>98</v>
      </c>
      <c r="B89" s="1" t="s">
        <v>10</v>
      </c>
      <c r="C89" s="1" t="s">
        <v>8</v>
      </c>
    </row>
    <row r="90" spans="1:3" x14ac:dyDescent="0.25">
      <c r="A90" s="1" t="s">
        <v>99</v>
      </c>
      <c r="B90" s="1" t="s">
        <v>7</v>
      </c>
      <c r="C90" s="1" t="s">
        <v>5</v>
      </c>
    </row>
    <row r="91" spans="1:3" x14ac:dyDescent="0.25">
      <c r="A91" s="1" t="s">
        <v>100</v>
      </c>
      <c r="B91" s="1" t="s">
        <v>4</v>
      </c>
      <c r="C91" s="1" t="s">
        <v>5</v>
      </c>
    </row>
    <row r="92" spans="1:3" x14ac:dyDescent="0.25">
      <c r="A92" s="1" t="s">
        <v>101</v>
      </c>
      <c r="B92" s="1" t="s">
        <v>4</v>
      </c>
      <c r="C92" s="1" t="s">
        <v>5</v>
      </c>
    </row>
    <row r="93" spans="1:3" x14ac:dyDescent="0.25">
      <c r="A93" s="1" t="s">
        <v>102</v>
      </c>
      <c r="B93" s="1" t="s">
        <v>4</v>
      </c>
      <c r="C93" s="1" t="s">
        <v>8</v>
      </c>
    </row>
    <row r="94" spans="1:3" x14ac:dyDescent="0.25">
      <c r="A94" s="1" t="s">
        <v>103</v>
      </c>
      <c r="B94" s="1" t="s">
        <v>10</v>
      </c>
      <c r="C94" s="1" t="s">
        <v>12</v>
      </c>
    </row>
    <row r="95" spans="1:3" x14ac:dyDescent="0.25">
      <c r="A95" s="1" t="s">
        <v>104</v>
      </c>
      <c r="B95" s="1" t="s">
        <v>10</v>
      </c>
      <c r="C95" s="1" t="s">
        <v>5</v>
      </c>
    </row>
    <row r="96" spans="1:3" x14ac:dyDescent="0.25">
      <c r="A96" s="1" t="s">
        <v>105</v>
      </c>
      <c r="B96" s="1" t="s">
        <v>4</v>
      </c>
      <c r="C96" s="1" t="s">
        <v>8</v>
      </c>
    </row>
    <row r="97" spans="1:3" x14ac:dyDescent="0.25">
      <c r="A97" s="1" t="s">
        <v>106</v>
      </c>
      <c r="B97" s="1" t="s">
        <v>25</v>
      </c>
      <c r="C97" s="1" t="s">
        <v>12</v>
      </c>
    </row>
    <row r="98" spans="1:3" x14ac:dyDescent="0.25">
      <c r="A98" s="1" t="s">
        <v>107</v>
      </c>
      <c r="B98" s="1" t="s">
        <v>25</v>
      </c>
      <c r="C98" s="1" t="s">
        <v>8</v>
      </c>
    </row>
    <row r="99" spans="1:3" x14ac:dyDescent="0.25">
      <c r="A99" s="1" t="s">
        <v>108</v>
      </c>
      <c r="B99" s="1" t="s">
        <v>14</v>
      </c>
      <c r="C99" s="1" t="s">
        <v>12</v>
      </c>
    </row>
    <row r="100" spans="1:3" x14ac:dyDescent="0.25">
      <c r="A100" s="1" t="s">
        <v>109</v>
      </c>
      <c r="B100" s="1" t="s">
        <v>10</v>
      </c>
      <c r="C100" s="1" t="s">
        <v>5</v>
      </c>
    </row>
    <row r="101" spans="1:3" x14ac:dyDescent="0.25">
      <c r="A101" s="1" t="s">
        <v>110</v>
      </c>
      <c r="B101" s="1" t="s">
        <v>14</v>
      </c>
      <c r="C101" s="1" t="s">
        <v>8</v>
      </c>
    </row>
    <row r="102" spans="1:3" x14ac:dyDescent="0.25">
      <c r="A102" s="1" t="s">
        <v>111</v>
      </c>
      <c r="B102" s="1" t="s">
        <v>10</v>
      </c>
      <c r="C102" s="1" t="s">
        <v>8</v>
      </c>
    </row>
    <row r="103" spans="1:3" x14ac:dyDescent="0.25">
      <c r="A103" s="1" t="s">
        <v>112</v>
      </c>
      <c r="B103" s="1" t="s">
        <v>14</v>
      </c>
      <c r="C103" s="1" t="s">
        <v>5</v>
      </c>
    </row>
    <row r="104" spans="1:3" x14ac:dyDescent="0.25">
      <c r="A104" s="1" t="s">
        <v>113</v>
      </c>
      <c r="B104" s="1" t="s">
        <v>25</v>
      </c>
      <c r="C104" s="1" t="s">
        <v>12</v>
      </c>
    </row>
    <row r="105" spans="1:3" x14ac:dyDescent="0.25">
      <c r="A105" s="1" t="s">
        <v>114</v>
      </c>
      <c r="B105" s="1" t="s">
        <v>10</v>
      </c>
      <c r="C105" s="1" t="s">
        <v>12</v>
      </c>
    </row>
    <row r="106" spans="1:3" x14ac:dyDescent="0.25">
      <c r="A106" s="1" t="s">
        <v>115</v>
      </c>
      <c r="B106" s="1" t="s">
        <v>4</v>
      </c>
      <c r="C106" s="1" t="s">
        <v>12</v>
      </c>
    </row>
    <row r="107" spans="1:3" x14ac:dyDescent="0.25">
      <c r="A107" s="1" t="s">
        <v>116</v>
      </c>
      <c r="B107" s="1" t="s">
        <v>14</v>
      </c>
      <c r="C107" s="1" t="s">
        <v>5</v>
      </c>
    </row>
    <row r="108" spans="1:3" x14ac:dyDescent="0.25">
      <c r="A108" s="1" t="s">
        <v>117</v>
      </c>
      <c r="B108" s="1" t="s">
        <v>10</v>
      </c>
      <c r="C108" s="1" t="s">
        <v>8</v>
      </c>
    </row>
    <row r="109" spans="1:3" x14ac:dyDescent="0.25">
      <c r="A109" s="1" t="s">
        <v>118</v>
      </c>
      <c r="B109" s="1" t="s">
        <v>7</v>
      </c>
      <c r="C109" s="1" t="s">
        <v>8</v>
      </c>
    </row>
    <row r="110" spans="1:3" x14ac:dyDescent="0.25">
      <c r="A110" s="1" t="s">
        <v>119</v>
      </c>
      <c r="B110" s="1" t="s">
        <v>4</v>
      </c>
      <c r="C110" s="1" t="s">
        <v>8</v>
      </c>
    </row>
    <row r="111" spans="1:3" x14ac:dyDescent="0.25">
      <c r="A111" s="1" t="s">
        <v>120</v>
      </c>
      <c r="B111" s="1" t="s">
        <v>7</v>
      </c>
      <c r="C111" s="1" t="s">
        <v>8</v>
      </c>
    </row>
    <row r="112" spans="1:3" x14ac:dyDescent="0.25">
      <c r="A112" s="1" t="s">
        <v>121</v>
      </c>
      <c r="B112" s="1" t="s">
        <v>4</v>
      </c>
      <c r="C112" s="1" t="s">
        <v>8</v>
      </c>
    </row>
    <row r="113" spans="1:3" x14ac:dyDescent="0.25">
      <c r="A113" s="1" t="s">
        <v>122</v>
      </c>
      <c r="B113" s="1" t="s">
        <v>14</v>
      </c>
      <c r="C113" s="1" t="s">
        <v>8</v>
      </c>
    </row>
    <row r="114" spans="1:3" x14ac:dyDescent="0.25">
      <c r="A114" s="1" t="s">
        <v>123</v>
      </c>
      <c r="B114" s="1" t="s">
        <v>10</v>
      </c>
      <c r="C114" s="1" t="s">
        <v>5</v>
      </c>
    </row>
    <row r="115" spans="1:3" x14ac:dyDescent="0.25">
      <c r="A115" s="1" t="s">
        <v>124</v>
      </c>
      <c r="B115" s="1" t="s">
        <v>7</v>
      </c>
      <c r="C115" s="1" t="s">
        <v>5</v>
      </c>
    </row>
    <row r="116" spans="1:3" x14ac:dyDescent="0.25">
      <c r="A116" s="1" t="s">
        <v>125</v>
      </c>
      <c r="B116" s="1" t="s">
        <v>7</v>
      </c>
      <c r="C116" s="1" t="s">
        <v>5</v>
      </c>
    </row>
    <row r="117" spans="1:3" x14ac:dyDescent="0.25">
      <c r="A117" s="1" t="s">
        <v>126</v>
      </c>
      <c r="B117" s="1" t="s">
        <v>10</v>
      </c>
      <c r="C117" s="1" t="s">
        <v>8</v>
      </c>
    </row>
    <row r="118" spans="1:3" x14ac:dyDescent="0.25">
      <c r="A118" s="1" t="s">
        <v>127</v>
      </c>
      <c r="B118" s="1" t="s">
        <v>7</v>
      </c>
      <c r="C118" s="1" t="s">
        <v>12</v>
      </c>
    </row>
    <row r="119" spans="1:3" x14ac:dyDescent="0.25">
      <c r="A119" s="1" t="s">
        <v>128</v>
      </c>
      <c r="B119" s="1" t="s">
        <v>25</v>
      </c>
      <c r="C119" s="1" t="s">
        <v>5</v>
      </c>
    </row>
    <row r="120" spans="1:3" x14ac:dyDescent="0.25">
      <c r="A120" s="1" t="s">
        <v>129</v>
      </c>
      <c r="B120" s="1" t="s">
        <v>25</v>
      </c>
      <c r="C120" s="1" t="s">
        <v>12</v>
      </c>
    </row>
    <row r="121" spans="1:3" x14ac:dyDescent="0.25">
      <c r="A121" s="1" t="s">
        <v>130</v>
      </c>
      <c r="B121" s="1" t="s">
        <v>14</v>
      </c>
      <c r="C121" s="1" t="s">
        <v>5</v>
      </c>
    </row>
    <row r="122" spans="1:3" x14ac:dyDescent="0.25">
      <c r="A122" s="1" t="s">
        <v>131</v>
      </c>
      <c r="B122" s="1" t="s">
        <v>14</v>
      </c>
      <c r="C122" s="1" t="s">
        <v>8</v>
      </c>
    </row>
    <row r="123" spans="1:3" x14ac:dyDescent="0.25">
      <c r="A123" s="1" t="s">
        <v>132</v>
      </c>
      <c r="B123" s="1" t="s">
        <v>7</v>
      </c>
      <c r="C123" s="1" t="s">
        <v>12</v>
      </c>
    </row>
    <row r="124" spans="1:3" x14ac:dyDescent="0.25">
      <c r="A124" s="1" t="s">
        <v>133</v>
      </c>
      <c r="B124" s="1" t="s">
        <v>25</v>
      </c>
      <c r="C124" s="1" t="s">
        <v>8</v>
      </c>
    </row>
    <row r="125" spans="1:3" x14ac:dyDescent="0.25">
      <c r="A125" s="1" t="s">
        <v>134</v>
      </c>
      <c r="B125" s="1" t="s">
        <v>25</v>
      </c>
      <c r="C125" s="1" t="s">
        <v>8</v>
      </c>
    </row>
    <row r="126" spans="1:3" x14ac:dyDescent="0.25">
      <c r="A126" s="1" t="s">
        <v>135</v>
      </c>
      <c r="B126" s="1" t="s">
        <v>4</v>
      </c>
      <c r="C126" s="1" t="s">
        <v>8</v>
      </c>
    </row>
    <row r="127" spans="1:3" x14ac:dyDescent="0.25">
      <c r="A127" s="1" t="s">
        <v>136</v>
      </c>
      <c r="B127" s="1" t="s">
        <v>14</v>
      </c>
      <c r="C127" s="1" t="s">
        <v>12</v>
      </c>
    </row>
    <row r="128" spans="1:3" x14ac:dyDescent="0.25">
      <c r="A128" s="1" t="s">
        <v>137</v>
      </c>
      <c r="B128" s="1" t="s">
        <v>14</v>
      </c>
      <c r="C128" s="1" t="s">
        <v>8</v>
      </c>
    </row>
    <row r="129" spans="1:3" x14ac:dyDescent="0.25">
      <c r="A129" s="1" t="s">
        <v>138</v>
      </c>
      <c r="B129" s="1" t="s">
        <v>7</v>
      </c>
      <c r="C129" s="1" t="s">
        <v>8</v>
      </c>
    </row>
    <row r="130" spans="1:3" x14ac:dyDescent="0.25">
      <c r="A130" s="1" t="s">
        <v>139</v>
      </c>
      <c r="B130" s="1" t="s">
        <v>14</v>
      </c>
      <c r="C130" s="1" t="s">
        <v>8</v>
      </c>
    </row>
    <row r="131" spans="1:3" x14ac:dyDescent="0.25">
      <c r="A131" s="1" t="s">
        <v>140</v>
      </c>
      <c r="B131" s="1" t="s">
        <v>25</v>
      </c>
      <c r="C131" s="1" t="s">
        <v>8</v>
      </c>
    </row>
    <row r="132" spans="1:3" x14ac:dyDescent="0.25">
      <c r="A132" s="1" t="s">
        <v>141</v>
      </c>
      <c r="B132" s="1" t="s">
        <v>7</v>
      </c>
      <c r="C132" s="1" t="s">
        <v>12</v>
      </c>
    </row>
    <row r="133" spans="1:3" x14ac:dyDescent="0.25">
      <c r="A133" s="1" t="s">
        <v>142</v>
      </c>
      <c r="B133" s="1" t="s">
        <v>10</v>
      </c>
      <c r="C133" s="1" t="s">
        <v>8</v>
      </c>
    </row>
    <row r="134" spans="1:3" x14ac:dyDescent="0.25">
      <c r="A134" s="1" t="s">
        <v>143</v>
      </c>
      <c r="B134" s="1" t="s">
        <v>10</v>
      </c>
      <c r="C134" s="1" t="s">
        <v>12</v>
      </c>
    </row>
    <row r="135" spans="1:3" x14ac:dyDescent="0.25">
      <c r="A135" s="1" t="s">
        <v>144</v>
      </c>
      <c r="B135" s="1" t="s">
        <v>4</v>
      </c>
      <c r="C135" s="1" t="s">
        <v>5</v>
      </c>
    </row>
    <row r="136" spans="1:3" x14ac:dyDescent="0.25">
      <c r="A136" s="1" t="s">
        <v>145</v>
      </c>
      <c r="B136" s="1" t="s">
        <v>7</v>
      </c>
      <c r="C136" s="1" t="s">
        <v>12</v>
      </c>
    </row>
    <row r="137" spans="1:3" x14ac:dyDescent="0.25">
      <c r="A137" s="1" t="s">
        <v>146</v>
      </c>
      <c r="B137" s="1" t="s">
        <v>25</v>
      </c>
      <c r="C137" s="1" t="s">
        <v>5</v>
      </c>
    </row>
    <row r="138" spans="1:3" x14ac:dyDescent="0.25">
      <c r="A138" s="1" t="s">
        <v>147</v>
      </c>
      <c r="B138" s="1" t="s">
        <v>7</v>
      </c>
      <c r="C138" s="1" t="s">
        <v>12</v>
      </c>
    </row>
    <row r="139" spans="1:3" x14ac:dyDescent="0.25">
      <c r="A139" s="1" t="s">
        <v>148</v>
      </c>
      <c r="B139" s="1" t="s">
        <v>14</v>
      </c>
      <c r="C139" s="1" t="s">
        <v>8</v>
      </c>
    </row>
    <row r="140" spans="1:3" x14ac:dyDescent="0.25">
      <c r="A140" s="1" t="s">
        <v>149</v>
      </c>
      <c r="B140" s="1" t="s">
        <v>4</v>
      </c>
      <c r="C140" s="1" t="s">
        <v>8</v>
      </c>
    </row>
    <row r="141" spans="1:3" x14ac:dyDescent="0.25">
      <c r="A141" s="1" t="s">
        <v>150</v>
      </c>
      <c r="B141" s="1" t="s">
        <v>14</v>
      </c>
      <c r="C141" s="1" t="s">
        <v>12</v>
      </c>
    </row>
    <row r="142" spans="1:3" x14ac:dyDescent="0.25">
      <c r="A142" s="1" t="s">
        <v>151</v>
      </c>
      <c r="B142" s="1" t="s">
        <v>4</v>
      </c>
      <c r="C142" s="1" t="s">
        <v>8</v>
      </c>
    </row>
    <row r="143" spans="1:3" x14ac:dyDescent="0.25">
      <c r="A143" s="1" t="s">
        <v>152</v>
      </c>
      <c r="B143" s="1" t="s">
        <v>25</v>
      </c>
      <c r="C143" s="1" t="s">
        <v>12</v>
      </c>
    </row>
    <row r="144" spans="1:3" x14ac:dyDescent="0.25">
      <c r="A144" s="1" t="s">
        <v>153</v>
      </c>
      <c r="B144" s="1" t="s">
        <v>14</v>
      </c>
      <c r="C144" s="1" t="s">
        <v>12</v>
      </c>
    </row>
    <row r="145" spans="1:3" x14ac:dyDescent="0.25">
      <c r="A145" s="1" t="s">
        <v>154</v>
      </c>
      <c r="B145" s="1" t="s">
        <v>4</v>
      </c>
      <c r="C145" s="1" t="s">
        <v>12</v>
      </c>
    </row>
    <row r="146" spans="1:3" x14ac:dyDescent="0.25">
      <c r="A146" s="1" t="s">
        <v>155</v>
      </c>
      <c r="B146" s="1" t="s">
        <v>14</v>
      </c>
      <c r="C146" s="1" t="s">
        <v>8</v>
      </c>
    </row>
    <row r="147" spans="1:3" x14ac:dyDescent="0.25">
      <c r="A147" s="1" t="s">
        <v>156</v>
      </c>
      <c r="B147" s="1" t="s">
        <v>4</v>
      </c>
      <c r="C147" s="1" t="s">
        <v>8</v>
      </c>
    </row>
    <row r="148" spans="1:3" x14ac:dyDescent="0.25">
      <c r="A148" s="1" t="s">
        <v>157</v>
      </c>
      <c r="B148" s="1" t="s">
        <v>10</v>
      </c>
      <c r="C148" s="1" t="s">
        <v>5</v>
      </c>
    </row>
    <row r="149" spans="1:3" x14ac:dyDescent="0.25">
      <c r="A149" s="1" t="s">
        <v>158</v>
      </c>
      <c r="B149" s="1" t="s">
        <v>10</v>
      </c>
      <c r="C149" s="1" t="s">
        <v>5</v>
      </c>
    </row>
    <row r="150" spans="1:3" x14ac:dyDescent="0.25">
      <c r="A150" s="1" t="s">
        <v>159</v>
      </c>
      <c r="B150" s="1" t="s">
        <v>4</v>
      </c>
      <c r="C150" s="1" t="s">
        <v>12</v>
      </c>
    </row>
    <row r="151" spans="1:3" x14ac:dyDescent="0.25">
      <c r="A151" s="1" t="s">
        <v>160</v>
      </c>
      <c r="B151" s="1" t="s">
        <v>4</v>
      </c>
      <c r="C151" s="1" t="s">
        <v>8</v>
      </c>
    </row>
    <row r="152" spans="1:3" x14ac:dyDescent="0.25">
      <c r="A152" s="1" t="s">
        <v>161</v>
      </c>
      <c r="B152" s="1" t="s">
        <v>4</v>
      </c>
      <c r="C152" s="1" t="s">
        <v>8</v>
      </c>
    </row>
    <row r="153" spans="1:3" x14ac:dyDescent="0.25">
      <c r="A153" s="1" t="s">
        <v>162</v>
      </c>
      <c r="B153" s="1" t="s">
        <v>14</v>
      </c>
      <c r="C153" s="1" t="s">
        <v>12</v>
      </c>
    </row>
    <row r="154" spans="1:3" x14ac:dyDescent="0.25">
      <c r="A154" s="1" t="s">
        <v>163</v>
      </c>
      <c r="B154" s="1" t="s">
        <v>10</v>
      </c>
      <c r="C154" s="1" t="s">
        <v>8</v>
      </c>
    </row>
    <row r="155" spans="1:3" x14ac:dyDescent="0.25">
      <c r="A155" s="1" t="s">
        <v>164</v>
      </c>
      <c r="B155" s="1" t="s">
        <v>25</v>
      </c>
      <c r="C155" s="1" t="s">
        <v>5</v>
      </c>
    </row>
    <row r="156" spans="1:3" x14ac:dyDescent="0.25">
      <c r="A156" s="1" t="s">
        <v>165</v>
      </c>
      <c r="B156" s="1" t="s">
        <v>4</v>
      </c>
      <c r="C156" s="1" t="s">
        <v>8</v>
      </c>
    </row>
    <row r="157" spans="1:3" x14ac:dyDescent="0.25">
      <c r="A157" s="1" t="s">
        <v>166</v>
      </c>
      <c r="B157" s="1" t="s">
        <v>7</v>
      </c>
      <c r="C157" s="1" t="s">
        <v>5</v>
      </c>
    </row>
    <row r="158" spans="1:3" x14ac:dyDescent="0.25">
      <c r="A158" s="1" t="s">
        <v>167</v>
      </c>
      <c r="B158" s="1" t="s">
        <v>7</v>
      </c>
      <c r="C158" s="1" t="s">
        <v>8</v>
      </c>
    </row>
    <row r="159" spans="1:3" x14ac:dyDescent="0.25">
      <c r="A159" s="1" t="s">
        <v>168</v>
      </c>
      <c r="B159" s="1" t="s">
        <v>25</v>
      </c>
      <c r="C159" s="1" t="s">
        <v>5</v>
      </c>
    </row>
    <row r="160" spans="1:3" x14ac:dyDescent="0.25">
      <c r="A160" s="1" t="s">
        <v>169</v>
      </c>
      <c r="B160" s="1" t="s">
        <v>14</v>
      </c>
      <c r="C160" s="1" t="s">
        <v>8</v>
      </c>
    </row>
    <row r="161" spans="1:3" x14ac:dyDescent="0.25">
      <c r="A161" s="1" t="s">
        <v>170</v>
      </c>
      <c r="B161" s="1" t="s">
        <v>14</v>
      </c>
      <c r="C161" s="1" t="s">
        <v>12</v>
      </c>
    </row>
    <row r="162" spans="1:3" x14ac:dyDescent="0.25">
      <c r="A162" s="1" t="s">
        <v>171</v>
      </c>
      <c r="B162" s="1" t="s">
        <v>10</v>
      </c>
      <c r="C162" s="1" t="s">
        <v>12</v>
      </c>
    </row>
    <row r="163" spans="1:3" x14ac:dyDescent="0.25">
      <c r="A163" s="1" t="s">
        <v>172</v>
      </c>
      <c r="B163" s="1" t="s">
        <v>4</v>
      </c>
      <c r="C163" s="1" t="s">
        <v>8</v>
      </c>
    </row>
    <row r="164" spans="1:3" x14ac:dyDescent="0.25">
      <c r="A164" s="1" t="s">
        <v>173</v>
      </c>
      <c r="B164" s="1" t="s">
        <v>14</v>
      </c>
      <c r="C164" s="1" t="s">
        <v>5</v>
      </c>
    </row>
    <row r="165" spans="1:3" x14ac:dyDescent="0.25">
      <c r="A165" s="1" t="s">
        <v>174</v>
      </c>
      <c r="B165" s="1" t="s">
        <v>25</v>
      </c>
      <c r="C165" s="1" t="s">
        <v>5</v>
      </c>
    </row>
    <row r="166" spans="1:3" x14ac:dyDescent="0.25">
      <c r="A166" s="1" t="s">
        <v>175</v>
      </c>
      <c r="B166" s="1" t="s">
        <v>25</v>
      </c>
      <c r="C166" s="1" t="s">
        <v>8</v>
      </c>
    </row>
    <row r="167" spans="1:3" x14ac:dyDescent="0.25">
      <c r="A167" s="1" t="s">
        <v>176</v>
      </c>
      <c r="B167" s="1" t="s">
        <v>10</v>
      </c>
      <c r="C167" s="1" t="s">
        <v>12</v>
      </c>
    </row>
    <row r="168" spans="1:3" x14ac:dyDescent="0.25">
      <c r="A168" s="1" t="s">
        <v>177</v>
      </c>
      <c r="B168" s="1" t="s">
        <v>25</v>
      </c>
      <c r="C168" s="1" t="s">
        <v>8</v>
      </c>
    </row>
    <row r="169" spans="1:3" x14ac:dyDescent="0.25">
      <c r="A169" s="1" t="s">
        <v>178</v>
      </c>
      <c r="B169" s="1" t="s">
        <v>7</v>
      </c>
      <c r="C169" s="1" t="s">
        <v>5</v>
      </c>
    </row>
    <row r="170" spans="1:3" x14ac:dyDescent="0.25">
      <c r="A170" s="1" t="s">
        <v>179</v>
      </c>
      <c r="B170" s="1" t="s">
        <v>14</v>
      </c>
      <c r="C170" s="1" t="s">
        <v>8</v>
      </c>
    </row>
    <row r="171" spans="1:3" x14ac:dyDescent="0.25">
      <c r="A171" s="1" t="s">
        <v>180</v>
      </c>
      <c r="B171" s="1" t="s">
        <v>4</v>
      </c>
      <c r="C171" s="1" t="s">
        <v>8</v>
      </c>
    </row>
    <row r="172" spans="1:3" x14ac:dyDescent="0.25">
      <c r="A172" s="1" t="s">
        <v>181</v>
      </c>
      <c r="B172" s="1" t="s">
        <v>25</v>
      </c>
      <c r="C172" s="1" t="s">
        <v>12</v>
      </c>
    </row>
    <row r="173" spans="1:3" x14ac:dyDescent="0.25">
      <c r="A173" s="1" t="s">
        <v>182</v>
      </c>
      <c r="B173" s="1" t="s">
        <v>10</v>
      </c>
      <c r="C173" s="1" t="s">
        <v>12</v>
      </c>
    </row>
    <row r="174" spans="1:3" x14ac:dyDescent="0.25">
      <c r="A174" s="1" t="s">
        <v>183</v>
      </c>
      <c r="B174" s="1" t="s">
        <v>10</v>
      </c>
      <c r="C174" s="1" t="s">
        <v>5</v>
      </c>
    </row>
    <row r="175" spans="1:3" x14ac:dyDescent="0.25">
      <c r="A175" s="1" t="s">
        <v>184</v>
      </c>
      <c r="B175" s="1" t="s">
        <v>14</v>
      </c>
      <c r="C175" s="1" t="s">
        <v>8</v>
      </c>
    </row>
    <row r="176" spans="1:3" x14ac:dyDescent="0.25">
      <c r="A176" s="1" t="s">
        <v>185</v>
      </c>
      <c r="B176" s="1" t="s">
        <v>4</v>
      </c>
      <c r="C176" s="1" t="s">
        <v>5</v>
      </c>
    </row>
    <row r="177" spans="1:3" x14ac:dyDescent="0.25">
      <c r="A177" s="1" t="s">
        <v>186</v>
      </c>
      <c r="B177" s="1" t="s">
        <v>10</v>
      </c>
      <c r="C177" s="1" t="s">
        <v>5</v>
      </c>
    </row>
    <row r="178" spans="1:3" x14ac:dyDescent="0.25">
      <c r="A178" s="1" t="s">
        <v>187</v>
      </c>
      <c r="B178" s="1" t="s">
        <v>25</v>
      </c>
      <c r="C178" s="1" t="s">
        <v>8</v>
      </c>
    </row>
    <row r="179" spans="1:3" x14ac:dyDescent="0.25">
      <c r="A179" s="1" t="s">
        <v>188</v>
      </c>
      <c r="B179" s="1" t="s">
        <v>10</v>
      </c>
      <c r="C179" s="1" t="s">
        <v>5</v>
      </c>
    </row>
    <row r="180" spans="1:3" x14ac:dyDescent="0.25">
      <c r="A180" s="1" t="s">
        <v>189</v>
      </c>
      <c r="B180" s="1" t="s">
        <v>4</v>
      </c>
      <c r="C180" s="1" t="s">
        <v>12</v>
      </c>
    </row>
    <row r="181" spans="1:3" x14ac:dyDescent="0.25">
      <c r="A181" s="1" t="s">
        <v>190</v>
      </c>
      <c r="B181" s="1" t="s">
        <v>7</v>
      </c>
      <c r="C181" s="1" t="s">
        <v>12</v>
      </c>
    </row>
    <row r="182" spans="1:3" x14ac:dyDescent="0.25">
      <c r="A182" s="1" t="s">
        <v>191</v>
      </c>
      <c r="B182" s="1" t="s">
        <v>14</v>
      </c>
      <c r="C182" s="1" t="s">
        <v>8</v>
      </c>
    </row>
    <row r="183" spans="1:3" x14ac:dyDescent="0.25">
      <c r="A183" s="1" t="s">
        <v>192</v>
      </c>
      <c r="B183" s="1" t="s">
        <v>7</v>
      </c>
      <c r="C183" s="1" t="s">
        <v>12</v>
      </c>
    </row>
    <row r="184" spans="1:3" x14ac:dyDescent="0.25">
      <c r="A184" s="1" t="s">
        <v>193</v>
      </c>
      <c r="B184" s="1" t="s">
        <v>14</v>
      </c>
      <c r="C184" s="1" t="s">
        <v>5</v>
      </c>
    </row>
    <row r="185" spans="1:3" x14ac:dyDescent="0.25">
      <c r="A185" s="1" t="s">
        <v>194</v>
      </c>
      <c r="B185" s="1" t="s">
        <v>4</v>
      </c>
      <c r="C185" s="1" t="s">
        <v>12</v>
      </c>
    </row>
    <row r="186" spans="1:3" x14ac:dyDescent="0.25">
      <c r="A186" s="1" t="s">
        <v>195</v>
      </c>
      <c r="B186" s="1" t="s">
        <v>7</v>
      </c>
      <c r="C186" s="1" t="s">
        <v>5</v>
      </c>
    </row>
    <row r="187" spans="1:3" x14ac:dyDescent="0.25">
      <c r="A187" s="1" t="s">
        <v>196</v>
      </c>
      <c r="B187" s="1" t="s">
        <v>4</v>
      </c>
      <c r="C187" s="1" t="s">
        <v>8</v>
      </c>
    </row>
    <row r="188" spans="1:3" x14ac:dyDescent="0.25">
      <c r="A188" s="1" t="s">
        <v>197</v>
      </c>
      <c r="B188" s="1" t="s">
        <v>10</v>
      </c>
      <c r="C188" s="1" t="s">
        <v>8</v>
      </c>
    </row>
    <row r="189" spans="1:3" x14ac:dyDescent="0.25">
      <c r="A189" s="1" t="s">
        <v>198</v>
      </c>
      <c r="B189" s="1" t="s">
        <v>10</v>
      </c>
      <c r="C189" s="1" t="s">
        <v>12</v>
      </c>
    </row>
    <row r="190" spans="1:3" x14ac:dyDescent="0.25">
      <c r="A190" s="1" t="s">
        <v>199</v>
      </c>
      <c r="B190" s="1" t="s">
        <v>4</v>
      </c>
      <c r="C190" s="1" t="s">
        <v>12</v>
      </c>
    </row>
    <row r="191" spans="1:3" x14ac:dyDescent="0.25">
      <c r="A191" s="1" t="s">
        <v>200</v>
      </c>
      <c r="B191" s="1" t="s">
        <v>10</v>
      </c>
      <c r="C191" s="1" t="s">
        <v>5</v>
      </c>
    </row>
    <row r="192" spans="1:3" x14ac:dyDescent="0.25">
      <c r="A192" s="1" t="s">
        <v>201</v>
      </c>
      <c r="B192" s="1" t="s">
        <v>10</v>
      </c>
      <c r="C192" s="1" t="s">
        <v>5</v>
      </c>
    </row>
    <row r="193" spans="1:3" x14ac:dyDescent="0.25">
      <c r="A193" s="1" t="s">
        <v>202</v>
      </c>
      <c r="B193" s="1" t="s">
        <v>10</v>
      </c>
      <c r="C193" s="1" t="s">
        <v>12</v>
      </c>
    </row>
    <row r="194" spans="1:3" x14ac:dyDescent="0.25">
      <c r="A194" s="1" t="s">
        <v>203</v>
      </c>
      <c r="B194" s="1" t="s">
        <v>14</v>
      </c>
      <c r="C194" s="1" t="s">
        <v>5</v>
      </c>
    </row>
    <row r="195" spans="1:3" x14ac:dyDescent="0.25">
      <c r="A195" s="1" t="s">
        <v>204</v>
      </c>
      <c r="B195" s="1" t="s">
        <v>4</v>
      </c>
      <c r="C195" s="1" t="s">
        <v>5</v>
      </c>
    </row>
    <row r="196" spans="1:3" x14ac:dyDescent="0.25">
      <c r="A196" s="1" t="s">
        <v>205</v>
      </c>
      <c r="B196" s="1" t="s">
        <v>4</v>
      </c>
      <c r="C196" s="1" t="s">
        <v>8</v>
      </c>
    </row>
    <row r="197" spans="1:3" x14ac:dyDescent="0.25">
      <c r="A197" s="1" t="s">
        <v>206</v>
      </c>
      <c r="B197" s="1" t="s">
        <v>4</v>
      </c>
      <c r="C197" s="1" t="s">
        <v>5</v>
      </c>
    </row>
    <row r="198" spans="1:3" x14ac:dyDescent="0.25">
      <c r="A198" s="1" t="s">
        <v>207</v>
      </c>
      <c r="B198" s="1" t="s">
        <v>7</v>
      </c>
      <c r="C198" s="1" t="s">
        <v>8</v>
      </c>
    </row>
    <row r="199" spans="1:3" x14ac:dyDescent="0.25">
      <c r="A199" s="1" t="s">
        <v>208</v>
      </c>
      <c r="B199" s="1" t="s">
        <v>10</v>
      </c>
      <c r="C199" s="1" t="s">
        <v>12</v>
      </c>
    </row>
    <row r="200" spans="1:3" x14ac:dyDescent="0.25">
      <c r="A200" s="1" t="s">
        <v>209</v>
      </c>
      <c r="B200" s="1" t="s">
        <v>4</v>
      </c>
      <c r="C200" s="1" t="s">
        <v>5</v>
      </c>
    </row>
    <row r="201" spans="1:3" x14ac:dyDescent="0.25">
      <c r="A201" s="1" t="s">
        <v>210</v>
      </c>
      <c r="B201" s="1" t="s">
        <v>25</v>
      </c>
      <c r="C201" s="1" t="s">
        <v>5</v>
      </c>
    </row>
    <row r="202" spans="1:3" x14ac:dyDescent="0.25">
      <c r="A202" s="1" t="s">
        <v>211</v>
      </c>
      <c r="B202" s="1" t="s">
        <v>14</v>
      </c>
      <c r="C202" s="1" t="s">
        <v>5</v>
      </c>
    </row>
    <row r="203" spans="1:3" x14ac:dyDescent="0.25">
      <c r="A203" s="1" t="s">
        <v>212</v>
      </c>
      <c r="B203" s="1" t="s">
        <v>14</v>
      </c>
      <c r="C203" s="1" t="s">
        <v>12</v>
      </c>
    </row>
    <row r="204" spans="1:3" x14ac:dyDescent="0.25">
      <c r="A204" s="1" t="s">
        <v>213</v>
      </c>
      <c r="B204" s="1" t="s">
        <v>4</v>
      </c>
      <c r="C204" s="1" t="s">
        <v>12</v>
      </c>
    </row>
    <row r="205" spans="1:3" x14ac:dyDescent="0.25">
      <c r="A205" s="1" t="s">
        <v>214</v>
      </c>
      <c r="B205" s="1" t="s">
        <v>7</v>
      </c>
      <c r="C205" s="1" t="s">
        <v>5</v>
      </c>
    </row>
    <row r="206" spans="1:3" x14ac:dyDescent="0.25">
      <c r="A206" s="1" t="s">
        <v>215</v>
      </c>
      <c r="B206" s="1" t="s">
        <v>7</v>
      </c>
      <c r="C206" s="1" t="s">
        <v>12</v>
      </c>
    </row>
    <row r="207" spans="1:3" x14ac:dyDescent="0.25">
      <c r="A207" s="1" t="s">
        <v>216</v>
      </c>
      <c r="B207" s="1" t="s">
        <v>25</v>
      </c>
      <c r="C207" s="1" t="s">
        <v>12</v>
      </c>
    </row>
    <row r="208" spans="1:3" x14ac:dyDescent="0.25">
      <c r="A208" s="1" t="s">
        <v>217</v>
      </c>
      <c r="B208" s="1" t="s">
        <v>4</v>
      </c>
      <c r="C208" s="1" t="s">
        <v>8</v>
      </c>
    </row>
    <row r="209" spans="1:3" x14ac:dyDescent="0.25">
      <c r="A209" s="1" t="s">
        <v>218</v>
      </c>
      <c r="B209" s="1" t="s">
        <v>25</v>
      </c>
      <c r="C209" s="1" t="s">
        <v>12</v>
      </c>
    </row>
    <row r="210" spans="1:3" x14ac:dyDescent="0.25">
      <c r="A210" s="1" t="s">
        <v>219</v>
      </c>
      <c r="B210" s="1" t="s">
        <v>4</v>
      </c>
      <c r="C210" s="1" t="s">
        <v>12</v>
      </c>
    </row>
    <row r="211" spans="1:3" x14ac:dyDescent="0.25">
      <c r="A211" s="1" t="s">
        <v>220</v>
      </c>
      <c r="B211" s="1" t="s">
        <v>4</v>
      </c>
      <c r="C211" s="1" t="s">
        <v>5</v>
      </c>
    </row>
    <row r="212" spans="1:3" x14ac:dyDescent="0.25">
      <c r="A212" s="1" t="s">
        <v>221</v>
      </c>
      <c r="B212" s="1" t="s">
        <v>14</v>
      </c>
      <c r="C212" s="1" t="s">
        <v>5</v>
      </c>
    </row>
    <row r="213" spans="1:3" x14ac:dyDescent="0.25">
      <c r="A213" s="1" t="s">
        <v>222</v>
      </c>
      <c r="B213" s="1" t="s">
        <v>10</v>
      </c>
      <c r="C213" s="1" t="s">
        <v>5</v>
      </c>
    </row>
    <row r="214" spans="1:3" x14ac:dyDescent="0.25">
      <c r="A214" s="1" t="s">
        <v>223</v>
      </c>
      <c r="B214" s="1" t="s">
        <v>10</v>
      </c>
      <c r="C214" s="1" t="s">
        <v>12</v>
      </c>
    </row>
    <row r="215" spans="1:3" x14ac:dyDescent="0.25">
      <c r="A215" s="1" t="s">
        <v>224</v>
      </c>
      <c r="B215" s="1" t="s">
        <v>7</v>
      </c>
      <c r="C215" s="1" t="s">
        <v>5</v>
      </c>
    </row>
    <row r="216" spans="1:3" x14ac:dyDescent="0.25">
      <c r="A216" s="1" t="s">
        <v>225</v>
      </c>
      <c r="B216" s="1" t="s">
        <v>25</v>
      </c>
      <c r="C216" s="1" t="s">
        <v>12</v>
      </c>
    </row>
    <row r="217" spans="1:3" x14ac:dyDescent="0.25">
      <c r="A217" s="1" t="s">
        <v>226</v>
      </c>
      <c r="B217" s="1" t="s">
        <v>25</v>
      </c>
      <c r="C217" s="1" t="s">
        <v>5</v>
      </c>
    </row>
    <row r="218" spans="1:3" x14ac:dyDescent="0.25">
      <c r="A218" s="1" t="s">
        <v>227</v>
      </c>
      <c r="B218" s="1" t="s">
        <v>14</v>
      </c>
      <c r="C218" s="1" t="s">
        <v>12</v>
      </c>
    </row>
    <row r="219" spans="1:3" x14ac:dyDescent="0.25">
      <c r="A219" s="1" t="s">
        <v>228</v>
      </c>
      <c r="B219" s="1" t="s">
        <v>4</v>
      </c>
      <c r="C219" s="1" t="s">
        <v>5</v>
      </c>
    </row>
    <row r="220" spans="1:3" x14ac:dyDescent="0.25">
      <c r="A220" s="1" t="s">
        <v>229</v>
      </c>
      <c r="B220" s="1" t="s">
        <v>7</v>
      </c>
      <c r="C220" s="1" t="s">
        <v>5</v>
      </c>
    </row>
    <row r="221" spans="1:3" x14ac:dyDescent="0.25">
      <c r="A221" s="1" t="s">
        <v>230</v>
      </c>
      <c r="B221" s="1" t="s">
        <v>14</v>
      </c>
      <c r="C221" s="1" t="s">
        <v>8</v>
      </c>
    </row>
    <row r="222" spans="1:3" x14ac:dyDescent="0.25">
      <c r="A222" s="1" t="s">
        <v>231</v>
      </c>
      <c r="B222" s="1" t="s">
        <v>7</v>
      </c>
      <c r="C222" s="1" t="s">
        <v>8</v>
      </c>
    </row>
    <row r="223" spans="1:3" x14ac:dyDescent="0.25">
      <c r="A223" s="1" t="s">
        <v>232</v>
      </c>
      <c r="B223" s="1" t="s">
        <v>4</v>
      </c>
      <c r="C223" s="1" t="s">
        <v>12</v>
      </c>
    </row>
    <row r="224" spans="1:3" x14ac:dyDescent="0.25">
      <c r="A224" s="1" t="s">
        <v>233</v>
      </c>
      <c r="B224" s="1" t="s">
        <v>25</v>
      </c>
      <c r="C224" s="1" t="s">
        <v>12</v>
      </c>
    </row>
    <row r="225" spans="1:3" x14ac:dyDescent="0.25">
      <c r="A225" s="1" t="s">
        <v>234</v>
      </c>
      <c r="B225" s="1" t="s">
        <v>25</v>
      </c>
      <c r="C225" s="1" t="s">
        <v>8</v>
      </c>
    </row>
    <row r="226" spans="1:3" x14ac:dyDescent="0.25">
      <c r="A226" s="1" t="s">
        <v>235</v>
      </c>
      <c r="B226" s="1" t="s">
        <v>14</v>
      </c>
      <c r="C226" s="1" t="s">
        <v>12</v>
      </c>
    </row>
    <row r="227" spans="1:3" x14ac:dyDescent="0.25">
      <c r="A227" s="1" t="s">
        <v>236</v>
      </c>
      <c r="B227" s="1" t="s">
        <v>25</v>
      </c>
      <c r="C227" s="1" t="s">
        <v>8</v>
      </c>
    </row>
    <row r="228" spans="1:3" x14ac:dyDescent="0.25">
      <c r="A228" s="1" t="s">
        <v>237</v>
      </c>
      <c r="B228" s="1" t="s">
        <v>25</v>
      </c>
      <c r="C228" s="1" t="s">
        <v>12</v>
      </c>
    </row>
    <row r="229" spans="1:3" x14ac:dyDescent="0.25">
      <c r="A229" s="1" t="s">
        <v>238</v>
      </c>
      <c r="B229" s="1" t="s">
        <v>4</v>
      </c>
      <c r="C229" s="1" t="s">
        <v>5</v>
      </c>
    </row>
    <row r="230" spans="1:3" x14ac:dyDescent="0.25">
      <c r="A230" s="1" t="s">
        <v>239</v>
      </c>
      <c r="B230" s="1" t="s">
        <v>4</v>
      </c>
      <c r="C230" s="1" t="s">
        <v>12</v>
      </c>
    </row>
    <row r="231" spans="1:3" x14ac:dyDescent="0.25">
      <c r="A231" s="1" t="s">
        <v>240</v>
      </c>
      <c r="B231" s="1" t="s">
        <v>25</v>
      </c>
      <c r="C231" s="1" t="s">
        <v>8</v>
      </c>
    </row>
    <row r="232" spans="1:3" x14ac:dyDescent="0.25">
      <c r="A232" s="1" t="s">
        <v>241</v>
      </c>
      <c r="B232" s="1" t="s">
        <v>7</v>
      </c>
      <c r="C232" s="1" t="s">
        <v>5</v>
      </c>
    </row>
    <row r="233" spans="1:3" x14ac:dyDescent="0.25">
      <c r="A233" s="1" t="s">
        <v>242</v>
      </c>
      <c r="B233" s="1" t="s">
        <v>14</v>
      </c>
      <c r="C233" s="1" t="s">
        <v>5</v>
      </c>
    </row>
    <row r="234" spans="1:3" x14ac:dyDescent="0.25">
      <c r="A234" s="1" t="s">
        <v>243</v>
      </c>
      <c r="B234" s="1" t="s">
        <v>10</v>
      </c>
      <c r="C234" s="1" t="s">
        <v>12</v>
      </c>
    </row>
    <row r="235" spans="1:3" x14ac:dyDescent="0.25">
      <c r="A235" s="1" t="s">
        <v>244</v>
      </c>
      <c r="B235" s="1" t="s">
        <v>14</v>
      </c>
      <c r="C235" s="1" t="s">
        <v>5</v>
      </c>
    </row>
    <row r="236" spans="1:3" x14ac:dyDescent="0.25">
      <c r="A236" s="1" t="s">
        <v>245</v>
      </c>
      <c r="B236" s="1" t="s">
        <v>10</v>
      </c>
      <c r="C236" s="1" t="s">
        <v>5</v>
      </c>
    </row>
    <row r="237" spans="1:3" x14ac:dyDescent="0.25">
      <c r="A237" s="1" t="s">
        <v>246</v>
      </c>
      <c r="B237" s="1" t="s">
        <v>4</v>
      </c>
      <c r="C237" s="1" t="s">
        <v>8</v>
      </c>
    </row>
    <row r="238" spans="1:3" x14ac:dyDescent="0.25">
      <c r="A238" s="1" t="s">
        <v>247</v>
      </c>
      <c r="B238" s="1" t="s">
        <v>7</v>
      </c>
      <c r="C238" s="1" t="s">
        <v>12</v>
      </c>
    </row>
    <row r="239" spans="1:3" x14ac:dyDescent="0.25">
      <c r="A239" s="1" t="s">
        <v>248</v>
      </c>
      <c r="B239" s="1" t="s">
        <v>7</v>
      </c>
      <c r="C239" s="1" t="s">
        <v>8</v>
      </c>
    </row>
    <row r="240" spans="1:3" x14ac:dyDescent="0.25">
      <c r="A240" s="1" t="s">
        <v>249</v>
      </c>
      <c r="B240" s="1" t="s">
        <v>7</v>
      </c>
      <c r="C240" s="1" t="s">
        <v>12</v>
      </c>
    </row>
    <row r="241" spans="1:3" x14ac:dyDescent="0.25">
      <c r="A241" s="1" t="s">
        <v>250</v>
      </c>
      <c r="B241" s="1" t="s">
        <v>4</v>
      </c>
      <c r="C241" s="1" t="s">
        <v>12</v>
      </c>
    </row>
    <row r="242" spans="1:3" x14ac:dyDescent="0.25">
      <c r="A242" s="1" t="s">
        <v>251</v>
      </c>
      <c r="B242" s="1" t="s">
        <v>10</v>
      </c>
      <c r="C242" s="1" t="s">
        <v>8</v>
      </c>
    </row>
    <row r="243" spans="1:3" x14ac:dyDescent="0.25">
      <c r="A243" s="1" t="s">
        <v>252</v>
      </c>
      <c r="B243" s="1" t="s">
        <v>4</v>
      </c>
      <c r="C243" s="1" t="s">
        <v>5</v>
      </c>
    </row>
    <row r="244" spans="1:3" x14ac:dyDescent="0.25">
      <c r="A244" s="1" t="s">
        <v>253</v>
      </c>
      <c r="B244" s="1" t="s">
        <v>10</v>
      </c>
      <c r="C244" s="1" t="s">
        <v>8</v>
      </c>
    </row>
    <row r="245" spans="1:3" x14ac:dyDescent="0.25">
      <c r="A245" s="1" t="s">
        <v>254</v>
      </c>
      <c r="B245" s="1" t="s">
        <v>7</v>
      </c>
      <c r="C245" s="1" t="s">
        <v>12</v>
      </c>
    </row>
    <row r="246" spans="1:3" x14ac:dyDescent="0.25">
      <c r="A246" s="1" t="s">
        <v>255</v>
      </c>
      <c r="B246" s="1" t="s">
        <v>7</v>
      </c>
      <c r="C246" s="1" t="s">
        <v>8</v>
      </c>
    </row>
    <row r="247" spans="1:3" x14ac:dyDescent="0.25">
      <c r="A247" s="1" t="s">
        <v>256</v>
      </c>
      <c r="B247" s="1" t="s">
        <v>14</v>
      </c>
      <c r="C247" s="1" t="s">
        <v>5</v>
      </c>
    </row>
    <row r="248" spans="1:3" x14ac:dyDescent="0.25">
      <c r="A248" s="1" t="s">
        <v>257</v>
      </c>
      <c r="B248" s="1" t="s">
        <v>10</v>
      </c>
      <c r="C248" s="1" t="s">
        <v>5</v>
      </c>
    </row>
    <row r="249" spans="1:3" x14ac:dyDescent="0.25">
      <c r="A249" s="1" t="s">
        <v>258</v>
      </c>
      <c r="B249" s="1" t="s">
        <v>7</v>
      </c>
      <c r="C249" s="1" t="s">
        <v>5</v>
      </c>
    </row>
    <row r="250" spans="1:3" x14ac:dyDescent="0.25">
      <c r="A250" s="1" t="s">
        <v>259</v>
      </c>
      <c r="B250" s="1" t="s">
        <v>7</v>
      </c>
      <c r="C250" s="1" t="s">
        <v>12</v>
      </c>
    </row>
    <row r="251" spans="1:3" x14ac:dyDescent="0.25">
      <c r="A251" s="1" t="s">
        <v>260</v>
      </c>
      <c r="B251" s="1" t="s">
        <v>25</v>
      </c>
      <c r="C251" s="1" t="s">
        <v>12</v>
      </c>
    </row>
    <row r="252" spans="1:3" x14ac:dyDescent="0.25">
      <c r="A252" s="1" t="s">
        <v>261</v>
      </c>
      <c r="B252" s="1" t="s">
        <v>14</v>
      </c>
      <c r="C252" s="1" t="s">
        <v>5</v>
      </c>
    </row>
    <row r="253" spans="1:3" x14ac:dyDescent="0.25">
      <c r="A253" s="1" t="s">
        <v>262</v>
      </c>
      <c r="B253" s="1" t="s">
        <v>10</v>
      </c>
      <c r="C253" s="1" t="s">
        <v>12</v>
      </c>
    </row>
    <row r="254" spans="1:3" x14ac:dyDescent="0.25">
      <c r="A254" s="1" t="s">
        <v>263</v>
      </c>
      <c r="B254" s="1" t="s">
        <v>25</v>
      </c>
      <c r="C254" s="1" t="s">
        <v>8</v>
      </c>
    </row>
    <row r="255" spans="1:3" x14ac:dyDescent="0.25">
      <c r="A255" s="1" t="s">
        <v>264</v>
      </c>
      <c r="B255" s="1" t="s">
        <v>7</v>
      </c>
      <c r="C255" s="1" t="s">
        <v>8</v>
      </c>
    </row>
    <row r="256" spans="1:3" x14ac:dyDescent="0.25">
      <c r="A256" s="1" t="s">
        <v>265</v>
      </c>
      <c r="B256" s="1" t="s">
        <v>7</v>
      </c>
      <c r="C256" s="1" t="s">
        <v>12</v>
      </c>
    </row>
    <row r="257" spans="1:3" x14ac:dyDescent="0.25">
      <c r="A257" s="1" t="s">
        <v>266</v>
      </c>
      <c r="B257" s="1" t="s">
        <v>10</v>
      </c>
      <c r="C257" s="1" t="s">
        <v>8</v>
      </c>
    </row>
    <row r="258" spans="1:3" x14ac:dyDescent="0.25">
      <c r="A258" s="1" t="s">
        <v>267</v>
      </c>
      <c r="B258" s="1" t="s">
        <v>25</v>
      </c>
      <c r="C258" s="1" t="s">
        <v>8</v>
      </c>
    </row>
    <row r="259" spans="1:3" x14ac:dyDescent="0.25">
      <c r="A259" s="1" t="s">
        <v>268</v>
      </c>
      <c r="B259" s="1" t="s">
        <v>25</v>
      </c>
      <c r="C259" s="1" t="s">
        <v>8</v>
      </c>
    </row>
    <row r="260" spans="1:3" x14ac:dyDescent="0.25">
      <c r="A260" s="1" t="s">
        <v>269</v>
      </c>
      <c r="B260" s="1" t="s">
        <v>14</v>
      </c>
      <c r="C260" s="1" t="s">
        <v>8</v>
      </c>
    </row>
    <row r="261" spans="1:3" x14ac:dyDescent="0.25">
      <c r="A261" s="1" t="s">
        <v>270</v>
      </c>
      <c r="B261" s="1" t="s">
        <v>4</v>
      </c>
      <c r="C261" s="1" t="s">
        <v>8</v>
      </c>
    </row>
    <row r="262" spans="1:3" x14ac:dyDescent="0.25">
      <c r="A262" s="1" t="s">
        <v>271</v>
      </c>
      <c r="B262" s="1" t="s">
        <v>4</v>
      </c>
      <c r="C262" s="1" t="s">
        <v>5</v>
      </c>
    </row>
    <row r="263" spans="1:3" x14ac:dyDescent="0.25">
      <c r="A263" s="1" t="s">
        <v>272</v>
      </c>
      <c r="B263" s="1" t="s">
        <v>4</v>
      </c>
      <c r="C263" s="1" t="s">
        <v>12</v>
      </c>
    </row>
    <row r="264" spans="1:3" x14ac:dyDescent="0.25">
      <c r="A264" s="1" t="s">
        <v>273</v>
      </c>
      <c r="B264" s="1" t="s">
        <v>10</v>
      </c>
      <c r="C264" s="1" t="s">
        <v>5</v>
      </c>
    </row>
    <row r="265" spans="1:3" x14ac:dyDescent="0.25">
      <c r="A265" s="1" t="s">
        <v>274</v>
      </c>
      <c r="B265" s="1" t="s">
        <v>7</v>
      </c>
      <c r="C265" s="1" t="s">
        <v>12</v>
      </c>
    </row>
    <row r="266" spans="1:3" x14ac:dyDescent="0.25">
      <c r="A266" s="1" t="s">
        <v>275</v>
      </c>
      <c r="B266" s="1" t="s">
        <v>10</v>
      </c>
      <c r="C266" s="1" t="s">
        <v>12</v>
      </c>
    </row>
    <row r="267" spans="1:3" x14ac:dyDescent="0.25">
      <c r="A267" s="1" t="s">
        <v>276</v>
      </c>
      <c r="B267" s="1" t="s">
        <v>25</v>
      </c>
      <c r="C267" s="1" t="s">
        <v>8</v>
      </c>
    </row>
    <row r="268" spans="1:3" x14ac:dyDescent="0.25">
      <c r="A268" s="1" t="s">
        <v>277</v>
      </c>
      <c r="B268" s="1" t="s">
        <v>7</v>
      </c>
      <c r="C268" s="1" t="s">
        <v>12</v>
      </c>
    </row>
    <row r="269" spans="1:3" x14ac:dyDescent="0.25">
      <c r="A269" s="1" t="s">
        <v>278</v>
      </c>
      <c r="B269" s="1" t="s">
        <v>10</v>
      </c>
      <c r="C269" s="1" t="s">
        <v>8</v>
      </c>
    </row>
    <row r="270" spans="1:3" x14ac:dyDescent="0.25">
      <c r="A270" s="1" t="s">
        <v>279</v>
      </c>
      <c r="B270" s="1" t="s">
        <v>14</v>
      </c>
      <c r="C270" s="1" t="s">
        <v>8</v>
      </c>
    </row>
    <row r="271" spans="1:3" x14ac:dyDescent="0.25">
      <c r="A271" s="1" t="s">
        <v>280</v>
      </c>
      <c r="B271" s="1" t="s">
        <v>7</v>
      </c>
      <c r="C271" s="1" t="s">
        <v>8</v>
      </c>
    </row>
    <row r="272" spans="1:3" x14ac:dyDescent="0.25">
      <c r="A272" s="1" t="s">
        <v>281</v>
      </c>
      <c r="B272" s="1" t="s">
        <v>25</v>
      </c>
      <c r="C272" s="1" t="s">
        <v>5</v>
      </c>
    </row>
    <row r="273" spans="1:3" x14ac:dyDescent="0.25">
      <c r="A273" s="1" t="s">
        <v>282</v>
      </c>
      <c r="B273" s="1" t="s">
        <v>10</v>
      </c>
      <c r="C273" s="1" t="s">
        <v>8</v>
      </c>
    </row>
    <row r="274" spans="1:3" x14ac:dyDescent="0.25">
      <c r="A274" s="1" t="s">
        <v>283</v>
      </c>
      <c r="B274" s="1" t="s">
        <v>10</v>
      </c>
      <c r="C274" s="1" t="s">
        <v>12</v>
      </c>
    </row>
    <row r="275" spans="1:3" x14ac:dyDescent="0.25">
      <c r="A275" s="1" t="s">
        <v>284</v>
      </c>
      <c r="B275" s="1" t="s">
        <v>7</v>
      </c>
      <c r="C275" s="1" t="s">
        <v>12</v>
      </c>
    </row>
    <row r="276" spans="1:3" x14ac:dyDescent="0.25">
      <c r="A276" s="1" t="s">
        <v>285</v>
      </c>
      <c r="B276" s="1" t="s">
        <v>7</v>
      </c>
      <c r="C276" s="1" t="s">
        <v>12</v>
      </c>
    </row>
    <row r="277" spans="1:3" x14ac:dyDescent="0.25">
      <c r="A277" s="1" t="s">
        <v>286</v>
      </c>
      <c r="B277" s="1" t="s">
        <v>7</v>
      </c>
      <c r="C277" s="1" t="s">
        <v>8</v>
      </c>
    </row>
    <row r="278" spans="1:3" x14ac:dyDescent="0.25">
      <c r="A278" s="1" t="s">
        <v>287</v>
      </c>
      <c r="B278" s="1" t="s">
        <v>10</v>
      </c>
      <c r="C278" s="1" t="s">
        <v>8</v>
      </c>
    </row>
    <row r="279" spans="1:3" x14ac:dyDescent="0.25">
      <c r="A279" s="1" t="s">
        <v>288</v>
      </c>
      <c r="B279" s="1" t="s">
        <v>10</v>
      </c>
      <c r="C279" s="1" t="s">
        <v>12</v>
      </c>
    </row>
    <row r="280" spans="1:3" x14ac:dyDescent="0.25">
      <c r="A280" s="1" t="s">
        <v>289</v>
      </c>
      <c r="B280" s="1" t="s">
        <v>25</v>
      </c>
      <c r="C280" s="1" t="s">
        <v>8</v>
      </c>
    </row>
    <row r="281" spans="1:3" x14ac:dyDescent="0.25">
      <c r="A281" s="1" t="s">
        <v>290</v>
      </c>
      <c r="B281" s="1" t="s">
        <v>25</v>
      </c>
      <c r="C281" s="1" t="s">
        <v>8</v>
      </c>
    </row>
    <row r="282" spans="1:3" x14ac:dyDescent="0.25">
      <c r="A282" s="1" t="s">
        <v>291</v>
      </c>
      <c r="B282" s="1" t="s">
        <v>7</v>
      </c>
      <c r="C282" s="1" t="s">
        <v>8</v>
      </c>
    </row>
    <row r="283" spans="1:3" x14ac:dyDescent="0.25">
      <c r="A283" s="1" t="s">
        <v>292</v>
      </c>
      <c r="B283" s="1" t="s">
        <v>7</v>
      </c>
      <c r="C283" s="1" t="s">
        <v>8</v>
      </c>
    </row>
    <row r="284" spans="1:3" x14ac:dyDescent="0.25">
      <c r="A284" s="1" t="s">
        <v>293</v>
      </c>
      <c r="B284" s="1" t="s">
        <v>14</v>
      </c>
      <c r="C284" s="1" t="s">
        <v>12</v>
      </c>
    </row>
    <row r="285" spans="1:3" x14ac:dyDescent="0.25">
      <c r="A285" s="1" t="s">
        <v>294</v>
      </c>
      <c r="B285" s="1" t="s">
        <v>4</v>
      </c>
      <c r="C285" s="1" t="s">
        <v>5</v>
      </c>
    </row>
    <row r="286" spans="1:3" x14ac:dyDescent="0.25">
      <c r="A286" s="1" t="s">
        <v>295</v>
      </c>
      <c r="B286" s="1" t="s">
        <v>25</v>
      </c>
      <c r="C286" s="1" t="s">
        <v>8</v>
      </c>
    </row>
    <row r="287" spans="1:3" x14ac:dyDescent="0.25">
      <c r="A287" s="1" t="s">
        <v>296</v>
      </c>
      <c r="B287" s="1" t="s">
        <v>7</v>
      </c>
      <c r="C287" s="1" t="s">
        <v>12</v>
      </c>
    </row>
    <row r="288" spans="1:3" x14ac:dyDescent="0.25">
      <c r="A288" s="1" t="s">
        <v>297</v>
      </c>
      <c r="B288" s="1" t="s">
        <v>10</v>
      </c>
      <c r="C288" s="1" t="s">
        <v>5</v>
      </c>
    </row>
    <row r="289" spans="1:3" x14ac:dyDescent="0.25">
      <c r="A289" s="1" t="s">
        <v>298</v>
      </c>
      <c r="B289" s="1" t="s">
        <v>14</v>
      </c>
      <c r="C289" s="1" t="s">
        <v>8</v>
      </c>
    </row>
    <row r="290" spans="1:3" x14ac:dyDescent="0.25">
      <c r="A290" s="1" t="s">
        <v>299</v>
      </c>
      <c r="B290" s="1" t="s">
        <v>10</v>
      </c>
      <c r="C290" s="1" t="s">
        <v>5</v>
      </c>
    </row>
    <row r="291" spans="1:3" x14ac:dyDescent="0.25">
      <c r="A291" s="1" t="s">
        <v>300</v>
      </c>
      <c r="B291" s="1" t="s">
        <v>25</v>
      </c>
      <c r="C291" s="1" t="s">
        <v>5</v>
      </c>
    </row>
    <row r="292" spans="1:3" x14ac:dyDescent="0.25">
      <c r="A292" s="1" t="s">
        <v>301</v>
      </c>
      <c r="B292" s="1" t="s">
        <v>10</v>
      </c>
      <c r="C292" s="1" t="s">
        <v>12</v>
      </c>
    </row>
    <row r="293" spans="1:3" x14ac:dyDescent="0.25">
      <c r="A293" s="1" t="s">
        <v>302</v>
      </c>
      <c r="B293" s="1" t="s">
        <v>25</v>
      </c>
      <c r="C293" s="1" t="s">
        <v>12</v>
      </c>
    </row>
    <row r="294" spans="1:3" x14ac:dyDescent="0.25">
      <c r="A294" s="1" t="s">
        <v>303</v>
      </c>
      <c r="B294" s="1" t="s">
        <v>25</v>
      </c>
      <c r="C294" s="1" t="s">
        <v>12</v>
      </c>
    </row>
    <row r="295" spans="1:3" x14ac:dyDescent="0.25">
      <c r="A295" s="1" t="s">
        <v>304</v>
      </c>
      <c r="B295" s="1" t="s">
        <v>14</v>
      </c>
      <c r="C295" s="1" t="s">
        <v>5</v>
      </c>
    </row>
    <row r="296" spans="1:3" x14ac:dyDescent="0.25">
      <c r="A296" s="1" t="s">
        <v>305</v>
      </c>
      <c r="B296" s="1" t="s">
        <v>25</v>
      </c>
      <c r="C296" s="1" t="s">
        <v>12</v>
      </c>
    </row>
    <row r="297" spans="1:3" x14ac:dyDescent="0.25">
      <c r="A297" s="1" t="s">
        <v>306</v>
      </c>
      <c r="B297" s="1" t="s">
        <v>14</v>
      </c>
      <c r="C297" s="1" t="s">
        <v>8</v>
      </c>
    </row>
    <row r="298" spans="1:3" x14ac:dyDescent="0.25">
      <c r="A298" s="1" t="s">
        <v>307</v>
      </c>
      <c r="B298" s="1" t="s">
        <v>10</v>
      </c>
      <c r="C298" s="1" t="s">
        <v>5</v>
      </c>
    </row>
    <row r="299" spans="1:3" x14ac:dyDescent="0.25">
      <c r="A299" s="1" t="s">
        <v>308</v>
      </c>
      <c r="B299" s="1" t="s">
        <v>4</v>
      </c>
      <c r="C299" s="1" t="s">
        <v>12</v>
      </c>
    </row>
    <row r="300" spans="1:3" x14ac:dyDescent="0.25">
      <c r="A300" s="1" t="s">
        <v>309</v>
      </c>
      <c r="B300" s="1" t="s">
        <v>25</v>
      </c>
      <c r="C300" s="1" t="s">
        <v>12</v>
      </c>
    </row>
    <row r="301" spans="1:3" x14ac:dyDescent="0.25">
      <c r="A301" s="1" t="s">
        <v>310</v>
      </c>
      <c r="B301" s="1" t="s">
        <v>25</v>
      </c>
      <c r="C30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92F6-E7D2-4F25-A180-21EEFD423F8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BD744-C335-4B11-9F8B-5BA7F182D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29</vt:i4>
      </vt:variant>
    </vt:vector>
  </HeadingPairs>
  <TitlesOfParts>
    <vt:vector size="32" baseType="lpstr">
      <vt:lpstr>VentesMagasins</vt:lpstr>
      <vt:lpstr>Clients</vt:lpstr>
      <vt:lpstr>Feuil1</vt:lpstr>
      <vt:lpstr>Année</vt:lpstr>
      <vt:lpstr>CA</vt:lpstr>
      <vt:lpstr>CA_retour</vt:lpstr>
      <vt:lpstr>Categorie</vt:lpstr>
      <vt:lpstr>Categorie_nett</vt:lpstr>
      <vt:lpstr>Clée</vt:lpstr>
      <vt:lpstr>Clients!ClientID</vt:lpstr>
      <vt:lpstr>ClientID</vt:lpstr>
      <vt:lpstr>ClientID1</vt:lpstr>
      <vt:lpstr>DateVente</vt:lpstr>
      <vt:lpstr>Magasin</vt:lpstr>
      <vt:lpstr>Mois</vt:lpstr>
      <vt:lpstr>Moyenne_client</vt:lpstr>
      <vt:lpstr>NoteClient</vt:lpstr>
      <vt:lpstr>NoteClient_nett1</vt:lpstr>
      <vt:lpstr>NoteClient_Nette</vt:lpstr>
      <vt:lpstr>OrderID</vt:lpstr>
      <vt:lpstr>PrixUnitaire</vt:lpstr>
      <vt:lpstr>Produit</vt:lpstr>
      <vt:lpstr>Quantité</vt:lpstr>
      <vt:lpstr>Region</vt:lpstr>
      <vt:lpstr>Région</vt:lpstr>
      <vt:lpstr>Remise</vt:lpstr>
      <vt:lpstr>Remise_nett</vt:lpstr>
      <vt:lpstr>Retour</vt:lpstr>
      <vt:lpstr>Total</vt:lpstr>
      <vt:lpstr>Total_Nett</vt:lpstr>
      <vt:lpstr>Type_Client</vt:lpstr>
      <vt:lpstr>TypeClient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2026-01-26T12:10:42Z</dcterms:created>
  <dcterms:modified xsi:type="dcterms:W3CDTF">2026-01-26T15:37:22Z</dcterms:modified>
</cp:coreProperties>
</file>